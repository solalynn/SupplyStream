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BT09217069\Desktop\D data\1 FG\1.1 Report\2 Monday\Inventory ตั้งต้น week คือ SM37 ทุกวันจันทร์\"/>
    </mc:Choice>
  </mc:AlternateContent>
  <xr:revisionPtr revIDLastSave="0" documentId="8_{E6869C5D-3375-4045-889C-889BD58565ED}" xr6:coauthVersionLast="47" xr6:coauthVersionMax="47" xr10:uidLastSave="{00000000-0000-0000-0000-000000000000}"/>
  <bookViews>
    <workbookView xWindow="-110" yWindow="-110" windowWidth="19420" windowHeight="11500" xr2:uid="{90EFBDB7-C0FD-419B-91DF-7A996A9C4BF3}"/>
  </bookViews>
  <sheets>
    <sheet name="Inv-SC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</externalReferences>
  <definedNames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[1]W604!#REF!</definedName>
    <definedName name="\M">#REF!</definedName>
    <definedName name="\n">#REF!</definedName>
    <definedName name="\p">#REF!</definedName>
    <definedName name="\q">#REF!</definedName>
    <definedName name="\r">#REF!</definedName>
    <definedName name="\s">'[2]96MOH'!#REF!</definedName>
    <definedName name="\t">#REF!</definedName>
    <definedName name="\v">#REF!</definedName>
    <definedName name="\w">#REF!</definedName>
    <definedName name="\x">#REF!</definedName>
    <definedName name="\z">#REF!</definedName>
    <definedName name="___">#REF!</definedName>
    <definedName name="______fat1">#REF!</definedName>
    <definedName name="_____b1">'[3]P&amp;L'!#REF!</definedName>
    <definedName name="_____REF1">[4]Vol!#REF!</definedName>
    <definedName name="____b1">'[3]P&amp;L'!#REF!</definedName>
    <definedName name="____com1">#REF!</definedName>
    <definedName name="____com10">#REF!</definedName>
    <definedName name="____com11">#REF!</definedName>
    <definedName name="____com12">#REF!</definedName>
    <definedName name="____com2">#REF!</definedName>
    <definedName name="____com3">#REF!</definedName>
    <definedName name="____com4">#REF!</definedName>
    <definedName name="____com5">#REF!</definedName>
    <definedName name="____com6">#REF!</definedName>
    <definedName name="____com7">#REF!</definedName>
    <definedName name="____com8">#REF!</definedName>
    <definedName name="____com9">#REF!</definedName>
    <definedName name="____fat1">#REF!</definedName>
    <definedName name="____niv1">#REF!</definedName>
    <definedName name="____niv10">#REF!</definedName>
    <definedName name="____niv11">#REF!</definedName>
    <definedName name="____niv12">#REF!</definedName>
    <definedName name="____niv2">#REF!</definedName>
    <definedName name="____niv3">#REF!</definedName>
    <definedName name="____niv4">#REF!</definedName>
    <definedName name="____niv5">#REF!</definedName>
    <definedName name="____niv6">#REF!</definedName>
    <definedName name="____niv7">#REF!</definedName>
    <definedName name="____niv8">#REF!</definedName>
    <definedName name="____niv9">#REF!</definedName>
    <definedName name="____pg1">'[5]2005'!$B$2:$P$27</definedName>
    <definedName name="____pg2">'[5]2005'!#REF!</definedName>
    <definedName name="____pr1">[5]configuracion!#REF!</definedName>
    <definedName name="____pr10">[5]configuracion!#REF!</definedName>
    <definedName name="____pr11">[5]configuracion!#REF!</definedName>
    <definedName name="____pr12">[5]configuracion!#REF!</definedName>
    <definedName name="____pr2">[5]configuracion!#REF!</definedName>
    <definedName name="____pr3">[5]configuracion!#REF!</definedName>
    <definedName name="____pr4">[5]configuracion!#REF!</definedName>
    <definedName name="____pr5">[5]configuracion!#REF!</definedName>
    <definedName name="____pr6">[5]configuracion!#REF!</definedName>
    <definedName name="____pr7">[5]configuracion!#REF!</definedName>
    <definedName name="____pr8">[5]configuracion!#REF!</definedName>
    <definedName name="____pr9">[5]configuracion!#REF!</definedName>
    <definedName name="____prb500">[6]Sheet1!#REF!</definedName>
    <definedName name="____prt1">#REF!</definedName>
    <definedName name="____PRT2">#REF!</definedName>
    <definedName name="____PRT3">#REF!</definedName>
    <definedName name="____PRT4">#REF!</definedName>
    <definedName name="____prt5">#REF!</definedName>
    <definedName name="____PRT6">#REF!</definedName>
    <definedName name="____rb200">[6]Sheet1!#REF!</definedName>
    <definedName name="____us1">#REF!,#REF!</definedName>
    <definedName name="____us10">#REF!,#REF!</definedName>
    <definedName name="____us11">#REF!,#REF!</definedName>
    <definedName name="____us12">#REF!,#REF!</definedName>
    <definedName name="____us2">#REF!,#REF!</definedName>
    <definedName name="____us3">#REF!,#REF!</definedName>
    <definedName name="____us4">#REF!,#REF!</definedName>
    <definedName name="____us5">#REF!,#REF!</definedName>
    <definedName name="____us6">#REF!,#REF!</definedName>
    <definedName name="____us7">#REF!,#REF!</definedName>
    <definedName name="____us8">#REF!,#REF!</definedName>
    <definedName name="____us9">#REF!,#REF!</definedName>
    <definedName name="____vol1">#REF!</definedName>
    <definedName name="____vol10">#REF!</definedName>
    <definedName name="____vol11">#REF!</definedName>
    <definedName name="____vol12">#REF!</definedName>
    <definedName name="____vol2">#REF!</definedName>
    <definedName name="____vol3">#REF!</definedName>
    <definedName name="____vol4">#REF!</definedName>
    <definedName name="____vol5">#REF!</definedName>
    <definedName name="____vol6">#REF!</definedName>
    <definedName name="____vol7">#REF!</definedName>
    <definedName name="____vol8">#REF!</definedName>
    <definedName name="____vol9">#REF!</definedName>
    <definedName name="____VS97">#REF!</definedName>
    <definedName name="____VSQ2">#REF!</definedName>
    <definedName name="____WP1">#REF!</definedName>
    <definedName name="____YN1">#REF!</definedName>
    <definedName name="____YN2">#REF!</definedName>
    <definedName name="____YN3">#REF!</definedName>
    <definedName name="___b1">'[3]P&amp;L'!#REF!</definedName>
    <definedName name="___com1">#REF!</definedName>
    <definedName name="___com10">#REF!</definedName>
    <definedName name="___com11">#REF!</definedName>
    <definedName name="___com12">#REF!</definedName>
    <definedName name="___com2">#REF!</definedName>
    <definedName name="___com3">#REF!</definedName>
    <definedName name="___com4">#REF!</definedName>
    <definedName name="___com5">#REF!</definedName>
    <definedName name="___com6">#REF!</definedName>
    <definedName name="___com7">#REF!</definedName>
    <definedName name="___com8">#REF!</definedName>
    <definedName name="___com9">#REF!</definedName>
    <definedName name="___fat1">#REF!</definedName>
    <definedName name="___niv1">#REF!</definedName>
    <definedName name="___niv10">#REF!</definedName>
    <definedName name="___niv11">#REF!</definedName>
    <definedName name="___niv12">#REF!</definedName>
    <definedName name="___niv2">#REF!</definedName>
    <definedName name="___niv3">#REF!</definedName>
    <definedName name="___niv4">#REF!</definedName>
    <definedName name="___niv5">#REF!</definedName>
    <definedName name="___niv6">#REF!</definedName>
    <definedName name="___niv7">#REF!</definedName>
    <definedName name="___niv8">#REF!</definedName>
    <definedName name="___niv9">#REF!</definedName>
    <definedName name="___pg1">'[5]2005'!$B$2:$P$27</definedName>
    <definedName name="___pg2">'[5]2005'!#REF!</definedName>
    <definedName name="___pr1">[5]configuracion!#REF!</definedName>
    <definedName name="___pr10">[5]configuracion!#REF!</definedName>
    <definedName name="___pr11">[5]configuracion!#REF!</definedName>
    <definedName name="___pr12">[5]configuracion!#REF!</definedName>
    <definedName name="___pr2">[5]configuracion!#REF!</definedName>
    <definedName name="___pr3">[5]configuracion!#REF!</definedName>
    <definedName name="___pr4">[5]configuracion!#REF!</definedName>
    <definedName name="___pr5">[5]configuracion!#REF!</definedName>
    <definedName name="___pr6">[5]configuracion!#REF!</definedName>
    <definedName name="___pr7">[5]configuracion!#REF!</definedName>
    <definedName name="___pr8">[5]configuracion!#REF!</definedName>
    <definedName name="___pr9">[5]configuracion!#REF!</definedName>
    <definedName name="___prb500">[6]Sheet1!#REF!</definedName>
    <definedName name="___prt1">#REF!</definedName>
    <definedName name="___PRT2">#REF!</definedName>
    <definedName name="___PRT3">#REF!</definedName>
    <definedName name="___PRT4">#REF!</definedName>
    <definedName name="___prt5">#REF!</definedName>
    <definedName name="___PRT6">#REF!</definedName>
    <definedName name="___rb200">[6]Sheet1!#REF!</definedName>
    <definedName name="___REF1">[4]Vol!#REF!</definedName>
    <definedName name="___us1">#REF!,#REF!</definedName>
    <definedName name="___us10">#REF!,#REF!</definedName>
    <definedName name="___us11">#REF!,#REF!</definedName>
    <definedName name="___us12">#REF!,#REF!</definedName>
    <definedName name="___us2">#REF!,#REF!</definedName>
    <definedName name="___us3">#REF!,#REF!</definedName>
    <definedName name="___us4">#REF!,#REF!</definedName>
    <definedName name="___us5">#REF!,#REF!</definedName>
    <definedName name="___us6">#REF!,#REF!</definedName>
    <definedName name="___us7">#REF!,#REF!</definedName>
    <definedName name="___us8">#REF!,#REF!</definedName>
    <definedName name="___us9">#REF!,#REF!</definedName>
    <definedName name="___vol1">#REF!</definedName>
    <definedName name="___vol10">#REF!</definedName>
    <definedName name="___vol11">#REF!</definedName>
    <definedName name="___vol12">#REF!</definedName>
    <definedName name="___vol2">#REF!</definedName>
    <definedName name="___vol3">#REF!</definedName>
    <definedName name="___vol4">#REF!</definedName>
    <definedName name="___vol5">#REF!</definedName>
    <definedName name="___vol6">#REF!</definedName>
    <definedName name="___vol7">#REF!</definedName>
    <definedName name="___vol8">#REF!</definedName>
    <definedName name="___vol9">#REF!</definedName>
    <definedName name="___VS97">#REF!</definedName>
    <definedName name="___VSQ2">#REF!</definedName>
    <definedName name="___WP1">#REF!</definedName>
    <definedName name="___YN1">#REF!</definedName>
    <definedName name="___YN2">#REF!</definedName>
    <definedName name="___YN3">#REF!</definedName>
    <definedName name="__1_0Q31">'[7]OCF wtg'!#REF!</definedName>
    <definedName name="__123Graph_F" hidden="1">#REF!</definedName>
    <definedName name="__2_0Q41">'[7]OCF wtg'!#REF!</definedName>
    <definedName name="__3_0QONE1">'[7]OCF wtg'!#REF!</definedName>
    <definedName name="__4_0QTWO1">'[7]OCF wtg'!#REF!</definedName>
    <definedName name="__5_0PRINT">'[7]OCF wtg'!#REF!</definedName>
    <definedName name="__6_0PRINTS">'[7]OCF wtg'!#REF!</definedName>
    <definedName name="__7_0SENS">'[7]OCF wtg'!#REF!</definedName>
    <definedName name="__b1">'[3]P&amp;L'!#REF!</definedName>
    <definedName name="__com1">#REF!</definedName>
    <definedName name="__com10">#REF!</definedName>
    <definedName name="__com11">#REF!</definedName>
    <definedName name="__com12">#REF!</definedName>
    <definedName name="__com2">#REF!</definedName>
    <definedName name="__com3">#REF!</definedName>
    <definedName name="__com4">#REF!</definedName>
    <definedName name="__com5">#REF!</definedName>
    <definedName name="__com6">#REF!</definedName>
    <definedName name="__com7">#REF!</definedName>
    <definedName name="__com8">#REF!</definedName>
    <definedName name="__com9">#REF!</definedName>
    <definedName name="__CRW02">#REF!</definedName>
    <definedName name="__CRW54">#REF!</definedName>
    <definedName name="__CRW63">#REF!</definedName>
    <definedName name="__fat1">#REF!</definedName>
    <definedName name="__g2">#REF!</definedName>
    <definedName name="__hr2">#REF!</definedName>
    <definedName name="__ING02">#REF!</definedName>
    <definedName name="__ING54">#REF!</definedName>
    <definedName name="__ING63">#REF!</definedName>
    <definedName name="__MDT575">#REF!</definedName>
    <definedName name="__niv1">#REF!</definedName>
    <definedName name="__niv10">#REF!</definedName>
    <definedName name="__niv11">#REF!</definedName>
    <definedName name="__niv12">#REF!</definedName>
    <definedName name="__niv2">#REF!</definedName>
    <definedName name="__niv3">#REF!</definedName>
    <definedName name="__niv4">#REF!</definedName>
    <definedName name="__niv5">#REF!</definedName>
    <definedName name="__niv6">#REF!</definedName>
    <definedName name="__niv7">#REF!</definedName>
    <definedName name="__niv8">#REF!</definedName>
    <definedName name="__niv9">#REF!</definedName>
    <definedName name="__OFSCRIPTS">#REF!</definedName>
    <definedName name="__P27999">#REF!</definedName>
    <definedName name="__pg1">'[8]2005'!$B$2:$P$27</definedName>
    <definedName name="__pg2">'[5]2005'!#REF!</definedName>
    <definedName name="__pr1">[5]configuracion!#REF!</definedName>
    <definedName name="__pr10">[5]configuracion!#REF!</definedName>
    <definedName name="__pr11">[5]configuracion!#REF!</definedName>
    <definedName name="__pr12">[5]configuracion!#REF!</definedName>
    <definedName name="__pr2">[5]configuracion!#REF!</definedName>
    <definedName name="__pr3">[5]configuracion!#REF!</definedName>
    <definedName name="__pr4">[5]configuracion!#REF!</definedName>
    <definedName name="__pr5">[5]configuracion!#REF!</definedName>
    <definedName name="__pr6">[5]configuracion!#REF!</definedName>
    <definedName name="__pr7">[5]configuracion!#REF!</definedName>
    <definedName name="__pr8">[5]configuracion!#REF!</definedName>
    <definedName name="__pr9">[5]configuracion!#REF!</definedName>
    <definedName name="__prb500">[6]Sheet1!#REF!</definedName>
    <definedName name="__PRL02">#REF!</definedName>
    <definedName name="__PRL54">#REF!</definedName>
    <definedName name="__prt1">#REF!</definedName>
    <definedName name="__PRT2">#REF!</definedName>
    <definedName name="__PRT3">#REF!</definedName>
    <definedName name="__PRT4">#REF!</definedName>
    <definedName name="__prt5">#REF!</definedName>
    <definedName name="__PRT6">#REF!</definedName>
    <definedName name="__rb200">[6]Sheet1!#REF!</definedName>
    <definedName name="__us1">#REF!,#REF!</definedName>
    <definedName name="__us10">#REF!,#REF!</definedName>
    <definedName name="__us11">#REF!,#REF!</definedName>
    <definedName name="__us12">#REF!,#REF!</definedName>
    <definedName name="__us2">#REF!,#REF!</definedName>
    <definedName name="__us3">#REF!,#REF!</definedName>
    <definedName name="__us4">#REF!,#REF!</definedName>
    <definedName name="__us5">#REF!,#REF!</definedName>
    <definedName name="__us6">#REF!,#REF!</definedName>
    <definedName name="__us7">#REF!,#REF!</definedName>
    <definedName name="__us8">#REF!,#REF!</definedName>
    <definedName name="__us9">#REF!,#REF!</definedName>
    <definedName name="__v5">#REF!</definedName>
    <definedName name="__v6">#REF!</definedName>
    <definedName name="__v7">#REF!</definedName>
    <definedName name="__v8">#REF!</definedName>
    <definedName name="__vol1">#REF!</definedName>
    <definedName name="__vol10">#REF!</definedName>
    <definedName name="__vol11">#REF!</definedName>
    <definedName name="__vol12">#REF!</definedName>
    <definedName name="__vol2">#REF!</definedName>
    <definedName name="__vol3">#REF!</definedName>
    <definedName name="__vol4">#REF!</definedName>
    <definedName name="__vol5">#REF!</definedName>
    <definedName name="__vol6">#REF!</definedName>
    <definedName name="__vol7">#REF!</definedName>
    <definedName name="__vol8">#REF!</definedName>
    <definedName name="__vol9">#REF!</definedName>
    <definedName name="__VS97">#REF!</definedName>
    <definedName name="__VSQ2">#REF!</definedName>
    <definedName name="__WP1">#REF!</definedName>
    <definedName name="__YE1990">#REF!</definedName>
    <definedName name="__YE1991">#REF!</definedName>
    <definedName name="__YE1992">#REF!</definedName>
    <definedName name="__YN1">#REF!</definedName>
    <definedName name="__YN2">#REF!</definedName>
    <definedName name="__YN3">#REF!</definedName>
    <definedName name="_0PLS">[9]Vol_Lotus!#REF!</definedName>
    <definedName name="_0PLSX">#REF!</definedName>
    <definedName name="_1">#N/A</definedName>
    <definedName name="_1_0cc">'[10]HP Actual YTD'!#REF!</definedName>
    <definedName name="_1_0Q31">'[11]OCF wtg'!#REF!</definedName>
    <definedName name="_10_0QONE1">'[12] nfcst_py'!#REF!</definedName>
    <definedName name="_1000A01">#N/A</definedName>
    <definedName name="_10QTWO1">'[7]OCF wtg'!#REF!</definedName>
    <definedName name="_11_0">'[13]Puerto Rico'!#REF!</definedName>
    <definedName name="_12_0Foot_no">#REF!</definedName>
    <definedName name="_12_0QTWO1">'[12] nfcst_py'!#REF!</definedName>
    <definedName name="_13_0PRINT">'[12] nfcst_py'!#REF!</definedName>
    <definedName name="_14_0Foot_no">#REF!</definedName>
    <definedName name="_14_0PRINTS">'[12] nfcst_py'!#REF!</definedName>
    <definedName name="_14Q31">'[7]OCF wtg'!#REF!</definedName>
    <definedName name="_15_0SENS">'[12] nfcst_py'!#REF!</definedName>
    <definedName name="_16_0Foot_no">#REF!</definedName>
    <definedName name="_16_2_0CA">'[13]Puerto Rico'!#REF!</definedName>
    <definedName name="_16Q41">'[7]OCF wtg'!#REF!</definedName>
    <definedName name="_17h_0SalesDed_ACT_">[14]prueba!#REF!</definedName>
    <definedName name="_18PRINT">'[7]OCF wtg'!#REF!</definedName>
    <definedName name="_18QONE1">'[7]OCF wtg'!#REF!</definedName>
    <definedName name="_1999_BUILDING_REPAIRS___MAINTENANCE_FOR_EDSION">#REF!</definedName>
    <definedName name="_1999_BUILDING_REPAIRS___MAINTENANCE_FOR_JACKSONVILLE">#REF!</definedName>
    <definedName name="_1999_EQUIPMENT_REPAIRS___MAINTENANCE_FOR_EDISON">#REF!</definedName>
    <definedName name="_1999_EQUIPMENT_REPAIRS___MAINTENANCE_FOR_JACKSONVILLE">#REF!</definedName>
    <definedName name="_1999_EQUIPMENT_REPAIRS___MAINTENANCE_FOR_ONTARIO">#REF!</definedName>
    <definedName name="_1999_MISCELLANEOUS_DETAIL_FOR_EDISON">#REF!</definedName>
    <definedName name="_1999_MISCELLANEOUS_DETAIL_FOR_JACKSONVILLE">#REF!</definedName>
    <definedName name="_1999_MISCELLANEOUS_DETAIL_FOR_ONTARIO">#REF!</definedName>
    <definedName name="_1999_WAREHOUSE_SUPPLIES_FOR_EDISON">#REF!</definedName>
    <definedName name="_1999_WAREHOUSE_SUPPLIES_FOR_JACKSONVILLE">#REF!</definedName>
    <definedName name="_1999_WAREHOUSE_SUPPLIES_FOR_ONTARIO">#REF!</definedName>
    <definedName name="_19PRINTS">'[7]OCF wtg'!#REF!</definedName>
    <definedName name="_2">#N/A</definedName>
    <definedName name="_2_0cc">'[10]HP Actual YTD'!#REF!</definedName>
    <definedName name="_2_0ccostyt">'[10]HP Actual YTD'!#REF!</definedName>
    <definedName name="_2_0Q41">'[11]OCF wtg'!#REF!</definedName>
    <definedName name="_2000_BUILDING_REPAIRS___MAINTENANCE_FOR_ONTARIO">#REF!</definedName>
    <definedName name="_2003_Q2_FCTS">"BASE"</definedName>
    <definedName name="_20QTWO1">'[7]OCF wtg'!#REF!</definedName>
    <definedName name="_20SENS">'[7]OCF wtg'!#REF!</definedName>
    <definedName name="_22_0">'[13]Puerto Rico'!#REF!</definedName>
    <definedName name="_24_0Foot_no">#REF!</definedName>
    <definedName name="_26_0PRINT">'[12] nfcst_py'!#REF!</definedName>
    <definedName name="_28_0PRINTS">'[12] nfcst_py'!#REF!</definedName>
    <definedName name="_3_0Q31">'[12] nfcst_py'!#REF!</definedName>
    <definedName name="_3_0QONE1">'[11]OCF wtg'!#REF!</definedName>
    <definedName name="_30_0SENS">'[12] nfcst_py'!#REF!</definedName>
    <definedName name="_317A">"="</definedName>
    <definedName name="_31BC">"="</definedName>
    <definedName name="_32_0Foot_no">#REF!</definedName>
    <definedName name="_32_2_0CA">'[13]Puerto Rico'!#REF!</definedName>
    <definedName name="_321D">"="</definedName>
    <definedName name="_323D">"="</definedName>
    <definedName name="_33F0">+'[15]0210'!A1048521+'[15]0210'!A1048522+'[15]0210'!A1048523+'[15]0210'!A1048524+'[15]0210'!A1048525+'[15]0210'!A1048526+'[15]0210'!A1048527+'[15]0210'!A1048528+'[15]0210'!A1048529+'[15]0210'!A1048530+'[15]0210'!A1048531+'[15]0210'!A1048532+'[15]0210'!A1048533+'[15]0210'!A1048534+'[15]0210'!A1048535+'[15]0210'!A1048536+'[15]0210'!A1048537+'[15]0210'!A1048539+'[15]0210'!A1048541+'[15]0210'!A1048542+'[15]0210'!A1048543+'[15]0210'!A1048544+'[15]0210'!A1048545+'[15]0210'!A1048546+'[15]0210'!A1048547+'[15]0210'!A1048548+'[15]0210'!A1048549+'[15]0210'!A1048550</definedName>
    <definedName name="_34h_0SalesDed_ACT_">[14]prueba!#REF!</definedName>
    <definedName name="_36PRINT">'[7]OCF wtg'!#REF!</definedName>
    <definedName name="_3880">+ROUND(#REF!,0)+ROUND(#REF!,0)+ROUND(#REF!,0)+ROUND(#REF!,0)+ROUND(#REF!,0)+ROUND(#REF!,0)+ROUND(#REF!,0)+ROUND(#REF!,0)+ROUND(#REF!,0)+ROUND(#REF!,0)+ROUND(#REF!,0)+ROUND(#REF!,0)+ROUND(#REF!,0)+ROUND(#REF!,0)</definedName>
    <definedName name="_38PRINTS">'[7]OCF wtg'!#REF!</definedName>
    <definedName name="_3A41">+ROUND(#REF!,0)+ROUND(#REF!,0)+ROUND(#REF!,0)+ROUND(#REF!,0)+ROUND(#REF!,0)+ROUND(#REF!,0)+ROUND(#REF!,0)+ROUND(#REF!,0)+ROUND(#REF!,0)+ROUND(#REF!,0)+ROUND(#REF!,0)+ROUND(#REF!,0)+ROUND(#REF!,0)+ROUND(#REF!,0)</definedName>
    <definedName name="_3DD0">+ROUND(#REF!,0)+ROUND(#REF!,0)+ROUND(#REF!,0)+ROUND(#REF!,0)+ROUND(#REF!,0)+ROUND(#REF!,0)+ROUND(#REF!,0)+ROUND(#REF!,0)+ROUND(#REF!,0)+ROUND(#REF!,0)+ROUND(#REF!,0)+ROUND(#REF!,0)+ROUND(#REF!,0)+ROUND(#REF!,0)</definedName>
    <definedName name="_4_0ccostyt">'[10]HP Actual YTD'!#REF!</definedName>
    <definedName name="_4_0QTWO1">'[11]OCF wtg'!#REF!</definedName>
    <definedName name="_40SENS">'[7]OCF wtg'!#REF!</definedName>
    <definedName name="_5_0PRINT">'[11]OCF wtg'!#REF!</definedName>
    <definedName name="_5_0QONE1">'[12] nfcst_py'!#REF!</definedName>
    <definedName name="_52_0Foot_no">#REF!</definedName>
    <definedName name="_6_0PRINTS">'[11]OCF wtg'!#REF!</definedName>
    <definedName name="_6_0Q31">'[12] nfcst_py'!#REF!</definedName>
    <definedName name="_6_0QTWO1">'[12] nfcst_py'!#REF!</definedName>
    <definedName name="_7_0SENS">'[11]OCF wtg'!#REF!</definedName>
    <definedName name="_7Q31">'[7]OCF wtg'!#REF!</definedName>
    <definedName name="_8_0Q41">'[12] nfcst_py'!#REF!</definedName>
    <definedName name="_8Q41">'[7]OCF wtg'!#REF!</definedName>
    <definedName name="_92_0Foot_no">#REF!</definedName>
    <definedName name="_9QONE1">'[7]OCF wtg'!#REF!</definedName>
    <definedName name="_A112553">#REF!</definedName>
    <definedName name="_Account">"Account#"</definedName>
    <definedName name="_act10">#REF!</definedName>
    <definedName name="_act11">#REF!</definedName>
    <definedName name="_act12">#REF!</definedName>
    <definedName name="_act2">#REF!</definedName>
    <definedName name="_act3">#REF!</definedName>
    <definedName name="_act4">#REF!</definedName>
    <definedName name="_act5">#REF!</definedName>
    <definedName name="_act6">#REF!</definedName>
    <definedName name="_act7">#REF!</definedName>
    <definedName name="_act8">#REF!</definedName>
    <definedName name="_act9">#REF!</definedName>
    <definedName name="_ADDMENU">#REF!</definedName>
    <definedName name="_b1">'[3]P&amp;L'!#REF!</definedName>
    <definedName name="_b2">'[16]P&amp;L'!#REF!</definedName>
    <definedName name="_BUILDLIST">#REF!</definedName>
    <definedName name="_Builtin155" hidden="1">#N/A</definedName>
    <definedName name="_CANCELUPDATE">#REF!</definedName>
    <definedName name="_CHECKRANGENAME">#REF!</definedName>
    <definedName name="_CHKUSERINIT">#REF!</definedName>
    <definedName name="_CN03">[17]Lipton!$A$2:$A$477</definedName>
    <definedName name="_CN04">[17]Lipton!$B$2:$B$477</definedName>
    <definedName name="_CN5">[17]Lipton!$C$2:$C$477</definedName>
    <definedName name="_com1">#REF!</definedName>
    <definedName name="_com10">#REF!</definedName>
    <definedName name="_com11">#REF!</definedName>
    <definedName name="_com12">#REF!</definedName>
    <definedName name="_com2">#REF!</definedName>
    <definedName name="_com3">#REF!</definedName>
    <definedName name="_com4">#REF!</definedName>
    <definedName name="_com5">#REF!</definedName>
    <definedName name="_com6">#REF!</definedName>
    <definedName name="_com7">#REF!</definedName>
    <definedName name="_com8">#REF!</definedName>
    <definedName name="_com9">#REF!</definedName>
    <definedName name="_CON1">#REF!</definedName>
    <definedName name="_CON2">#REF!</definedName>
    <definedName name="_CONVERTLIST">#REF!</definedName>
    <definedName name="_COUNTER">#REF!</definedName>
    <definedName name="_COUNTER1">#REF!</definedName>
    <definedName name="_COUNTER1TEXT">#REF!</definedName>
    <definedName name="_COUNTERTEXT">#REF!</definedName>
    <definedName name="_CPH100">#REF!</definedName>
    <definedName name="_CPYLNG">#REF!</definedName>
    <definedName name="_CPYLNGRNG">#REF!</definedName>
    <definedName name="_CREATENEWRANGE">#REF!</definedName>
    <definedName name="_CRW02">#REF!</definedName>
    <definedName name="_CRW54">#REF!</definedName>
    <definedName name="_CRW63">#REF!</definedName>
    <definedName name="_CUROUTPUTR">#REF!</definedName>
    <definedName name="_CURRENTFILE">#REF!</definedName>
    <definedName name="_CURRENTVER">#REF!</definedName>
    <definedName name="_CURRENTVERTRIM">#REF!</definedName>
    <definedName name="_CURRFILETRIM">#REF!</definedName>
    <definedName name="_CURSCRTORUN">#REF!</definedName>
    <definedName name="_Custom1">"Custom1#"</definedName>
    <definedName name="_Custom2">"Custom2#"</definedName>
    <definedName name="_DAT1">[18]July!#REF!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2">#REF!</definedName>
    <definedName name="_DAT3">#REF!</definedName>
    <definedName name="_DAT4">#REF!</definedName>
    <definedName name="_DAT5">[18]July!#REF!</definedName>
    <definedName name="_DAT6">[18]July!#REF!</definedName>
    <definedName name="_DAT7">'[19]P&amp;L Data'!#REF!</definedName>
    <definedName name="_DAT8">#REF!</definedName>
    <definedName name="_DAT9">#REF!</definedName>
    <definedName name="_DDEMESSAGE">#REF!</definedName>
    <definedName name="_DIMENSION">#REF!</definedName>
    <definedName name="_DIMENSIONS">#REF!</definedName>
    <definedName name="_DISKFULL">#REF!</definedName>
    <definedName name="_DISKFULL1">#REF!</definedName>
    <definedName name="_DOMSGBOX">#REF!</definedName>
    <definedName name="_DONEWEXIT">#REF!</definedName>
    <definedName name="_DOREJECT">#REF!</definedName>
    <definedName name="_DOREJECT1">#REF!</definedName>
    <definedName name="_ENDCHECK">#REF!</definedName>
    <definedName name="_ENDCHECK1">#REF!</definedName>
    <definedName name="_ENGLISHLNG">#REF!</definedName>
    <definedName name="_ent1">[20]INPUT!#REF!</definedName>
    <definedName name="_ent2">[20]INPUT!$D$9</definedName>
    <definedName name="_Entity">"Entity#"</definedName>
    <definedName name="_ERASEBKWDNAMES">#REF!</definedName>
    <definedName name="_ERRORCOUNT">#REF!</definedName>
    <definedName name="_ERRORMSG">#REF!</definedName>
    <definedName name="_EXP1">#REF!</definedName>
    <definedName name="_EXP10">#REF!</definedName>
    <definedName name="_EXP2">#REF!</definedName>
    <definedName name="_EXP3">#REF!</definedName>
    <definedName name="_EXP30">#REF!</definedName>
    <definedName name="_EXP4">#REF!</definedName>
    <definedName name="_EXP40">#REF!</definedName>
    <definedName name="_EXP5">#REF!</definedName>
    <definedName name="_EXP50">#REF!</definedName>
    <definedName name="_EXP500">#REF!</definedName>
    <definedName name="_EXP6">#REF!</definedName>
    <definedName name="_EXP600">#REF!</definedName>
    <definedName name="_EXPDIAG">#REF!</definedName>
    <definedName name="_fat1">#REF!</definedName>
    <definedName name="_Fill" hidden="1">#REF!</definedName>
    <definedName name="_xlnm._FilterDatabase" localSheetId="0" hidden="1">'Inv-SCP'!$A$1:$R$500</definedName>
    <definedName name="_FINDEMPTYSCR">#REF!</definedName>
    <definedName name="_FRENCHLNG">#REF!</definedName>
    <definedName name="_g2">#REF!</definedName>
    <definedName name="_GETADDRESS">#REF!</definedName>
    <definedName name="_hr2">#REF!</definedName>
    <definedName name="_ICP">"ICP#"</definedName>
    <definedName name="_ING02">#REF!</definedName>
    <definedName name="_ING54">#REF!</definedName>
    <definedName name="_ING63">#REF!</definedName>
    <definedName name="_Jan02">'[21]FG waste'!#REF!</definedName>
    <definedName name="_Key1" hidden="1">#REF!</definedName>
    <definedName name="_Key2" hidden="1">#REF!</definedName>
    <definedName name="_LISTBOXDATA">#REF!</definedName>
    <definedName name="_LISTBOXRANGE">#REF!</definedName>
    <definedName name="_MACROFRMSCRPT">#REF!</definedName>
    <definedName name="_MACROTORUN">#REF!</definedName>
    <definedName name="_MDT575">#REF!</definedName>
    <definedName name="_MESSAGETEXT">#REF!</definedName>
    <definedName name="_MULTISC">#REF!</definedName>
    <definedName name="_NAVRC">#REF!</definedName>
    <definedName name="_NAVRCMSG">#REF!</definedName>
    <definedName name="_NAVRCMSG1">#REF!</definedName>
    <definedName name="_NDIMQUERY">#REF!</definedName>
    <definedName name="_NET2">#REF!</definedName>
    <definedName name="_niv1">#REF!</definedName>
    <definedName name="_niv10">#REF!</definedName>
    <definedName name="_niv11">#REF!</definedName>
    <definedName name="_niv12">#REF!</definedName>
    <definedName name="_niv2">#REF!</definedName>
    <definedName name="_niv3">#REF!</definedName>
    <definedName name="_niv4">#REF!</definedName>
    <definedName name="_niv5">#REF!</definedName>
    <definedName name="_niv6">#REF!</definedName>
    <definedName name="_niv7">#REF!</definedName>
    <definedName name="_niv8">#REF!</definedName>
    <definedName name="_niv9">#REF!</definedName>
    <definedName name="_NOCUAMENU">#REF!</definedName>
    <definedName name="_NOSCRIPT">#REF!</definedName>
    <definedName name="_NOT33">#REF!</definedName>
    <definedName name="_OLDSCRIPT">#REF!</definedName>
    <definedName name="_ONERRORPROC">#REF!</definedName>
    <definedName name="_op9">'[22]P&amp;L(S1)'!$Z$7</definedName>
    <definedName name="_Order1" hidden="1">255</definedName>
    <definedName name="_Order2" hidden="1">255</definedName>
    <definedName name="_OUTPUTRANGE">#REF!</definedName>
    <definedName name="_P27999">#REF!</definedName>
    <definedName name="_P569">#REF!</definedName>
    <definedName name="_PARM1">#REF!</definedName>
    <definedName name="_PARM2">#REF!</definedName>
    <definedName name="_PARM3">#REF!</definedName>
    <definedName name="_PC01">#REF!</definedName>
    <definedName name="_Period">"Period#"</definedName>
    <definedName name="_pg1">'[8]2005'!$B$2:$P$27</definedName>
    <definedName name="_pg2">'[23]2005'!#REF!</definedName>
    <definedName name="_POV">[24]POV!$A$22</definedName>
    <definedName name="_POV_Rs">[25]Setup1!$C$20</definedName>
    <definedName name="_POV1">[26]POV!$A$24</definedName>
    <definedName name="_POVlocal">[27]POV!$A$25</definedName>
    <definedName name="_POVparent">[27]POV!$A$22</definedName>
    <definedName name="_pr1">[23]configuracion!#REF!</definedName>
    <definedName name="_pr10">[23]configuracion!#REF!</definedName>
    <definedName name="_pr11">[23]configuracion!#REF!</definedName>
    <definedName name="_pr12">[23]configuracion!#REF!</definedName>
    <definedName name="_pr2">[23]configuracion!#REF!</definedName>
    <definedName name="_pr3">[23]configuracion!#REF!</definedName>
    <definedName name="_pr4">[23]configuracion!#REF!</definedName>
    <definedName name="_pr5">[23]configuracion!#REF!</definedName>
    <definedName name="_pr6">[23]configuracion!#REF!</definedName>
    <definedName name="_pr7">[23]configuracion!#REF!</definedName>
    <definedName name="_pr8">[23]configuracion!#REF!</definedName>
    <definedName name="_pr9">[23]configuracion!#REF!</definedName>
    <definedName name="_prb500">[6]Sheet1!#REF!</definedName>
    <definedName name="_PRESERVERNGNM">#REF!</definedName>
    <definedName name="_PRL02">#REF!</definedName>
    <definedName name="_PRL54">#REF!</definedName>
    <definedName name="_prt1">#REF!</definedName>
    <definedName name="_PRT2">#REF!</definedName>
    <definedName name="_PRT3">#REF!</definedName>
    <definedName name="_PRT4">#REF!</definedName>
    <definedName name="_prt5">#REF!</definedName>
    <definedName name="_PRT6">#REF!</definedName>
    <definedName name="_PUTSCRIPT">#REF!</definedName>
    <definedName name="_PUTSCRIPTPROC2">#REF!</definedName>
    <definedName name="_PUTSCRIPTPROC3">#REF!</definedName>
    <definedName name="_RANGENAME">#REF!</definedName>
    <definedName name="_rb200">[6]Sheet1!#REF!</definedName>
    <definedName name="_REF1">[4]Vol!#REF!</definedName>
    <definedName name="_REFRESHDEL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HIDE">#REF!</definedName>
    <definedName name="_REJECTUPDATE">#REF!</definedName>
    <definedName name="_REJECTUPDATE1">#REF!</definedName>
    <definedName name="_REQ1DATA">#REF!</definedName>
    <definedName name="_REQ1SCRIPT">#REF!</definedName>
    <definedName name="_REQ2DATA">#REF!</definedName>
    <definedName name="_REQ2SCRIPT">#REF!</definedName>
    <definedName name="_REQ3SCRIPT">#REF!</definedName>
    <definedName name="_REQ4SCRIPT">#REF!</definedName>
    <definedName name="_REQDATARANGE">#REF!</definedName>
    <definedName name="_REQUEST">#REF!</definedName>
    <definedName name="_RESETLIST">#REF!</definedName>
    <definedName name="_RLISTBOXTABLE">#REF!</definedName>
    <definedName name="_RNGNAMECREATE">#REF!</definedName>
    <definedName name="_RVMAIN">#REF!</definedName>
    <definedName name="_SALVIEWS">#REF!</definedName>
    <definedName name="_SASVIEWS">#REF!</definedName>
    <definedName name="_SAVECELLLOC">#REF!</definedName>
    <definedName name="_Scenario">"Scenario#"</definedName>
    <definedName name="_SCRIPTRANGE">#REF!</definedName>
    <definedName name="_SCRIPTTORUN">#REF!</definedName>
    <definedName name="_SDDDESCRIPTION">#REF!</definedName>
    <definedName name="_SDMADDVIEW">#REF!</definedName>
    <definedName name="_SDMALTER">#REF!</definedName>
    <definedName name="_SDMCANCEL">#REF!</definedName>
    <definedName name="_SDMDELETE">#REF!</definedName>
    <definedName name="_SDMEXP123">#REF!</definedName>
    <definedName name="_SDMEXPLORER">#REF!</definedName>
    <definedName name="_SDMEXPPROC1">#REF!</definedName>
    <definedName name="_SDMGOTO">#REF!</definedName>
    <definedName name="_SDMREFRESH">#REF!</definedName>
    <definedName name="_SDMREFSHALL">#REF!</definedName>
    <definedName name="_SDRADDVIEW">#REF!</definedName>
    <definedName name="_SDRALTER">#REF!</definedName>
    <definedName name="_SDRCANCEL">#REF!</definedName>
    <definedName name="_SDRDELETE">#REF!</definedName>
    <definedName name="_SDREXP123">#REF!</definedName>
    <definedName name="_SDREXPLORER">#REF!</definedName>
    <definedName name="_SDRGOTO">#REF!</definedName>
    <definedName name="_SDROK">#REF!</definedName>
    <definedName name="_SDRREFRESH">#REF!</definedName>
    <definedName name="_SDRREFSHALL">#REF!</definedName>
    <definedName name="_SDRTEMP">#REF!</definedName>
    <definedName name="_SDRVIEWS">#REF!</definedName>
    <definedName name="_SENDMESSAGE">#REF!</definedName>
    <definedName name="_SENDMSGBOX">#REF!</definedName>
    <definedName name="_SETCOLSIZE">#REF!</definedName>
    <definedName name="_SETTESTMODE">#REF!</definedName>
    <definedName name="_SHOW">#REF!</definedName>
    <definedName name="_Sort" hidden="1">#REF!</definedName>
    <definedName name="_SPANISHLNG">#REF!</definedName>
    <definedName name="_SQLMSG">#REF!</definedName>
    <definedName name="_SRDDESCRIPTION">#REF!</definedName>
    <definedName name="_SRRCANCEL">#REF!</definedName>
    <definedName name="_SRROK">#REF!</definedName>
    <definedName name="_SRRRANGE">#REF!</definedName>
    <definedName name="_SUPCANCEL">#REF!</definedName>
    <definedName name="_SUPDESCRIPTION">#REF!</definedName>
    <definedName name="_SUPNOUPGRD">#REF!</definedName>
    <definedName name="_SUPOK">#REF!</definedName>
    <definedName name="_SUPUPGRADE">#REF!</definedName>
    <definedName name="_SUPUSRSPT">#REF!</definedName>
    <definedName name="_t45">'[28]P&amp;L(S1)'!#REF!</definedName>
    <definedName name="_Table2_Out" hidden="1">#REF!</definedName>
    <definedName name="_TEMPVAR">#REF!</definedName>
    <definedName name="_TESTHIDDEN">#REF!</definedName>
    <definedName name="_TESTHIDDEN1">#REF!</definedName>
    <definedName name="_TESTMODE">#REF!</definedName>
    <definedName name="_tr1">#REF!</definedName>
    <definedName name="_tr2">#REF!</definedName>
    <definedName name="_tr3">#REF!</definedName>
    <definedName name="_TRANTYPE">#REF!</definedName>
    <definedName name="_UNHIDE">#REF!</definedName>
    <definedName name="_UNHIDESWITCH">#REF!</definedName>
    <definedName name="_UPD33">#REF!</definedName>
    <definedName name="_UPDATEABORT1">#REF!</definedName>
    <definedName name="_UPDATEABORT2">#REF!</definedName>
    <definedName name="_UPDATEFLAG">#REF!</definedName>
    <definedName name="_UPDATEMACROS">#REF!</definedName>
    <definedName name="_UPDATETOCURR">#REF!</definedName>
    <definedName name="_UPDATEWRAPUP">#REF!</definedName>
    <definedName name="_UPDATEWRAPUP1">#REF!</definedName>
    <definedName name="_UPDERRIGNORE">#REF!</definedName>
    <definedName name="_us1">#REF!,#REF!</definedName>
    <definedName name="_us10">#REF!,#REF!</definedName>
    <definedName name="_us11">#REF!,#REF!</definedName>
    <definedName name="_us12">#REF!,#REF!</definedName>
    <definedName name="_us2">#REF!,#REF!</definedName>
    <definedName name="_us3">#REF!,#REF!</definedName>
    <definedName name="_us4">#REF!,#REF!</definedName>
    <definedName name="_us5">#REF!,#REF!</definedName>
    <definedName name="_us6">#REF!,#REF!</definedName>
    <definedName name="_us7">#REF!,#REF!</definedName>
    <definedName name="_us8">#REF!,#REF!</definedName>
    <definedName name="_us9">#REF!,#REF!</definedName>
    <definedName name="_v5">#REF!</definedName>
    <definedName name="_v6">#REF!</definedName>
    <definedName name="_v7">#REF!</definedName>
    <definedName name="_v8">#REF!</definedName>
    <definedName name="_Value">"Value#"</definedName>
    <definedName name="_VARA">#REF!</definedName>
    <definedName name="_VARB">#REF!</definedName>
    <definedName name="_VERSION">#REF!</definedName>
    <definedName name="_View">"View#"</definedName>
    <definedName name="_VIEWS">#REF!</definedName>
    <definedName name="_VIEWSETLIST">#REF!</definedName>
    <definedName name="_vol1">#REF!</definedName>
    <definedName name="_vol10">#REF!</definedName>
    <definedName name="_vol11">#REF!</definedName>
    <definedName name="_vol12">#REF!</definedName>
    <definedName name="_vol2">#REF!</definedName>
    <definedName name="_vol3">#REF!</definedName>
    <definedName name="_vol4">#REF!</definedName>
    <definedName name="_vol5">#REF!</definedName>
    <definedName name="_vol6">#REF!</definedName>
    <definedName name="_vol7">#REF!</definedName>
    <definedName name="_vol8">#REF!</definedName>
    <definedName name="_vol9">#REF!</definedName>
    <definedName name="_VS97">#REF!</definedName>
    <definedName name="_VSQ2">#REF!</definedName>
    <definedName name="_WAITFORGUI">#REF!</definedName>
    <definedName name="_WP1">#REF!</definedName>
    <definedName name="_YE1990">#REF!</definedName>
    <definedName name="_YE1991">#REF!</definedName>
    <definedName name="_YE1992">#REF!</definedName>
    <definedName name="_Year">"Year#"</definedName>
    <definedName name="_YN1">#REF!</definedName>
    <definedName name="_YN2">#REF!</definedName>
    <definedName name="_YN3">#REF!</definedName>
    <definedName name="A">#REF!</definedName>
    <definedName name="A_PRINT_MOODY_RATIO">[7]Detail!$A$1:$M$44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A1">#REF!</definedName>
    <definedName name="aa">[29]ASP!$E$11:$G$17</definedName>
    <definedName name="AAAA">#REF!</definedName>
    <definedName name="AAAAAAAAAAAA">#REF!</definedName>
    <definedName name="AB">#REF!</definedName>
    <definedName name="ABC">#REF!</definedName>
    <definedName name="AC">#REF!</definedName>
    <definedName name="Account">[30]Ref!$B$3:$B$36</definedName>
    <definedName name="accrual">[31]Hyperion!$D$23</definedName>
    <definedName name="ACCT_INF">#REF!</definedName>
    <definedName name="acomprar">#REF!</definedName>
    <definedName name="AcqCurr">[32]Acquirer!$D$9</definedName>
    <definedName name="AcqName">[32]Acquirer!$A$2</definedName>
    <definedName name="Act">'[33]input data'!$C$4</definedName>
    <definedName name="Act_Reason">#REF!</definedName>
    <definedName name="Active_Name">[34]Config!$H$11</definedName>
    <definedName name="actual">#REF!</definedName>
    <definedName name="Actuals">'[35]PI_Hyp Config'!$K$8</definedName>
    <definedName name="Actuals_1998">#REF!</definedName>
    <definedName name="Actuals_1999">#REF!</definedName>
    <definedName name="Actuals_2000">#REF!</definedName>
    <definedName name="actualtab">'[36]2002 Forex Plan'!#REF!</definedName>
    <definedName name="ad">'[37]2002P-BU'!$R$8:$R$76</definedName>
    <definedName name="adf">[38]Reference!$O$3</definedName>
    <definedName name="adfa">[39]Reference!$E$3</definedName>
    <definedName name="adfaf">'[40]Jan Volume'!#REF!</definedName>
    <definedName name="adfd">'[22]P&amp;L(S1)'!$AD$7</definedName>
    <definedName name="adg">'[37]2002P-BU'!$W$8:$W$76</definedName>
    <definedName name="adgagsd">'[40]Jan Volume'!#REF!</definedName>
    <definedName name="adgsa">#REF!</definedName>
    <definedName name="adhsk">[41]Sheet1!#REF!</definedName>
    <definedName name="Admin_Loc">#REF!</definedName>
    <definedName name="ads">'[37]2002P-BU'!$M$8:$M$76</definedName>
    <definedName name="AE">#REF!</definedName>
    <definedName name="AF">#REF!</definedName>
    <definedName name="afgad">'[42] nfcst_py'!#REF!</definedName>
    <definedName name="afgadf">[43]Controls!$D$12</definedName>
    <definedName name="AFVol">'[44]Filling Line Detail'!#REF!</definedName>
    <definedName name="AG">#REF!</definedName>
    <definedName name="agadgagd">'[40]Jan Volume'!#REF!</definedName>
    <definedName name="ageing">#REF!</definedName>
    <definedName name="agfafga">#REF!</definedName>
    <definedName name="AH">#REF!</definedName>
    <definedName name="AI">#REF!</definedName>
    <definedName name="AJ">#REF!</definedName>
    <definedName name="AK">#REF!</definedName>
    <definedName name="AL">#REF!</definedName>
    <definedName name="ALALALA">#REF!</definedName>
    <definedName name="Algorithm">#REF!</definedName>
    <definedName name="ALL">#REF!</definedName>
    <definedName name="All_BO_YTD">#REF!</definedName>
    <definedName name="All_Item">#REF!</definedName>
    <definedName name="All_list">#REF!</definedName>
    <definedName name="All_Reasons_YTD">#REF!</definedName>
    <definedName name="AllBOYtd">#REF!</definedName>
    <definedName name="Alldata">#REF!</definedName>
    <definedName name="ALPIN">#N/A</definedName>
    <definedName name="ALPJYOU">#N/A</definedName>
    <definedName name="ALPTOI">#N/A</definedName>
    <definedName name="AM">#REF!</definedName>
    <definedName name="AM_Categories">#REF!</definedName>
    <definedName name="AMEA">#REF!</definedName>
    <definedName name="AN">#REF!</definedName>
    <definedName name="ANFACTOR">#REF!</definedName>
    <definedName name="Annual_Capacity_Actual">#REF!</definedName>
    <definedName name="Annual_Capacity_Std">#REF!</definedName>
    <definedName name="AO">#REF!</definedName>
    <definedName name="AOP">[45]Capex!$H$45:$Y$72</definedName>
    <definedName name="AOP_Bridge">'[46]JAN $'!$A$96:$M$115</definedName>
    <definedName name="AP">#REF!</definedName>
    <definedName name="app">[47]INPUT!$B$1</definedName>
    <definedName name="Application">[48]Hyperion!$D$5</definedName>
    <definedName name="Apr">#REF!</definedName>
    <definedName name="Apr_98">#REF!</definedName>
    <definedName name="Apr_Raw">#REF!</definedName>
    <definedName name="aprbs">'[49]CURRENCY RATES'!$B$6</definedName>
    <definedName name="April_fcst_AM_Ratio">#REF!</definedName>
    <definedName name="aproducir">#REF!</definedName>
    <definedName name="aptb">#REF!</definedName>
    <definedName name="aptbytd">#REF!</definedName>
    <definedName name="AQ">#REF!</definedName>
    <definedName name="Aquafina">'[50]PET Line'!$O$7</definedName>
    <definedName name="AR">#REF!</definedName>
    <definedName name="arae">#REF!</definedName>
    <definedName name="ARBOR_INFO">"[FPS_BRASIL][Fps][Fps_pl]"</definedName>
    <definedName name="ARGENTINA">#REF!</definedName>
    <definedName name="Argentina_CSD">"data"</definedName>
    <definedName name="ARGTNA">#REF!</definedName>
    <definedName name="array">#REF!</definedName>
    <definedName name="artq">'[51]Market Trends'!$A$1:$N$66,'[51]Market Trends'!#REF!,'[51]Market Trends'!#REF!,'[51]Market Trends'!#REF!,'[51]Market Trends'!#REF!,'[51]Market Trends'!#REF!,'[51]Market Trends'!#REF!,'[51]Market Trends'!#REF!,'[51]Market Trends'!#REF!,'[51]Market Trends'!#REF!</definedName>
    <definedName name="aryweyew">#REF!</definedName>
    <definedName name="AS">#REF!</definedName>
    <definedName name="AS2DocOpenMode" hidden="1">"AS2DocumentEdit"</definedName>
    <definedName name="asd">#REF!</definedName>
    <definedName name="asdf">#REF!</definedName>
    <definedName name="ASDFAS">'[52]Macro Market Trends'!$A$1:$N$70,'[52]Macro Market Trends'!#REF!,'[52]Macro Market Trends'!#REF!,'[52]Macro Market Trends'!#REF!,'[52]Macro Market Trends'!#REF!,'[52]Macro Market Trends'!#REF!,'[52]Macro Market Trends'!#REF!,'[52]Macro Market Trends'!#REF!,'[52]Macro Market Trends'!#REF!,'[52]Macro Market Trends'!#REF!</definedName>
    <definedName name="asdgadag">'[40]Jan Volume'!#REF!</definedName>
    <definedName name="asdgadg">'[40]Jan Volume'!#REF!</definedName>
    <definedName name="asdgagdsa">'[40]Jan Volume'!#REF!</definedName>
    <definedName name="asf">'[37]2002P-BU'!$T$8:$T$76</definedName>
    <definedName name="asfs">#REF!</definedName>
    <definedName name="Asia">#REF!</definedName>
    <definedName name="ASIABU">'[53]Input Sheet'!$A$1:$Y$56</definedName>
    <definedName name="Asset">[45]Capex!$G$6:$I$13</definedName>
    <definedName name="ASSUMPTIONS">#REF!</definedName>
    <definedName name="AT">#REF!</definedName>
    <definedName name="AT_T_Canada_Earnings_Model">[7]Detail!$A$2:$AE$90</definedName>
    <definedName name="ATCF2000">#REF!</definedName>
    <definedName name="ATCF2001">#REF!</definedName>
    <definedName name="ATCF2002">#REF!</definedName>
    <definedName name="AU">#REF!</definedName>
    <definedName name="Aug">#REF!</definedName>
    <definedName name="Aug_Raw">#REF!</definedName>
    <definedName name="Aust">0.77</definedName>
    <definedName name="AUSTRALIA">#REF!</definedName>
    <definedName name="AV">#REF!</definedName>
    <definedName name="AvgCost">#REF!</definedName>
    <definedName name="avgtab">#REF!</definedName>
    <definedName name="AW">#REF!</definedName>
    <definedName name="AX">'[54]AOP-JUNE FCST'!#REF!</definedName>
    <definedName name="AY">#REF!</definedName>
    <definedName name="AZ">#REF!</definedName>
    <definedName name="B">'[55]P&amp;L'!#REF!</definedName>
    <definedName name="B_S">#N/A</definedName>
    <definedName name="B_S_1">#REF!</definedName>
    <definedName name="B_S_10">#REF!</definedName>
    <definedName name="B_SLC">#REF!</definedName>
    <definedName name="B_SUS">#REF!</definedName>
    <definedName name="BA">#REF!</definedName>
    <definedName name="BACKUP">#REF!</definedName>
    <definedName name="Bagarea">#REF!</definedName>
    <definedName name="Baglengh">#REF!</definedName>
    <definedName name="BAGS">#REF!</definedName>
    <definedName name="Bagwidth">#REF!</definedName>
    <definedName name="BakedRange">#REF!</definedName>
    <definedName name="balsheet">'[56]Actuals 2006 - SR'!$A$93:'[56]Actuals 2006 - SR'!$A$182</definedName>
    <definedName name="Band">#REF!</definedName>
    <definedName name="Bangalore">#REF!</definedName>
    <definedName name="base">[8]configuracion!$B$2</definedName>
    <definedName name="BASE_PLAN">#REF!</definedName>
    <definedName name="base1">'[57]30''s-Components'!$B$2</definedName>
    <definedName name="baseA">[8]configuracion!$B$2</definedName>
    <definedName name="basecorto">[8]configuracion!$C$2</definedName>
    <definedName name="BaseYear">#REF!</definedName>
    <definedName name="Basic">#REF!</definedName>
    <definedName name="BB">#REF!</definedName>
    <definedName name="bBeverage">[58]Reference!$F$20</definedName>
    <definedName name="BC">#REF!</definedName>
    <definedName name="BC72Clextral">'[59]2005 EX Grodzisk by platform'!$A$83:$C$123</definedName>
    <definedName name="BD">#REF!</definedName>
    <definedName name="BDraw">'[60]Puerto Rico'!#REF!</definedName>
    <definedName name="BE">#REF!</definedName>
    <definedName name="BEGINING">'[61]AOP-JUNE FCST'!$A$1</definedName>
    <definedName name="begyr">'[62]control sheet'!$D$1</definedName>
    <definedName name="Beijing">((200+95)/2)%</definedName>
    <definedName name="bev">[63]Master!$K$4:$K$7</definedName>
    <definedName name="Bev_Concentrate">#REF!</definedName>
    <definedName name="BEV_IO">[64]CSD!$A$13:$P$108</definedName>
    <definedName name="BEV_VOLUME_ACTUAL">#REF!</definedName>
    <definedName name="BEV_VOLUME_FCST">#REF!</definedName>
    <definedName name="BEV_VOLUME_PLAN">#REF!</definedName>
    <definedName name="BEV_VOLUME_PRIOR">#REF!</definedName>
    <definedName name="BEV_VOLUME_PRIOR1">#REF!</definedName>
    <definedName name="BEV_VOLUME_RES2007">#REF!</definedName>
    <definedName name="Beverage">#REF!</definedName>
    <definedName name="Beverage_Summary">[7]Detail!$B$7:$Y$71</definedName>
    <definedName name="bevlc">[1]W604!#REF!</definedName>
    <definedName name="BF">#REF!</definedName>
    <definedName name="BG">#REF!</definedName>
    <definedName name="BH">#REF!</definedName>
    <definedName name="Bhiwandi">#REF!</definedName>
    <definedName name="Bht">1/38.74</definedName>
    <definedName name="BI">#REF!</definedName>
    <definedName name="Big_GCDC">'[65]Cost Sheet'!$D$74</definedName>
    <definedName name="Bihar">#REF!</definedName>
    <definedName name="bILA">#REF!</definedName>
    <definedName name="BJ">#REF!</definedName>
    <definedName name="BK">'[61]AOP-JUNE FCST'!$C$212:$R$245</definedName>
    <definedName name="BL">'[61]AOP-JUNE FCST'!$C$261:$R$294</definedName>
    <definedName name="Blankout">#REF!,#REF!,#REF!,#REF!,#REF!</definedName>
    <definedName name="Blookup">#REF!</definedName>
    <definedName name="BM">'[61]AOP-JUNE FCST'!$C$310:$R$343</definedName>
    <definedName name="BN">'[61]AOP-JUNE FCST'!$C$457:$R$490</definedName>
    <definedName name="BO">'[61]AOP-JUNE FCST'!$C$506:$R$539</definedName>
    <definedName name="Bon_Factor">110%</definedName>
    <definedName name="Bonus_Input">'[66]Input Sheet'!$A$3:$C$17</definedName>
    <definedName name="BoppCost">#REF!</definedName>
    <definedName name="BOQ">#REF!</definedName>
    <definedName name="BORsnLkp">[67]Lookup!$H$2:$I$15</definedName>
    <definedName name="bot">[68]Sale!#REF!</definedName>
    <definedName name="BOTotal">#REF!</definedName>
    <definedName name="bottle">[69]Sale!#REF!</definedName>
    <definedName name="bottler">'[70]BO Summ'!#REF!</definedName>
    <definedName name="BOY">#REF!</definedName>
    <definedName name="BP">'[61]AOP-JUNE FCST'!$C$555:$R$588</definedName>
    <definedName name="BP_Rating">#REF!</definedName>
    <definedName name="BP_SM">[71]Fcsts!$G$56:$P$93</definedName>
    <definedName name="BQ">'[61]AOP-JUNE FCST'!$C$604:$R$637</definedName>
    <definedName name="BR">'[61]AOP-JUNE FCST'!$C$653:$R$686</definedName>
    <definedName name="Brand_Label">[72]FLT!#REF!</definedName>
    <definedName name="BRANDBKUP">#REF!</definedName>
    <definedName name="BRANDCALC">#REF!</definedName>
    <definedName name="brands">[73]Lookup!$M$3:$O$81</definedName>
    <definedName name="BRAZIL">#REF!</definedName>
    <definedName name="brazil_data">[74]lookups!$A$5:$D$150</definedName>
    <definedName name="Bridge_TOTAL_PL">#REF!</definedName>
    <definedName name="BS">'[54]AOP-JUNE FCST'!#REF!</definedName>
    <definedName name="bSnacks">[58]Reference!$F$26</definedName>
    <definedName name="BU">#REF!</definedName>
    <definedName name="Bulk_Kg">#REF!</definedName>
    <definedName name="BULookup">#REF!</definedName>
    <definedName name="BUName">#REF!</definedName>
    <definedName name="Business_Unit">#REF!</definedName>
    <definedName name="bv">#REF!</definedName>
    <definedName name="BVCISUMMARY">#REF!</definedName>
    <definedName name="Bw_Current_Year_Forecast">'[40]Jan Volume'!#REF!</definedName>
    <definedName name="Bw_Current_Year_Plan">'[40]Jan Volume'!#REF!</definedName>
    <definedName name="Bw_Current_Year_YTD_Forecast">'[40]Jan Volume'!#REF!</definedName>
    <definedName name="Bw_Current_Year_YTD_Plan">'[40]Jan Volume'!#REF!</definedName>
    <definedName name="Bw_Previous_Year_Actuals">'[40]Jan Volume'!#REF!</definedName>
    <definedName name="Bw_Previous_Year_YTD_Actuals">'[40]Jan Volume'!#REF!</definedName>
    <definedName name="BX">#REF!</definedName>
    <definedName name="BY_CAT">#REF!</definedName>
    <definedName name="C_">#REF!</definedName>
    <definedName name="c_date">[75]Detail!#REF!</definedName>
    <definedName name="c_dateswitch">[7]Detail!$D$6</definedName>
    <definedName name="C_MONTH">[76]Sum!$C$4</definedName>
    <definedName name="c_pageswitch">[7]Detail!$D$7</definedName>
    <definedName name="c_pathswitch">[7]Detail!$B$6</definedName>
    <definedName name="c_proj_switch">[7]Detail!$B$8</definedName>
    <definedName name="c_SSBswitch">[7]Detail!$B$7</definedName>
    <definedName name="ca">[8]NOMINA!$CN$3</definedName>
    <definedName name="CADACT">'[77]HFL YTD'!$H$1:$H$65536</definedName>
    <definedName name="CADHI">'[77]HFL YTD'!$A$1:$A$65536</definedName>
    <definedName name="CADLBS">'[77]HFL YTD'!$O$1:$O$65536</definedName>
    <definedName name="CADPLN">'[77]HFL YTD'!$M$1:$M$65536</definedName>
    <definedName name="CADPLNLBS">'[77]HFL YTD'!$Q$1:$Q$65536</definedName>
    <definedName name="CADYAG">'[77]HFL YTD'!$L$1:$L$65536</definedName>
    <definedName name="CADYAGLBS">'[77]HFL YTD'!$P$1:$P$65536</definedName>
    <definedName name="CALCULATIONS">#REF!</definedName>
    <definedName name="Calcutta">#REF!</definedName>
    <definedName name="can330base">'[78]Vol Mths-R'!#REF!</definedName>
    <definedName name="can330eq">'[78]Vol Mths-R'!#REF!</definedName>
    <definedName name="can330prb">'[78]Vol Mths-R'!#REF!</definedName>
    <definedName name="Capacity_Act">'[79]Package Summary'!#REF!</definedName>
    <definedName name="CAPEX">#REF!</definedName>
    <definedName name="CAPEX1">#REF!</definedName>
    <definedName name="Careyplan">#REF!</definedName>
    <definedName name="CARFORM">#REF!</definedName>
    <definedName name="CARIB">'[80]Orig Target'!#REF!</definedName>
    <definedName name="carro">'[54]AOP-JUNE FCST'!#REF!</definedName>
    <definedName name="CARSUM">#REF!</definedName>
    <definedName name="Cartoncost_perkg">#REF!</definedName>
    <definedName name="CARTONS">#REF!</definedName>
    <definedName name="casa">'[54]AOP-JUNE FCST'!#REF!</definedName>
    <definedName name="case">#REF!</definedName>
    <definedName name="case_sales_1">#REF!</definedName>
    <definedName name="case_sales_10">#REF!</definedName>
    <definedName name="case_sales_11">#REF!</definedName>
    <definedName name="case_sales_2">#REF!</definedName>
    <definedName name="case_sales_3">#REF!</definedName>
    <definedName name="case_sales_5">#REF!</definedName>
    <definedName name="case_sales_6">#REF!</definedName>
    <definedName name="case_sales_7">#REF!</definedName>
    <definedName name="case_sales_9">#REF!</definedName>
    <definedName name="Case_sales_Apr">#REF!</definedName>
    <definedName name="Case_sales_Aug">#REF!</definedName>
    <definedName name="Case_sales_Dec">#REF!</definedName>
    <definedName name="Case_sales_Feb">#REF!</definedName>
    <definedName name="Case_sales_Jan">#REF!</definedName>
    <definedName name="Case_sales_Jul">#REF!</definedName>
    <definedName name="Case_sales_Jun">#REF!</definedName>
    <definedName name="Case_sales_Mar">#REF!</definedName>
    <definedName name="Case_sales_May">#REF!</definedName>
    <definedName name="Case_sales_Nov">#REF!</definedName>
    <definedName name="Case_sales_Oct">#REF!</definedName>
    <definedName name="Case_sales_Sep">#REF!</definedName>
    <definedName name="Case_Size_Nr">'[40]Jan Volume'!#REF!</definedName>
    <definedName name="CASH">#REF!</definedName>
    <definedName name="cash_flow_backup">#REF!</definedName>
    <definedName name="CAT">#REF!</definedName>
    <definedName name="categories">#REF!</definedName>
    <definedName name="Category">'[81]1_Parameters'!$B$5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C">'[54]AOP-JUNE FCST'!#REF!</definedName>
    <definedName name="CCCCCCCCCCCCCCCCCC">#REF!</definedName>
    <definedName name="ccostytdRC">'[82]HP Actual YTD'!#REF!</definedName>
    <definedName name="ccytd">'[82]HP Actual YTD'!#REF!</definedName>
    <definedName name="cellBURates">#REF!</definedName>
    <definedName name="cellOFCFActuals">#REF!</definedName>
    <definedName name="CES">#REF!</definedName>
    <definedName name="cesanp">[8]NOMINA!$BW$7</definedName>
    <definedName name="cesant">[8]NOMINA!$BW$8</definedName>
    <definedName name="CF">#REF!</definedName>
    <definedName name="CF_and_BS_100">#REF!</definedName>
    <definedName name="CF_Economic">#REF!</definedName>
    <definedName name="CF_GAAP">#REF!</definedName>
    <definedName name="CFA">#REF!</definedName>
    <definedName name="cflow">[83]BS!$C$178</definedName>
    <definedName name="CFLOWLC">#REF!</definedName>
    <definedName name="CFLOWUS">#REF!</definedName>
    <definedName name="cfst">#REF!</definedName>
    <definedName name="CG">#REF!</definedName>
    <definedName name="chan.fsv">'[62]control sheet'!$B$67</definedName>
    <definedName name="chan.oth">'[62]control sheet'!$B$68</definedName>
    <definedName name="chan.pcna">'[62]control sheet'!$B$66</definedName>
    <definedName name="Changchun">((42+45)/2)%</definedName>
    <definedName name="ChangeLbs">[84]FLNA!$J$8:$J$20,[84]FLNA!$J$23:$J$32,[84]FLNA!$J$35:$J$38,[84]FLNA!$J$41:$J$46,[84]FLNA!$J$49:$J$65,[84]FLNA!$J$70:$J$88</definedName>
    <definedName name="ChangeQLbs">'[85]Q4 Pltfm'!$J$8:$J$20,'[85]Q4 Pltfm'!$J$23:$J$32,'[85]Q4 Pltfm'!$J$35:$J$38,'[85]Q4 Pltfm'!$J$41:$J$46,'[85]Q4 Pltfm'!$J$49:$J$65,'[85]Q4 Pltfm'!$J$70:$J$88</definedName>
    <definedName name="ChangeQSls">'[85]Q4 Pltfm'!$F$8:$F$20,'[85]Q4 Pltfm'!$F$23:$F$32,'[85]Q4 Pltfm'!$F$35:$F$38,'[85]Q4 Pltfm'!$F$41:$F$46,'[85]Q4 Pltfm'!$F$49:$F$65,'[85]Q4 Pltfm'!$F$70:$F$88</definedName>
    <definedName name="ChangeQTDLbs">'[86]Q4 Pltfm'!#REF!,'[86]Q4 Pltfm'!#REF!,'[86]Q4 Pltfm'!#REF!,'[86]Q4 Pltfm'!#REF!,'[86]Q4 Pltfm'!#REF!,'[86]Q4 Pltfm'!#REF!,'[86]Q4 Pltfm'!#REF!,'[86]Q4 Pltfm'!#REF!</definedName>
    <definedName name="ChangeQTDSales">'[85]Q4 Pltfm'!$F$8:$F$20,'[85]Q4 Pltfm'!$F$23:$F$32,'[85]Q4 Pltfm'!$F$39:$F$41,'[85]Q4 Pltfm'!$F$47:$F$62,'[85]Q4 Pltfm'!$F$65:$F$67,'[85]Q4 Pltfm'!$F$71:$F$80,'[85]Q4 Pltfm'!$F$92:$F$95,'[85]Q4 Pltfm'!$F$96:$F$96</definedName>
    <definedName name="ChangeSls">[84]FLNA!$F$8:$F$20,[84]FLNA!$F$23:$F$32,[84]FLNA!$F$35:$F$38,[84]FLNA!$F$41:$F$46,[84]FLNA!$F$49:$F$65,[84]FLNA!$F$70:$F$88</definedName>
    <definedName name="Channo_MOH">#REF!</definedName>
    <definedName name="CHART">#REF!,#REF!</definedName>
    <definedName name="ChartI">'[87]SOPRESA JV'!$B$27:$T$67</definedName>
    <definedName name="ChartII">'[88]P&amp;L Chart II'!$B$27:$T$67</definedName>
    <definedName name="ChartIII">'[88]OFCF Chart'!$B$27:$T$67</definedName>
    <definedName name="ChartIIInew">'[88]OFCF Chart'!$B$27:$T$67</definedName>
    <definedName name="ChartIInew">'[88]P&amp;L Chart II'!$B$27:$T$67</definedName>
    <definedName name="Checked">[89]Lists!$L$2:$L$3</definedName>
    <definedName name="Cheetos">#REF!</definedName>
    <definedName name="Cheetos_P__L">#REF!</definedName>
    <definedName name="CHEETOS_Rs">#REF!</definedName>
    <definedName name="ChemicalReagent">#REF!</definedName>
    <definedName name="CHINA">#REF!</definedName>
    <definedName name="ChinaAP">((82+135)/2)%</definedName>
    <definedName name="Chongqing">0%</definedName>
    <definedName name="CI">#REF!</definedName>
    <definedName name="ClearAll">#REF!,#REF!,#REF!,#REF!,#REF!,#REF!,#REF!,#REF!,#REF!,#REF!,#REF!,#REF!,#REF!,#REF!,#REF!</definedName>
    <definedName name="ClearInputs">#REF!,#REF!,#REF!,#REF!,#REF!,#REF!,#REF!,#REF!,#REF!,#REF!,#REF!,#REF!,#REF!</definedName>
    <definedName name="ClearYTD">#REF!</definedName>
    <definedName name="ClearYTDInputs">#REF!</definedName>
    <definedName name="clsflvrlkup">'[90]Pivot Table'!$A$5:$L$1100</definedName>
    <definedName name="clsonlylkup">'[90]Pivot Table'!$Q$5:$AB$200</definedName>
    <definedName name="Club">2000</definedName>
    <definedName name="cluster">[20]INPUT!$D$7</definedName>
    <definedName name="CLVL">#REF!</definedName>
    <definedName name="CN">[17]Lipton!$F$2:$F$477</definedName>
    <definedName name="CN_02">[17]Lipton!$G$2:$G$477</definedName>
    <definedName name="CN_2">[17]Lipton!$H$2:$H$477</definedName>
    <definedName name="CO2_Tanks">[6]Sheet1!#REF!</definedName>
    <definedName name="COBO__000LE">#REF!</definedName>
    <definedName name="COBO__000USD">#REF!</definedName>
    <definedName name="coc">[91]MUthai1!#REF!</definedName>
    <definedName name="CoCNames">#REF!</definedName>
    <definedName name="COCnew">[88]COC!$B$40:$K$81</definedName>
    <definedName name="COCPLAN">#REF!</definedName>
    <definedName name="COCPRIOR">#REF!</definedName>
    <definedName name="CodeList">#REF!</definedName>
    <definedName name="CodeTable">#REF!</definedName>
    <definedName name="COGS">[46]JAN!$A$70:$K$94</definedName>
    <definedName name="cogsbase">[8]configuracion!$B$11</definedName>
    <definedName name="cogscomp1">[8]configuracion!$B$18</definedName>
    <definedName name="cogscomp2">[8]configuracion!$B$33</definedName>
    <definedName name="COLA">'[61]AOP-JUNE FCST'!$E$70</definedName>
    <definedName name="COLB">'[61]AOP-JUNE FCST'!$F$70</definedName>
    <definedName name="COLBIL">#REF!</definedName>
    <definedName name="COLTIL2B">#REF!</definedName>
    <definedName name="ColumnRef">#REF!</definedName>
    <definedName name="COM">#REF!</definedName>
    <definedName name="CombName">[32]Combined!$A$2</definedName>
    <definedName name="COMMON">#REF!</definedName>
    <definedName name="comn">#REF!</definedName>
    <definedName name="Comp_Idx_Plan">#REF!</definedName>
    <definedName name="comp1">[8]configuracion!$B$3</definedName>
    <definedName name="comp1A">[8]configuracion!$B$3</definedName>
    <definedName name="comp1corto">[8]configuracion!$C$3</definedName>
    <definedName name="comp2">[8]configuracion!$B$4</definedName>
    <definedName name="comp2corto">[8]configuracion!$C$4</definedName>
    <definedName name="comp3">[8]configuracion!$B$5</definedName>
    <definedName name="comp3corto">[8]configuracion!$C$5</definedName>
    <definedName name="comp4corto">[8]configuracion!$C$6</definedName>
    <definedName name="Company">[7]Historical!$C$6</definedName>
    <definedName name="ComparableAnalysis">[7]Detail!$B$1:$S$38</definedName>
    <definedName name="compute_0004">[92]KatsVam!#REF!</definedName>
    <definedName name="compute_0006">[92]KatsVam!#REF!</definedName>
    <definedName name="compute_0008">[92]KatsVam!#REF!</definedName>
    <definedName name="compute_0009">[93]YUM!#REF!</definedName>
    <definedName name="compute_0010">[92]KatsVam!#REF!</definedName>
    <definedName name="compute_0011">[92]KatsVam!#REF!</definedName>
    <definedName name="compute_0012">[92]KatsVam!#REF!</definedName>
    <definedName name="compute_0013">[92]KatsVam!#REF!</definedName>
    <definedName name="compute_0014">[92]KatsVam!#REF!</definedName>
    <definedName name="compute_0015">[92]KatsVam!#REF!</definedName>
    <definedName name="compute_0016">[92]KatsVam!#REF!</definedName>
    <definedName name="compute_0017">[92]KatsVam!#REF!</definedName>
    <definedName name="compute_0018">[92]KatsVam!#REF!</definedName>
    <definedName name="compute_0019">[92]KatsVam!#REF!</definedName>
    <definedName name="compute_0020">[92]KatsVam!#REF!</definedName>
    <definedName name="compute_0021">[92]KatsVam!#REF!</definedName>
    <definedName name="compute_0022">[92]KatsVam!#REF!</definedName>
    <definedName name="compute_0023">[92]KatsVam!#REF!</definedName>
    <definedName name="compute_0024">[92]KatsVam!#REF!</definedName>
    <definedName name="compute_0025">[92]KatsVam!#REF!</definedName>
    <definedName name="compute_0026">[92]KatsVam!#REF!</definedName>
    <definedName name="compute_0027">[93]YUM!#REF!</definedName>
    <definedName name="compute_0028">[92]KatsVam!#REF!</definedName>
    <definedName name="comqty1">#REF!</definedName>
    <definedName name="comqty10">#REF!</definedName>
    <definedName name="comqty11">#REF!</definedName>
    <definedName name="comqty12">#REF!</definedName>
    <definedName name="comqty2">#REF!</definedName>
    <definedName name="comqty3">#REF!</definedName>
    <definedName name="comqty4">#REF!</definedName>
    <definedName name="comqty5">#REF!</definedName>
    <definedName name="comqty6">#REF!</definedName>
    <definedName name="comqty7">#REF!</definedName>
    <definedName name="comqty8">#REF!</definedName>
    <definedName name="comqty9">#REF!</definedName>
    <definedName name="CON_EQP_COS">#REF!</definedName>
    <definedName name="CON_EQP_COST">#REF!</definedName>
    <definedName name="Concentrate">#REF!</definedName>
    <definedName name="Concentrate_Price">'[94]BU Assumptions'!$C$6</definedName>
    <definedName name="conlc">[1]W604!#REF!</definedName>
    <definedName name="CONQTY7">#REF!</definedName>
    <definedName name="CONS_PLN_CNST">#REF!</definedName>
    <definedName name="CONS_PLN_CURR">#REF!</definedName>
    <definedName name="_xlnm.Consolidate_Area">#REF!</definedName>
    <definedName name="Consolidated_Cash_Flow">[7]Detail!$A$3:$H$52</definedName>
    <definedName name="Consolidation_Range">[95]Consolidation!$B$1:$BW$66</definedName>
    <definedName name="ConsolProv">#REF!</definedName>
    <definedName name="CONST_EQ">#REF!</definedName>
    <definedName name="CONSTANT_CURRENCY">#REF!</definedName>
    <definedName name="ContentsTopics">#REF!</definedName>
    <definedName name="CONTRIBUTION">[96]Sheet1!#REF!</definedName>
    <definedName name="Conversion_Factor_Pc">'[40]Jan Volume'!#REF!</definedName>
    <definedName name="ConvertiblePreferredShares4">[75]Sheet5!#REF!</definedName>
    <definedName name="COP">[46]JAN!$A$1:$K$70</definedName>
    <definedName name="Copy">'[97]NEW SYSTEM SUMMARY'!$B$8:$BA$100</definedName>
    <definedName name="CopyGZ">'[97]GZ(16)'!$B$6:$BA$88</definedName>
    <definedName name="CopySZ">'[97]SZ(17)'!$B$6:$BA$88</definedName>
    <definedName name="core">'[98]Brand Detail'!$S$2:$T$75</definedName>
    <definedName name="Core_BO_YTD">#REF!</definedName>
    <definedName name="Corporate">#REF!</definedName>
    <definedName name="COS_T">#REF!</definedName>
    <definedName name="coscomp1dist">[8]configuracion!$B$30</definedName>
    <definedName name="coscomp1opex">[8]configuracion!$B$27</definedName>
    <definedName name="coscomp2dist">[8]configuracion!$B$45</definedName>
    <definedName name="coscomp2opex">[8]configuracion!$B$42</definedName>
    <definedName name="COST">#REF!</definedName>
    <definedName name="Cost_Allocation_wage">#REF!</definedName>
    <definedName name="COUNTRY">'[79]Demand Forecast'!$D$4</definedName>
    <definedName name="country1">[20]INPUT!$E$9</definedName>
    <definedName name="country2">[20]INPUT!$E$12</definedName>
    <definedName name="Countrycode">'[99]Hidden DataSheet'!$A$9:$B$104</definedName>
    <definedName name="COVER">#REF!</definedName>
    <definedName name="CPC">#REF!</definedName>
    <definedName name="CPHAct">#REF!</definedName>
    <definedName name="CPHStd">#REF!</definedName>
    <definedName name="CreditSupportTTOP">[100]BKK!$BG$7:$BG$42</definedName>
    <definedName name="_xlnm.Criteria">#REF!</definedName>
    <definedName name="CRITINST">#REF!</definedName>
    <definedName name="CRITPURC">#REF!</definedName>
    <definedName name="Cross_Band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">[101]Line!$J$5</definedName>
    <definedName name="CSD_Pack">[102]Product!$C$26:$H$46</definedName>
    <definedName name="CSD_VOLUME">[96]Sheet1!#REF!</definedName>
    <definedName name="CSD_VOLUMES">[96]Sheet1!#REF!</definedName>
    <definedName name="CSDNRB">'[50]PET Line'!$O$6</definedName>
    <definedName name="CSDPET">'[50]PET Line'!$O$5</definedName>
    <definedName name="Curr_Pd">[73]Lookup!$E$3</definedName>
    <definedName name="curr_per">'[103]Control Sheet'!$B$3</definedName>
    <definedName name="Curr_Wk">[73]Lookup!$A$2</definedName>
    <definedName name="Curr_Wk_Dt">[73]Lookup!$D$3</definedName>
    <definedName name="Curr_Yr">[73]Lookup!$F$3</definedName>
    <definedName name="Currency">#REF!</definedName>
    <definedName name="current_month">#REF!</definedName>
    <definedName name="Current_Month_Number">#REF!</definedName>
    <definedName name="Current_period">[104]Hyperion!$D$23</definedName>
    <definedName name="Current_Year_Forecast">'[40]Jan Volume'!#REF!</definedName>
    <definedName name="Current_Year_YTD_Actuals">'[40]Jan Volume'!#REF!</definedName>
    <definedName name="Current_Year_YTD_Forecast">'[40]Jan Volume'!#REF!</definedName>
    <definedName name="Current_Year_YTD_Plan">'[40]Jan Volume'!#REF!</definedName>
    <definedName name="CurrentPd">[105]Lookup!$A$3</definedName>
    <definedName name="CurrentPeriod">#REF!</definedName>
    <definedName name="CurrentWk">[106]Lookup!$A$4</definedName>
    <definedName name="CurrentYear">#REF!</definedName>
    <definedName name="CurrentYr">'[99]Hidden DataSheet'!$C$1</definedName>
    <definedName name="CurrPd">[107]Lookup!$A$2</definedName>
    <definedName name="CurrPdBOTot">#REF!</definedName>
    <definedName name="CURRQ">[77]Input!$F$8</definedName>
    <definedName name="curving">#REF!</definedName>
    <definedName name="curving5">#REF!</definedName>
    <definedName name="CV">[108]CV!$A$1:$W$52</definedName>
    <definedName name="cveopex">[8]PLANopex!$B$14:$B$1476</definedName>
    <definedName name="CZECH_SLOVAKIA">#REF!</definedName>
    <definedName name="CZERWIEC">#REF!,#REF!,#REF!,#REF!,#REF!</definedName>
    <definedName name="D">#REF!</definedName>
    <definedName name="D_7101A_B">#REF!</definedName>
    <definedName name="da">'[39]Snacks Volume &amp; Gross Sales'!$C$9:$D$489</definedName>
    <definedName name="dafdaf">[39]Reference!$B$3</definedName>
    <definedName name="dasd">'[37]2002P-BU'!$I$8:$I$76</definedName>
    <definedName name="dasf">[39]Reference!$K$3</definedName>
    <definedName name="data">#REF!</definedName>
    <definedName name="Data_area">#REF!</definedName>
    <definedName name="DATA_DBP">[109]Data!$A$11:$G$54</definedName>
    <definedName name="Data_Eire">'[110]Input Slide'!$F$18:$AC$25</definedName>
    <definedName name="DATA_ENTRY_BY">'[79]Demand Forecast'!$G$4</definedName>
    <definedName name="Data_France">'[110]Input Slide'!$F$82:$BE$89</definedName>
    <definedName name="Data_Germany">'[110]Input Slide'!$F$50:$AC$57</definedName>
    <definedName name="Data_Hungary">'[110]Input Slide'!$F$58:$BE$65</definedName>
    <definedName name="Data_Italy">'[110]Input Slide'!$F$90:$BE$97</definedName>
    <definedName name="Data_Netherlands">'[110]Input Slide'!$F$10:$BE$17</definedName>
    <definedName name="Data_Nigeria">'[110]Input Slide'!$F$74:$BE$81</definedName>
    <definedName name="Data_Norway">'[110]Input Slide'!$F$34:$BE$41</definedName>
    <definedName name="Data_Poland">'[110]Input Slide'!$F$66:$BE$73</definedName>
    <definedName name="Data_Portugal">'[110]Input Slide'!$F$26:$AC$33</definedName>
    <definedName name="Data_Sweden">'[110]Input Slide'!$F$42:$AC$49</definedName>
    <definedName name="Data_UK">'[110]Input Slide'!$F$2:$BE$9</definedName>
    <definedName name="Data_vam">#REF!</definedName>
    <definedName name="Data1">[111]Data!$G$6:$S$987</definedName>
    <definedName name="_xlnm.Database">#REF!</definedName>
    <definedName name="DataRange">[112]MDandM_summary_data!$B$2:$K$506</definedName>
    <definedName name="DataScoops">#REF!</definedName>
    <definedName name="Datasheet">'[99]Hidden DataSheet'!$C$9:$AR$104</definedName>
    <definedName name="DATOS">#REF!</definedName>
    <definedName name="DATOS2">#REF!</definedName>
    <definedName name="DAV">[113]COSTS!#REF!</definedName>
    <definedName name="DAVol">[113]COSTS!#REF!</definedName>
    <definedName name="DAWS">[113]COSTS!#REF!</definedName>
    <definedName name="DayActual">#REF!</definedName>
    <definedName name="DayRef">#REF!</definedName>
    <definedName name="dbase">[114]Sheet1!$A$9:$AP$38</definedName>
    <definedName name="Dbase_Quarterly">#REF!</definedName>
    <definedName name="Dbase_Quarterly_NOPBT">#REF!</definedName>
    <definedName name="Dbase_Quarterly_Vol_NR">#REF!</definedName>
    <definedName name="DCFeeMT">[100]BKK!$BL$7:$BL$42</definedName>
    <definedName name="DCLkp">[73]Lookup!$T$3:$U$10</definedName>
    <definedName name="DCXferDist">#REF!</definedName>
    <definedName name="dd">#REF!</definedName>
    <definedName name="ddd">[115]Entities!#REF!</definedName>
    <definedName name="DDDDDDDDDDD">#REF!</definedName>
    <definedName name="DDDDDDDDDDDDDDDD">#REF!</definedName>
    <definedName name="debts">#REF!</definedName>
    <definedName name="Dec">#REF!</definedName>
    <definedName name="Dec_Raw">#REF!</definedName>
    <definedName name="def">#REF!</definedName>
    <definedName name="Delhi">#REF!</definedName>
    <definedName name="Demand_Forecast_Year">#REF!</definedName>
    <definedName name="Depr">#REF!</definedName>
    <definedName name="DEPRECIATION">[96]Sheet1!$B$69:$R$356</definedName>
    <definedName name="Desc">#REF!</definedName>
    <definedName name="Description">#REF!</definedName>
    <definedName name="descriptions">#REF!</definedName>
    <definedName name="DETAIL">#REF!</definedName>
    <definedName name="DETAIL_LEASE">#REF!</definedName>
    <definedName name="DETAIL_OWNED">#REF!</definedName>
    <definedName name="df">[116]ASP!#REF!</definedName>
    <definedName name="dfada">[104]Hyperion!$D$28</definedName>
    <definedName name="dfads">'[37]2002P-BU'!$Q$8:$Q$76</definedName>
    <definedName name="dfd">'[28]P&amp;L(S1)'!#REF!</definedName>
    <definedName name="dfdfa">'[117] nfcst_py'!#REF!</definedName>
    <definedName name="dfs">#REF!</definedName>
    <definedName name="dg">'[37]2002P-BU'!$U$8:$U$76</definedName>
    <definedName name="dgad">'[40]Jan Volume'!#REF!</definedName>
    <definedName name="dghd">[104]Hyperion!$D$14</definedName>
    <definedName name="diasaguinaldo">[8]NOMINA!$BW$34</definedName>
    <definedName name="diasbono">[8]NOMINA!$BW$36</definedName>
    <definedName name="diasptu">[8]NOMINA!$BW$35</definedName>
    <definedName name="Diff">#REF!</definedName>
    <definedName name="Difference">#REF!</definedName>
    <definedName name="DilutedShares">[7]Detail!$N$125</definedName>
    <definedName name="direct_labourInput">#REF!</definedName>
    <definedName name="directlabourAllIndia">#REF!</definedName>
    <definedName name="Discounted_MRP">#REF!</definedName>
    <definedName name="Discounts_Kg">#REF!</definedName>
    <definedName name="DiscountYears">[7]Detail!$N$136</definedName>
    <definedName name="DISCRETE">#N/A</definedName>
    <definedName name="DispCost">#REF!</definedName>
    <definedName name="DisplayMT">[100]BKK!$BO$7:$BO$42</definedName>
    <definedName name="DisplaySMT">[100]BKK!#REF!</definedName>
    <definedName name="DisSupportTT">[100]BKK!$BB$7:$BB$42</definedName>
    <definedName name="distbase">[8]configuracion!$B$13</definedName>
    <definedName name="distcomp1">[8]configuracion!$B$20</definedName>
    <definedName name="distcomp2">[8]configuracion!$B$35</definedName>
    <definedName name="DistFeeTT">[100]BKK!$AQ$7:$AQ$42</definedName>
    <definedName name="DistFeeTTOP">[100]BKK!$BE$7:$BE$42</definedName>
    <definedName name="DistFeeWaterTT">[100]BKK!$CF$7:$CF$42</definedName>
    <definedName name="DistTimeLU">#REF!</definedName>
    <definedName name="Division">#REF!</definedName>
    <definedName name="Divisions\">#REF!</definedName>
    <definedName name="DmgOnlyWOTot">#REF!</definedName>
    <definedName name="DO">'[118]DO weight'!$A$168:$Q$186</definedName>
    <definedName name="dog">#REF!</definedName>
    <definedName name="DOLLAR">[119]Forex!#REF!</definedName>
    <definedName name="Dollar_Plant_KPIs">#REF!</definedName>
    <definedName name="DollarHeader">[7]Historical!$D$12</definedName>
    <definedName name="domestic">#REF!</definedName>
    <definedName name="domesticcost">[120]Domestic!#REF!</definedName>
    <definedName name="DOMREP">#REF!</definedName>
    <definedName name="DPA">#REF!</definedName>
    <definedName name="dqt">#REF!</definedName>
    <definedName name="draw">'[121]Puerto Rico'!#REF!</definedName>
    <definedName name="draw10">'[80]Orig Target'!#REF!</definedName>
    <definedName name="draw11">#REF!</definedName>
    <definedName name="draw12">'[122]Orig Target'!$C$88:$D$158</definedName>
    <definedName name="draw13">'[80]Orig Target'!#REF!</definedName>
    <definedName name="draw14">#REF!</definedName>
    <definedName name="draw15">#REF!</definedName>
    <definedName name="draw2">'[121]Puerto Rico'!#REF!</definedName>
    <definedName name="draw3">#REF!</definedName>
    <definedName name="draw4">#REF!</definedName>
    <definedName name="draw5">#REF!</definedName>
    <definedName name="draw6">'[80]Orig Target'!#REF!</definedName>
    <definedName name="draw7">'[122]Orig Target'!$A$96:$B$96</definedName>
    <definedName name="draw8">#REF!</definedName>
    <definedName name="draw9">#REF!</definedName>
    <definedName name="dsfsd">#REF!</definedName>
    <definedName name="DSR">#REF!</definedName>
    <definedName name="DSUMDATA">#REF!</definedName>
    <definedName name="dtr_creditbal">#REF!</definedName>
    <definedName name="duty">#REF!</definedName>
    <definedName name="E">#REF!</definedName>
    <definedName name="early_lk_clsflvr_data">#REF!</definedName>
    <definedName name="earlylk">#REF!</definedName>
    <definedName name="East">#REF!</definedName>
    <definedName name="EBC___MAC_OUTPUTS">[96]Sheet1!$B$357:$R$357</definedName>
    <definedName name="ECMOD">#REF!</definedName>
    <definedName name="Economic">#REF!,#REF!</definedName>
    <definedName name="ee">#REF!</definedName>
    <definedName name="eeee">#REF!</definedName>
    <definedName name="EEO">#REF!</definedName>
    <definedName name="efa">[123]Sheet1!$F$2:$F$13</definedName>
    <definedName name="Eff3D">#REF!</definedName>
    <definedName name="EffBCP">#REF!</definedName>
    <definedName name="EffFCP">#REF!</definedName>
    <definedName name="EffMoon">#REF!</definedName>
    <definedName name="EffPC">#REF!</definedName>
    <definedName name="EffTawan">#REF!</definedName>
    <definedName name="EffTwisties">#REF!</definedName>
    <definedName name="EGU">#REF!</definedName>
    <definedName name="EGYPT">#REF!</definedName>
    <definedName name="EISV_CURRFCST.VS.PRFCST">'[61]AOP-JUNE FCST'!$AM$733:$AV$760</definedName>
    <definedName name="elmissingcrit">#REF!</definedName>
    <definedName name="ent">[47]INPUT!$B$2</definedName>
    <definedName name="Entity">[99]Driver!$A$103</definedName>
    <definedName name="eq.oth">'[62]control sheet'!$B$50</definedName>
    <definedName name="eqrt">#REF!</definedName>
    <definedName name="Equipmentsupplies">#REF!</definedName>
    <definedName name="ER">[119]Forex!#REF!</definedName>
    <definedName name="ERC">#REF!</definedName>
    <definedName name="ere">[124]RMB!#REF!</definedName>
    <definedName name="ESL">#REF!</definedName>
    <definedName name="ESRSUM">#REF!</definedName>
    <definedName name="EtoD">'[75]Consol with Adjustments  (2)'!#REF!</definedName>
    <definedName name="EtoD6mo00">'[75]Consol with Adjustments  (2)'!#REF!</definedName>
    <definedName name="EtoD6mo99">'[75]Consol with Adjustments  (2)'!#REF!</definedName>
    <definedName name="EtoD99">'[75]Consol with Adjustments  (2)'!#REF!</definedName>
    <definedName name="Euro">1.26</definedName>
    <definedName name="europe">[8]NOMINA!$CN$5</definedName>
    <definedName name="ew">#REF!</definedName>
    <definedName name="EWB">#REF!</definedName>
    <definedName name="ewre">'[117] nfcst_py'!#REF!</definedName>
    <definedName name="EX">#REF!</definedName>
    <definedName name="EXAMPLE">'[23]2005'!#REF!</definedName>
    <definedName name="Exchange_CAL">'[65]Cost Sheet'!$D$67</definedName>
    <definedName name="ExchangeRates">#REF!</definedName>
    <definedName name="expn">#REF!</definedName>
    <definedName name="exports">[125]PRICE!#REF!</definedName>
    <definedName name="EXRATE">[126]ASP!#REF!</definedName>
    <definedName name="Extruded">#REF!</definedName>
    <definedName name="f">'[127]2002P-BU'!$K$8:$K$76</definedName>
    <definedName name="FACTOR">#REF!</definedName>
    <definedName name="Fallout">#REF!</definedName>
    <definedName name="fasdf">[128]Accounts!$C$9:$D$83</definedName>
    <definedName name="Fat">#REF!</definedName>
    <definedName name="fc.per">'[129]control sheet'!$C$3</definedName>
    <definedName name="FCCC">#REF!</definedName>
    <definedName name="FCST">'[8]2005'!$C$2:$O$27</definedName>
    <definedName name="fcst_ytd">#REF!</definedName>
    <definedName name="Fcst2">"Fcst2"</definedName>
    <definedName name="fcstname">[130]INPUT!$F$17</definedName>
    <definedName name="fd">'[37]2002P-BU'!$U$8:$U$76</definedName>
    <definedName name="fda">'[37]2002P-BU'!$P$8:$P$76</definedName>
    <definedName name="fdfd">#REF!</definedName>
    <definedName name="fdg">'[61]AOP-JUNE FCST'!$C$310:$R$343</definedName>
    <definedName name="fds">'[37]2002P-BU'!$K$8:$K$76</definedName>
    <definedName name="fe">'[127]2002P-BU'!$I$8:$I$76</definedName>
    <definedName name="Feb">#REF!</definedName>
    <definedName name="Feb_Raw">#REF!</definedName>
    <definedName name="FFFFF">#REF!</definedName>
    <definedName name="fg">#REF!</definedName>
    <definedName name="fhsf">+ROUND(#REF!,0)+ROUND(#REF!,0)+ROUND(#REF!,0)+ROUND(#REF!,0)+ROUND(#REF!,0)+ROUND(#REF!,0)+ROUND(#REF!,0)+ROUND(#REF!,0)+ROUND(#REF!,0)+ROUND(#REF!,0)+ROUND(#REF!,0)+ROUND(#REF!,0)+ROUND(#REF!,0)+ROUND(#REF!,0)</definedName>
    <definedName name="FileNam">#REF!</definedName>
    <definedName name="FillerRatedSpeed">'[79]Line Data'!#REF!</definedName>
    <definedName name="Filmcost_perkg">#REF!</definedName>
    <definedName name="Filmwaste">#REF!</definedName>
    <definedName name="Finance">[131]Finance!$A$18:$AN$136</definedName>
    <definedName name="fixedasset">[132]Cover!$A$1298</definedName>
    <definedName name="fixedassets">#REF!</definedName>
    <definedName name="fldMarker">" &amp; activecell.name &amp; "</definedName>
    <definedName name="FLNA">#REF!</definedName>
    <definedName name="FLNACLS">'[86]YTD SmtSpt'!#REF!</definedName>
    <definedName name="FLNAPLN">'[86]YTD SmtSpt'!#REF!</definedName>
    <definedName name="FLNAPLNLBS">'[86]YTD SmtSpt'!#REF!</definedName>
    <definedName name="FLNAPRQSPOT">'[77]FLNA PrQ YTD Spot'!$B$5:$U$128</definedName>
    <definedName name="FLNAQCLS">'[86]Q4 SmtSpt'!#REF!</definedName>
    <definedName name="florida_data">[74]lookups!$K$5:$N$52</definedName>
    <definedName name="FOCFullGood">[100]BKK!$CU$7:$CU$42</definedName>
    <definedName name="food">[63]Master!$L$4:$L$7</definedName>
    <definedName name="Foodland">#REF!</definedName>
    <definedName name="Foot_notes">#REF!</definedName>
    <definedName name="forcomp1dist">[8]configuracion!$B$28</definedName>
    <definedName name="forcomp1opex">[8]configuracion!$B$25</definedName>
    <definedName name="forcomp1opexA">[8]configuracion!$B$25</definedName>
    <definedName name="forcomp2dist">[8]configuracion!$B$43</definedName>
    <definedName name="forcomp2opex">[8]configuracion!$B$40</definedName>
    <definedName name="forcomp2opexA">[8]configuracion!$B$40</definedName>
    <definedName name="Forecast">#REF!</definedName>
    <definedName name="Forecast_2000">#REF!</definedName>
    <definedName name="Forex">39.76</definedName>
    <definedName name="Forex_Table">[133]Forex_and_Lookups!#REF!</definedName>
    <definedName name="Forex04">40.42</definedName>
    <definedName name="forex10">'[80]Orig Target'!#REF!</definedName>
    <definedName name="forex11">#REF!</definedName>
    <definedName name="forex12">'[122]Orig Target'!$C$88:$D$158</definedName>
    <definedName name="forex13">'[80]Orig Target'!#REF!</definedName>
    <definedName name="forex14">#REF!</definedName>
    <definedName name="forex15">#REF!</definedName>
    <definedName name="forex2">'[121]Puerto Rico'!#REF!</definedName>
    <definedName name="forex3">#REF!</definedName>
    <definedName name="forex4">#REF!</definedName>
    <definedName name="forex5">#REF!</definedName>
    <definedName name="forex6">'[80]Orig Target'!#REF!</definedName>
    <definedName name="forex7">'[122]Orig Target'!$A$96:$B$96</definedName>
    <definedName name="forex8">#REF!</definedName>
    <definedName name="forex9">#REF!</definedName>
    <definedName name="forexjan">#REF!</definedName>
    <definedName name="FOREXTEST">#REF!</definedName>
    <definedName name="FRANCE">#REF!</definedName>
    <definedName name="Franchise">((112+157)/2)%</definedName>
    <definedName name="Free">#REF!</definedName>
    <definedName name="Freight_Cost_Kg___Channo">#REF!</definedName>
    <definedName name="Freight_Cost_Kg___Pune">#REF!</definedName>
    <definedName name="Freight_Cost_Kg__Faridabd">#REF!</definedName>
    <definedName name="Freight_Cost_Kg__Khapoli">#REF!</definedName>
    <definedName name="Freight_Rs_KG_All_India">#REF!</definedName>
    <definedName name="Freight_RsKg_Channo">#REF!</definedName>
    <definedName name="Freq_Eire">'[110]Input Slide'!$D$18</definedName>
    <definedName name="Freq_France">'[110]Input Slide'!$D$82</definedName>
    <definedName name="Freq_Germany">'[110]Input Slide'!$D$50</definedName>
    <definedName name="Freq_Hungary">'[110]Input Slide'!$D$58</definedName>
    <definedName name="Freq_italy">'[110]Input Slide'!$D$90</definedName>
    <definedName name="Freq_Netherlands">'[110]Input Slide'!$D$10</definedName>
    <definedName name="Freq_Nigeria">'[110]Input Slide'!$D$74</definedName>
    <definedName name="Freq_Norway">'[110]Input Slide'!$D$34</definedName>
    <definedName name="Freq_Poland">'[110]Input Slide'!$D$66</definedName>
    <definedName name="Freq_Portugal">'[110]Input Slide'!$D$26</definedName>
    <definedName name="Freq_Sweden">'[110]Input Slide'!$D$42</definedName>
    <definedName name="Freq_UK">'[110]Input Slide'!$D$2</definedName>
    <definedName name="FREQUENCY">#REF!</definedName>
    <definedName name="Frequencynew">#REF!</definedName>
    <definedName name="FRF">7.39</definedName>
    <definedName name="fritobranddata">#REF!</definedName>
    <definedName name="fsg">'[61]AOP-JUNE FCST'!$C$457:$R$490</definedName>
    <definedName name="Fuel">#REF!</definedName>
    <definedName name="Full_Current_Year_Forecast">'[40]Jan Volume'!#REF!</definedName>
    <definedName name="Full_Current_Year_Plan">'[40]Jan Volume'!#REF!</definedName>
    <definedName name="Full_Previous_Year_Actuals">'[40]Jan Volume'!#REF!</definedName>
    <definedName name="Full_Range">'[134]Overall COC - AOP Vs MF'!#REF!</definedName>
    <definedName name="FullGoods_Brand">[135]PackPrice!$B$21:$B$25</definedName>
    <definedName name="Function">#REF!</definedName>
    <definedName name="Functions">#REF!</definedName>
    <definedName name="Fuzhou">((200+157)/2)%</definedName>
    <definedName name="FX">#REF!</definedName>
    <definedName name="fx_Dbase">#REF!</definedName>
    <definedName name="FXNOPBTvsOF">#REF!</definedName>
    <definedName name="FXNOPBTvsPlan">#REF!</definedName>
    <definedName name="FXNOPBTvsPY">#REF!</definedName>
    <definedName name="FXNRvsOF">#REF!</definedName>
    <definedName name="FXNRvsPlan">#REF!</definedName>
    <definedName name="FXNRvsPY">#REF!</definedName>
    <definedName name="FXRATES93">#REF!</definedName>
    <definedName name="FXRATES94">#REF!</definedName>
    <definedName name="FXRATES95">#REF!</definedName>
    <definedName name="fxtab">'[36]2002 Forex Plan'!#REF!</definedName>
    <definedName name="FYAOP">#REF!</definedName>
    <definedName name="fylfyebitda">[7]Detail!$O$6</definedName>
    <definedName name="FYvol">#REF!</definedName>
    <definedName name="g">#REF!</definedName>
    <definedName name="G_AND_A">#REF!</definedName>
    <definedName name="GAAP">#REF!,#REF!</definedName>
    <definedName name="gadf">[136]Prices!#REF!</definedName>
    <definedName name="Gas">#REF!</definedName>
    <definedName name="gat">[137]MUthai1!#REF!</definedName>
    <definedName name="gat.csi">'[62]control sheet'!$B$48</definedName>
    <definedName name="gat.tsi">'[62]control sheet'!$B$49</definedName>
    <definedName name="Gatorade">#REF!</definedName>
    <definedName name="gauto">[8]NOMINA!$CE$2:$CF$11</definedName>
    <definedName name="GBP">1.85</definedName>
    <definedName name="gdfg" hidden="1">[138]malaysia!#REF!</definedName>
    <definedName name="ge">[124]RMB!#REF!</definedName>
    <definedName name="Gender">#REF!</definedName>
    <definedName name="General_ACT_AOP">#REF!</definedName>
    <definedName name="General_Assumptions">#REF!</definedName>
    <definedName name="General_Quarters_1">#REF!</definedName>
    <definedName name="Geography">#REF!</definedName>
    <definedName name="GERMANY">#REF!</definedName>
    <definedName name="GGGGGGGG">#REF!</definedName>
    <definedName name="ggy">'[37]2002P-BU'!$P$8:$P$76</definedName>
    <definedName name="gh">'[37]P&amp;L(S1)'!$U$7</definedName>
    <definedName name="Ghaziabad">#REF!</definedName>
    <definedName name="ghi">#REF!</definedName>
    <definedName name="ghiuy">'[139]CONTROL SHEET'!$C$12</definedName>
    <definedName name="gjsh">#REF!</definedName>
    <definedName name="global_VarianceExplain">'[140]Set up &amp; Instructions'!$H$20</definedName>
    <definedName name="GO">#REF!</definedName>
    <definedName name="Goa">#REF!</definedName>
    <definedName name="GrandTotal">#REF!</definedName>
    <definedName name="GRAPH">#REF!</definedName>
    <definedName name="Graph_Contract">OFFSET([30]ByAcct!$A$4,[30]ByMth!$R$2,COLUMN([30]ByAcct!$AR$1)-COLUMN([30]ByAcct!$A$1),1,2)</definedName>
    <definedName name="Graph_DA">OFFSET([30]ByAcct!$A$4,[30]ByMth!$R$2,COLUMN([30]ByAcct!$AV$1)-COLUMN([30]ByAcct!$A$1),1,2)</definedName>
    <definedName name="Graph_Discret">OFFSET([30]ByAcct!$A$4,[30]ByMth!$R$2,COLUMN([30]ByAcct!$AT$1)-COLUMN([30]ByAcct!$A$1),1,2)</definedName>
    <definedName name="Graph_growth">OFFSET([30]ByAcct!$A$4,[30]ByAcct!$AN$85,COLUMN([30]ByAcct!$E$1)-COLUMN([30]ByAcct!$A$1),1,2)</definedName>
    <definedName name="Graph_growth2">OFFSET([30]ByAcct!$A$4,[30]ByMth!$R$2,COLUMN([30]ByAcct!$E$1)-COLUMN([30]ByAcct!$A$1),1,2)</definedName>
    <definedName name="Graph_NDisc">OFFSET([30]ByAcct!$A$4,[30]ByMth!$R$2,COLUMN([30]ByAcct!$AN$1)-COLUMN([30]ByAcct!$A$1),1,2)</definedName>
    <definedName name="Graph_Stale">OFFSET([30]ByAcct!$A$4,[30]ByMth!$R$2,COLUMN([30]ByAcct!$AP$1)-COLUMN([30]ByAcct!$A$1),1,2)</definedName>
    <definedName name="Graph_volume">OFFSET([30]ByAcct!$A$4,[30]ByAcct!$AN$85,COLUMN([30]ByAcct!$C$1)-COLUMN([30]ByAcct!$A$1),1,2)</definedName>
    <definedName name="Graph_volume2">OFFSET([30]ByAcct!$A$4,[30]ByMth!$R$2,COLUMN([30]ByAcct!$C$1)-COLUMN([30]ByAcct!$A$1),1,2)</definedName>
    <definedName name="GREECE">#REF!</definedName>
    <definedName name="green">[7]Detail!$A$1:$N$52</definedName>
    <definedName name="grey">[75]Detail!#REF!</definedName>
    <definedName name="GRP">#REF!</definedName>
    <definedName name="GRUDZIEŃ">#REF!,#REF!,#REF!,#REF!,#REF!</definedName>
    <definedName name="gshgf">#REF!</definedName>
    <definedName name="GSM">#REF!</definedName>
    <definedName name="Guangzhou">((200+200)/2)%</definedName>
    <definedName name="GUARD">[8]NOMINA!$BW$23</definedName>
    <definedName name="GUATEMALA">#REF!</definedName>
    <definedName name="Guwahati">#REF!</definedName>
    <definedName name="gvsav">[136]Prices!#REF!</definedName>
    <definedName name="gy">'[37]P&amp;L(S1)'!$J$7</definedName>
    <definedName name="H">#REF!</definedName>
    <definedName name="haf">[141]Input!$B$2</definedName>
    <definedName name="Haleeb">[69]Sale!#REF!</definedName>
    <definedName name="Harvest">'[118]DO weight'!$A$28:$Q$48</definedName>
    <definedName name="hbg">'[22]P&amp;L(S1)'!$AE$7</definedName>
    <definedName name="hCatFcst">[142]POV!$B$4</definedName>
    <definedName name="hCatPY">[142]POV!$B$6</definedName>
    <definedName name="hcbase">[8]configuracion!$B$14</definedName>
    <definedName name="hccomp1">[8]configuracion!$B$21</definedName>
    <definedName name="hccomp2">[8]configuracion!$B$36</definedName>
    <definedName name="hEntity">[143]POV!$B$2</definedName>
    <definedName name="hf">'[127]2002P-BU'!$U$8:$U$76</definedName>
    <definedName name="hfa">'[140]Set up &amp; Instructions'!$N$21:$R$33</definedName>
    <definedName name="HFLHI">'[144]YTD-HFL'!$V$14:$V$183</definedName>
    <definedName name="HFLLbs">'[144]YTD-HFL'!$AI$14:$AI$184</definedName>
    <definedName name="HFLNtSls">'[144]YTD-HFL'!$AB$14:$AB$184</definedName>
    <definedName name="HFLYAGLbs">'[144]YTD-HFL'!$AJ$14:$AJ$184</definedName>
    <definedName name="HFLYAGNtSls">'[144]YTD-HFL'!$AF$14:$AF$184</definedName>
    <definedName name="hg">'[37]P&amp;L(S1)'!$V$7</definedName>
    <definedName name="hgh">#REF!</definedName>
    <definedName name="hgs">[104]Hyperion!$D$8</definedName>
    <definedName name="hgsfd">'[139]CONTROL SHEET'!$C$10</definedName>
    <definedName name="hh">'[37]2002P-BU'!$X$8:$X$76</definedName>
    <definedName name="hi">'[78]Vol Mths-R'!#REF!</definedName>
    <definedName name="HI.1">[77]Input!$E$14</definedName>
    <definedName name="HI.4">[77]Input!$E$17</definedName>
    <definedName name="HI.5">[77]Input!$E$18</definedName>
    <definedName name="HI.6">[77]Input!$E$19</definedName>
    <definedName name="HI_Cls_Ln">'[144]FLUS Data'!$M$7:$M$12988</definedName>
    <definedName name="HI_Cls_Ln_Flvr">'[144]FLUS Data'!$N$7:$N$12988</definedName>
    <definedName name="HideRange">#REF!</definedName>
    <definedName name="hii">'[78]Vol Mths-R'!#REF!</definedName>
    <definedName name="hiii">'[78]Vol Mths-R'!#REF!</definedName>
    <definedName name="HKD">7.749</definedName>
    <definedName name="HL_Inc">(1+5%)</definedName>
    <definedName name="HLInc">(1)</definedName>
    <definedName name="hlthindlkup">[90]health_ind!$A$1:$H$400</definedName>
    <definedName name="HO">#REF!</definedName>
    <definedName name="Holidays">'[145]Set Up &amp; Instructions'!#REF!</definedName>
    <definedName name="HOME_MANP">#REF!</definedName>
    <definedName name="HOMEOFFICE_COST">#REF!</definedName>
    <definedName name="HON">'[80]Orig Target'!#REF!</definedName>
    <definedName name="HQ">[63]Master!$M$4:$M$5</definedName>
    <definedName name="HQDETAIL">[75]Detail!#REF!</definedName>
    <definedName name="HR">#REF!</definedName>
    <definedName name="HR2JFL">'[146]Input Sheet'!#REF!</definedName>
    <definedName name="ht">'[37]P&amp;L(S1)'!$P$7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"C:\2689\Q\??\00q3961????PTA3??\MyHTML.htm"</definedName>
    <definedName name="HTML_Title" hidden="1">"00Q3961-SUM"</definedName>
    <definedName name="hty">'[22]P&amp;L(S1)'!$Y$7</definedName>
    <definedName name="HUNGARY">#REF!</definedName>
    <definedName name="Hyderabad">#REF!</definedName>
    <definedName name="HYP_CARIBBEAN_HQ">[147]ENTITIES!$F$18</definedName>
    <definedName name="HYP_CENAMERICA_HQ">[147]ENTITIES!$F$61</definedName>
    <definedName name="HYPER">#REF!</definedName>
    <definedName name="Hypo">37%</definedName>
    <definedName name="Ice_Tea">'[50]PET Line'!$O$8</definedName>
    <definedName name="Ice_Tea_with_preservative">'[50]PET Line'!$O$9</definedName>
    <definedName name="IceTea">[148]Line!$J$7</definedName>
    <definedName name="IDLAB_COST">#REF!</definedName>
    <definedName name="ifmp">#REF!</definedName>
    <definedName name="ifpt">#REF!</definedName>
    <definedName name="ifpte">#REF!</definedName>
    <definedName name="IIIIIIIIIIIIIIIII">#REF!</definedName>
    <definedName name="iimp">#REF!</definedName>
    <definedName name="iipt">#REF!</definedName>
    <definedName name="iipte">#REF!</definedName>
    <definedName name="ILotus">'[9]Inv list'!#REF!</definedName>
    <definedName name="Inc">3%</definedName>
    <definedName name="Inc_hkd">(1+4%)</definedName>
    <definedName name="Inc_rmb">(1+9%)</definedName>
    <definedName name="INC_ST">#REF!</definedName>
    <definedName name="Inc_twn">(1+5%)</definedName>
    <definedName name="Inc_usd">(1+5%)</definedName>
    <definedName name="Income_1_2">#REF!</definedName>
    <definedName name="Income_Economic">#REF!</definedName>
    <definedName name="Income_GAAP">#REF!</definedName>
    <definedName name="Income_per_Kg">#REF!</definedName>
    <definedName name="Income_Percent_Sales">#REF!</definedName>
    <definedName name="Income_Statement_100">#REF!</definedName>
    <definedName name="Income_Statement_Proposal">#REF!</definedName>
    <definedName name="INCSTATE_RATES">[149]Macro_FX!#REF!</definedName>
    <definedName name="IND_LAB">#REF!</definedName>
    <definedName name="Index">[150]Sheet1!$D$2</definedName>
    <definedName name="Index_Eire">'[110]Input Slide'!$C$18</definedName>
    <definedName name="Index_France">'[110]Input Slide'!$C$82</definedName>
    <definedName name="Index_Germany">'[110]Input Slide'!$C$50</definedName>
    <definedName name="Index_Hungary">'[110]Input Slide'!$C$58</definedName>
    <definedName name="Index_Italy">'[110]Input Slide'!$C$90</definedName>
    <definedName name="Index_Netherlands">'[110]Input Slide'!$C$10</definedName>
    <definedName name="Index_Nigeria">'[110]Input Slide'!$C$74</definedName>
    <definedName name="Index_Norway">'[110]Input Slide'!$C$34</definedName>
    <definedName name="Index_Poland">'[110]Input Slide'!$C$66</definedName>
    <definedName name="Index_Portugal">'[110]Input Slide'!$C$26</definedName>
    <definedName name="Index_Sweden">'[110]Input Slide'!$C$42</definedName>
    <definedName name="Index_UK">'[110]Input Slide'!$C$2</definedName>
    <definedName name="INDIA">#REF!</definedName>
    <definedName name="INDMANP">#REF!</definedName>
    <definedName name="infcomp1dist">[8]configuracion!$B$29</definedName>
    <definedName name="infcomp1opex">[8]configuracion!$B$26</definedName>
    <definedName name="infcomp1opexA">[8]configuracion!$B$26</definedName>
    <definedName name="infcomp2dist">[8]configuracion!$B$44</definedName>
    <definedName name="infcomp2opex">[8]configuracion!$B$41</definedName>
    <definedName name="infcomp2opexA">[8]configuracion!$B$41</definedName>
    <definedName name="INFO">#REF!</definedName>
    <definedName name="INFONAVIT">[8]NOMINA!$BW$2</definedName>
    <definedName name="ING63H">#REF!</definedName>
    <definedName name="inimp">#REF!</definedName>
    <definedName name="inipt">#REF!</definedName>
    <definedName name="iniptexp">#REF!</definedName>
    <definedName name="INNOV">'[151]Innov &amp; capacity'!$A$1:$W$76</definedName>
    <definedName name="Input">'[152]1_Parameters'!$C$6</definedName>
    <definedName name="inputefficiency">#REF!</definedName>
    <definedName name="inputmc">#REF!</definedName>
    <definedName name="inputpackvol">#REF!</definedName>
    <definedName name="inputpnl">#REF!</definedName>
    <definedName name="Inputs">#REF!</definedName>
    <definedName name="Inputs_Currency">#REF!</definedName>
    <definedName name="Inputs_details">#REF!</definedName>
    <definedName name="Inputs_Rates">#REF!</definedName>
    <definedName name="Inputs_Time">#REF!</definedName>
    <definedName name="INSTR">#REF!</definedName>
    <definedName name="instr1">#REF!</definedName>
    <definedName name="instr2">#REF!</definedName>
    <definedName name="instr3">#REF!</definedName>
    <definedName name="instr4">#REF!</definedName>
    <definedName name="instr5">#REF!</definedName>
    <definedName name="INT">[4]Vol!#REF!</definedName>
    <definedName name="inv">[8]configuracion!$E$6</definedName>
    <definedName name="inventory">'[153]Reslease Report'!#REF!</definedName>
    <definedName name="INVYVIDP">[8]NOMINA!$BW$20</definedName>
    <definedName name="INVYVIDT">[8]NOMINA!$BW$21</definedName>
    <definedName name="IO">[8]NOMINA!$BW$26</definedName>
    <definedName name="IPA">((132+183)/2)%</definedName>
    <definedName name="IPS">#REF!</definedName>
    <definedName name="IsQuarter">[154]!IsQuarter</definedName>
    <definedName name="IT">[108]IT!$A$1:$W$52</definedName>
    <definedName name="ITALY">#REF!</definedName>
    <definedName name="item">#REF!</definedName>
    <definedName name="itemeg">#REF!</definedName>
    <definedName name="ItemLkp">[67]Lookup!$C$2:$F$48</definedName>
    <definedName name="ItemNum">[155]Replacements!#REF!</definedName>
    <definedName name="ItemTbl">[156]Lookup!$O$3:$R$570</definedName>
    <definedName name="ItemToBrand">#REF!</definedName>
    <definedName name="ItemToPlant">#REF!</definedName>
    <definedName name="iu">'[37]P&amp;L(S1)'!$Q$7</definedName>
    <definedName name="iuu">[124]RMB!#REF!</definedName>
    <definedName name="Jan">#REF!</definedName>
    <definedName name="Jan_Raw">#REF!</definedName>
    <definedName name="JAPAN">#REF!</definedName>
    <definedName name="jg">'[127]2002P-BU'!$L$8:$L$76</definedName>
    <definedName name="jh">'[37]2002P-BU'!$O$8:$O$76</definedName>
    <definedName name="jj">'[37]P&amp;L(S1)'!$Z$7</definedName>
    <definedName name="jjh">'[22]P&amp;L(S1)'!$T$7</definedName>
    <definedName name="JJJJJJJJJJJJJJ">#REF!</definedName>
    <definedName name="JJJJJJJJJJJJJJJJJJJJJ">#REF!</definedName>
    <definedName name="jkl">#REF!</definedName>
    <definedName name="joo">#REF!</definedName>
    <definedName name="JORDAN">#REF!</definedName>
    <definedName name="Juice">[101]Line!$J$9</definedName>
    <definedName name="Jul">#REF!</definedName>
    <definedName name="Jul_Raw">#REF!</definedName>
    <definedName name="July_fcst_AM_ratio">#REF!</definedName>
    <definedName name="Jun">#REF!</definedName>
    <definedName name="Jun_Raw">#REF!</definedName>
    <definedName name="JUNE">'[157]MON-HLT'!#REF!</definedName>
    <definedName name="june_fcst_am_factor">[158]Tanzania!$AV$361</definedName>
    <definedName name="Justification">[45]Capex!$B$6:$C$9</definedName>
    <definedName name="JUVol">'[44]Filling Line Detail'!#REF!</definedName>
    <definedName name="jy">'[37]2002P-BU'!$R$8:$R$76</definedName>
    <definedName name="K">#REF!</definedName>
    <definedName name="kamam">[159]Hyperion!$D$15</definedName>
    <definedName name="KARARE_Kg">#REF!</definedName>
    <definedName name="KARARE_MEDIUM_Kg">#REF!</definedName>
    <definedName name="KARARE_Rs">#REF!</definedName>
    <definedName name="Kerala">#REF!</definedName>
    <definedName name="KGS">#REF!</definedName>
    <definedName name="kh">'[127]2002P-BU'!$O$8:$O$76</definedName>
    <definedName name="KiloRateIndex">'[160]Financial Forms'!$G$7</definedName>
    <definedName name="kj">'[127]2002P-BU'!$T$8:$T$76</definedName>
    <definedName name="KK">#REF!</definedName>
    <definedName name="kkk" hidden="1">#REF!</definedName>
    <definedName name="kkkr">#REF!</definedName>
    <definedName name="KPIRebateMT">[100]BKK!$BM$7:$BM$42</definedName>
    <definedName name="KPIRebateSMT">[100]BKK!#REF!</definedName>
    <definedName name="KPIRebateTT">[100]BKK!$AS$7:$AS$42</definedName>
    <definedName name="KPIRebateTTOP">[100]BKK!$BH$7:$BH$42</definedName>
    <definedName name="KPIRebateWaterTT">[100]BKK!$CG$7:$CG$42</definedName>
    <definedName name="ku">'[28]P&amp;L(S1)'!#REF!</definedName>
    <definedName name="kurkure">#REF!</definedName>
    <definedName name="Kurkure_P__L">#REF!</definedName>
    <definedName name="KURKURE_Rs">#REF!</definedName>
    <definedName name="KurkurePL">#REF!</definedName>
    <definedName name="KWIECIEŃ">#REF!,#REF!,#REF!,#REF!,#REF!</definedName>
    <definedName name="ky">'[37]P&amp;L(S1)'!$T$7</definedName>
    <definedName name="l_70">#REF!</definedName>
    <definedName name="LA">'[161]Input Sheet'!$A$48:$AU$61</definedName>
    <definedName name="LAB">#REF!</definedName>
    <definedName name="lablc">[1]W604!#REF!</definedName>
    <definedName name="Labsupplieslist">#REF!</definedName>
    <definedName name="LAF">#REF!</definedName>
    <definedName name="LAR">'[161]Input Sheet'!$A$1:$Y$56</definedName>
    <definedName name="Lays">#REF!</definedName>
    <definedName name="LAYS_Rs">#REF!</definedName>
    <definedName name="LaysPL">#REF!</definedName>
    <definedName name="LC">'[152]1_Parameters'!$C$8</definedName>
    <definedName name="LC_Entity">[162]Hyperion!#REF!</definedName>
    <definedName name="lcent">[47]INPUT!$B$3</definedName>
    <definedName name="lcent2">[20]INPUT!$D$10</definedName>
    <definedName name="LE___8_oz">#REF!</definedName>
    <definedName name="LEBANON">#REF!</definedName>
    <definedName name="Legal">((82+135)/2)%</definedName>
    <definedName name="Lehar">#REF!</definedName>
    <definedName name="Lehar_Large__Kg">#REF!</definedName>
    <definedName name="Lehar_Medium_Kg">#REF!</definedName>
    <definedName name="Lehar_P__L__Exl._Nutyumz">#REF!</definedName>
    <definedName name="LEHAR_Rs">#REF!</definedName>
    <definedName name="Lehar_Small_Kg">#REF!</definedName>
    <definedName name="Lehar_TOTAL_P_L">#REF!</definedName>
    <definedName name="LH">#REF!</definedName>
    <definedName name="li">'[127]2002P-BU'!$X$8:$X$76</definedName>
    <definedName name="LIBYA">#REF!</definedName>
    <definedName name="LIFE">#REF!</definedName>
    <definedName name="line_of_business">#REF!</definedName>
    <definedName name="LineData1">#REF!</definedName>
    <definedName name="LineData2">#REF!</definedName>
    <definedName name="LineData3">#REF!</definedName>
    <definedName name="LineData4">#REF!</definedName>
    <definedName name="LineData5">#REF!</definedName>
    <definedName name="link">#REF!</definedName>
    <definedName name="linkpt">#REF!</definedName>
    <definedName name="LIP">135%</definedName>
    <definedName name="LIPIEC">#REF!,#REF!,#REF!,#REF!,#REF!,#REF!</definedName>
    <definedName name="Lipton">[101]Line!$J$8</definedName>
    <definedName name="liptonprt">'[163]A1 Macro Trends'!$A$1:$M$80,'[163]A1 Macro Trends'!#REF!,'[163]A1 Macro Trends'!#REF!,'[163]A1 Macro Trends'!#REF!,'[163]A1 Macro Trends'!#REF!,'[163]A1 Macro Trends'!#REF!,'[163]A1 Macro Trends'!#REF!,'[163]A1 Macro Trends'!#REF!,'[163]A1 Macro Trends'!#REF!,'[163]A1 Macro Trends'!#REF!</definedName>
    <definedName name="list98">#REF!</definedName>
    <definedName name="LISTOPAD">#REF!,#REF!,#REF!,#REF!,#REF!</definedName>
    <definedName name="ljk">'[37]2002P-BU'!$W$8:$W$76</definedName>
    <definedName name="LLLLLLLL">#REF!</definedName>
    <definedName name="LLLLLLLLLLLLLLL">#REF!</definedName>
    <definedName name="LN">#REF!</definedName>
    <definedName name="lnk">#REF!</definedName>
    <definedName name="lob">#REF!</definedName>
    <definedName name="Loc">#REF!</definedName>
    <definedName name="Local_Market">#REF!</definedName>
    <definedName name="localauto">[8]NOMINA!$CN$7</definedName>
    <definedName name="localavion">[8]NOMINA!$CN$6</definedName>
    <definedName name="Location">#REF!</definedName>
    <definedName name="Location_Category">#REF!</definedName>
    <definedName name="Location_Nm">[93]YUM!#REF!</definedName>
    <definedName name="lookup">[164]Stores!$B$2:$E$215</definedName>
    <definedName name="LookUpRange">[7]Detail!$F$7:$O$57</definedName>
    <definedName name="LookupTable">'[79]Line Data'!$F$9:$IN$55</definedName>
    <definedName name="lrate">#REF!</definedName>
    <definedName name="ltminterest">[75]Detail!#REF!</definedName>
    <definedName name="lu">#REF!</definedName>
    <definedName name="luc">#REF!</definedName>
    <definedName name="LUTY">#REF!,#REF!,#REF!,#REF!,#REF!</definedName>
    <definedName name="LY">#REF!</definedName>
    <definedName name="m">[165]TRIAL_BAL!#REF!</definedName>
    <definedName name="MACRO">#REF!</definedName>
    <definedName name="Macro1">[166]!Macro1</definedName>
    <definedName name="Macro2">[166]!Macro2</definedName>
    <definedName name="Macro5">[167]!Macro5</definedName>
    <definedName name="MACROS">#N/A</definedName>
    <definedName name="Madras">#REF!</definedName>
    <definedName name="MailMT">[100]BKK!$BN$7:$BN$42</definedName>
    <definedName name="MailSMT">[100]BKK!#REF!</definedName>
    <definedName name="main">[7]Detail!$B$1:$R$257</definedName>
    <definedName name="main_body">#REF!</definedName>
    <definedName name="MAJ">#REF!,#REF!,#REF!,#REF!,#REF!</definedName>
    <definedName name="MAJ_CON_EQP">#REF!</definedName>
    <definedName name="MALAYSIA">#REF!</definedName>
    <definedName name="ManualInspection">'[50]PET Line'!$L$28</definedName>
    <definedName name="Mar">#REF!</definedName>
    <definedName name="Mar_Raw">#REF!</definedName>
    <definedName name="March_fcst_am_factor">[158]Tanzania!$AV$360</definedName>
    <definedName name="MARGINS">#REF!</definedName>
    <definedName name="marked">TRUE</definedName>
    <definedName name="MarketPrice">[7]Historical!$C$7</definedName>
    <definedName name="MARZEC">#REF!,#REF!,#REF!,#REF!,#REF!</definedName>
    <definedName name="master">[168]Org1!#REF!</definedName>
    <definedName name="max">#REF!</definedName>
    <definedName name="MaX_Comp">'[65]Cost Sheet'!$D$65</definedName>
    <definedName name="MaxBox">#REF!</definedName>
    <definedName name="MaxRng">#REF!</definedName>
    <definedName name="May">#REF!</definedName>
    <definedName name="May_Raw">#REF!</definedName>
    <definedName name="MB_Server">'[65]Cost Sheet'!$D$73</definedName>
    <definedName name="Mbr_lookup">'[140]Set up &amp; Instructions'!$N$21:$R$33</definedName>
    <definedName name="mc">[119]Forex!#REF!</definedName>
    <definedName name="MDand_A_summary_data_for_Bkd">#REF!</definedName>
    <definedName name="MDand_A_summary_ntsls_data_for_SnkMx">#REF!</definedName>
    <definedName name="MEA">#REF!</definedName>
    <definedName name="MEMO">#REF!</definedName>
    <definedName name="MENU">[119]Forex!#REF!</definedName>
    <definedName name="MEXICO">#REF!</definedName>
    <definedName name="mfglc">[1]W604!#REF!</definedName>
    <definedName name="MILITARY">#REF!</definedName>
    <definedName name="MinBox">#REF!</definedName>
    <definedName name="MinCharge">#REF!</definedName>
    <definedName name="MinRng">#REF!</definedName>
    <definedName name="MixPercent">#REF!</definedName>
    <definedName name="MLCenterFooter">#REF!</definedName>
    <definedName name="MLCenterHeader">#REF!</definedName>
    <definedName name="MLLeftFooter">#REF!</definedName>
    <definedName name="MLLeftHeader">#REF!</definedName>
    <definedName name="MLRightFooter">#REF!</definedName>
    <definedName name="MLRightHeader">#REF!</definedName>
    <definedName name="MMMMMMMMMMMMMMM">#REF!</definedName>
    <definedName name="mn">'[37]P&amp;L(S1)'!$AF$7</definedName>
    <definedName name="mnth">#REF!</definedName>
    <definedName name="MOH">#REF!</definedName>
    <definedName name="MOH_ACT_AOP">#REF!</definedName>
    <definedName name="MOH_Quarters_1">#REF!</definedName>
    <definedName name="month">[169]Input!$B$1</definedName>
    <definedName name="Month2">[141]Input!$B$2</definedName>
    <definedName name="monthalone">#REF!</definedName>
    <definedName name="MonthLabel">[154]!MonthLabel</definedName>
    <definedName name="MonthlyDemand">'[79]Monthly Forecast'!$B$13:$BO$56</definedName>
    <definedName name="monthname">[170]Input!$B$4</definedName>
    <definedName name="monthqtd">#REF!</definedName>
    <definedName name="months">'[171]update details'!$N$5:$N$16</definedName>
    <definedName name="Months_Eligible">#REF!</definedName>
    <definedName name="monthytd">[172]Input!$C$4</definedName>
    <definedName name="moth">'[173]SH P&amp;L'!#REF!</definedName>
    <definedName name="MPETABLE">#REF!</definedName>
    <definedName name="mProjectSb">#REF!</definedName>
    <definedName name="MRP">#REF!</definedName>
    <definedName name="MTD">#REF!</definedName>
    <definedName name="mth">[174]map!$B$3:$B$14</definedName>
    <definedName name="MU">#REF!</definedName>
    <definedName name="MU_NAME">'[79]Demand Forecast'!$D$3</definedName>
    <definedName name="Muargen">#REF!</definedName>
    <definedName name="N">#REF!</definedName>
    <definedName name="N_1">#REF!</definedName>
    <definedName name="N_2">#REF!</definedName>
    <definedName name="N_3">#REF!</definedName>
    <definedName name="N1_">#REF!</definedName>
    <definedName name="N2_">#REF!</definedName>
    <definedName name="N3_">#REF!</definedName>
    <definedName name="Nagpur">#REF!</definedName>
    <definedName name="name">#REF!</definedName>
    <definedName name="NameRange">[175]PL!$AP$9:$AP$145</definedName>
    <definedName name="nana">#REF!</definedName>
    <definedName name="National">((97+157)/2)%</definedName>
    <definedName name="nb">'[37]2002P-BU'!$L$8:$L$76</definedName>
    <definedName name="NBH">#REF!</definedName>
    <definedName name="NCH">#REF!</definedName>
    <definedName name="nCurrent">'[176]Forex Reference'!$A$5</definedName>
    <definedName name="NDL">#REF!</definedName>
    <definedName name="Nepal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Debt">[7]Detail!$V$8</definedName>
    <definedName name="NETHERLANDS">#REF!</definedName>
    <definedName name="new">[177]Manager!$A$1</definedName>
    <definedName name="New_Act_Reason">#REF!</definedName>
    <definedName name="New_BO_YTD">#REF!</definedName>
    <definedName name="NEW_ZEALAND">#REF!</definedName>
    <definedName name="NewDescrip">#REF!</definedName>
    <definedName name="newpr">'[163]A1 Macro Trends'!$A$1:$M$80,'[163]A1 Macro Trends'!#REF!,'[163]A1 Macro Trends'!#REF!,'[163]A1 Macro Trends'!#REF!,'[163]A1 Macro Trends'!#REF!,'[163]A1 Macro Trends'!#REF!,'[163]A1 Macro Trends'!#REF!,'[163]A1 Macro Trends'!#REF!,'[163]A1 Macro Trends'!#REF!,'[163]A1 Macro Trends'!#REF!</definedName>
    <definedName name="NewPrintARea">'[178]A1 Macro Trends'!$A$1:$M$80,'[178]A1 Macro Trends'!#REF!,'[178]A1 Macro Trends'!#REF!,'[178]A1 Macro Trends'!#REF!,'[178]A1 Macro Trends'!#REF!,'[178]A1 Macro Trends'!#REF!,'[178]A1 Macro Trends'!#REF!,'[178]A1 Macro Trends'!#REF!,'[178]A1 Macro Trends'!#REF!,'[178]A1 Macro Trends'!#REF!</definedName>
    <definedName name="NewPrintArea1">'[52]Macro Market Trends'!$A$1:$N$70,'[52]Macro Market Trends'!#REF!,'[52]Macro Market Trends'!#REF!,'[52]Macro Market Trends'!#REF!,'[52]Macro Market Trends'!#REF!,'[52]Macro Market Trends'!#REF!,'[52]Macro Market Trends'!#REF!,'[52]Macro Market Trends'!#REF!,'[52]Macro Market Trends'!#REF!,'[52]Macro Market Trends'!#REF!</definedName>
    <definedName name="NewST">#REF!</definedName>
    <definedName name="NewStoreSMT">[100]BKK!#REF!</definedName>
    <definedName name="NHP">#REF!</definedName>
    <definedName name="nhr">#REF!</definedName>
    <definedName name="NIGERIA">#REF!</definedName>
    <definedName name="nivn">#REF!</definedName>
    <definedName name="NJK">#REF!</definedName>
    <definedName name="nkr">#REF!</definedName>
    <definedName name="NLCS">#REF!</definedName>
    <definedName name="nMonthActive">'[176]Forex Reference'!$A$2</definedName>
    <definedName name="nmp">#REF!</definedName>
    <definedName name="nnnnnnn">#REF!</definedName>
    <definedName name="NNNNNNNNNNNN">#REF!</definedName>
    <definedName name="NNNNNNNNNNNNNNN">#REF!</definedName>
    <definedName name="NNP">#REF!</definedName>
    <definedName name="NOLA">#REF!</definedName>
    <definedName name="NOPBT">135%</definedName>
    <definedName name="NOPBT_CC">#REF!</definedName>
    <definedName name="NormalDiscFullGood">[100]BKK!$CR$7:$CR$42</definedName>
    <definedName name="NormalDiscMT">[100]BKK!$BK$7:$BK$42</definedName>
    <definedName name="North">((200+157)/2)%</definedName>
    <definedName name="North_1">#REF!</definedName>
    <definedName name="North_2">#REF!</definedName>
    <definedName name="North_3">#REF!</definedName>
    <definedName name="notes">[179]SUM!$C$207</definedName>
    <definedName name="Nov">#REF!</definedName>
    <definedName name="Nov_Raw">#REF!</definedName>
    <definedName name="NPA">'[180]A1 Macro Trends'!$A$1:$M$80,'[180]A1 Macro Trends'!#REF!,'[180]A1 Macro Trends'!#REF!,'[180]A1 Macro Trends'!#REF!,'[180]A1 Macro Trends'!#REF!,'[180]A1 Macro Trends'!#REF!,'[180]A1 Macro Trends'!#REF!,'[180]A1 Macro Trends'!#REF!,'[180]A1 Macro Trends'!#REF!,'[180]A1 Macro Trends'!#REF!</definedName>
    <definedName name="NPB">#REF!</definedName>
    <definedName name="nPx">'[181]Forex Reference'!$F$1</definedName>
    <definedName name="nQx">'[176]Forex Reference'!$F$2</definedName>
    <definedName name="NRG">[148]Line!$J$9</definedName>
    <definedName name="NRJ">#REF!</definedName>
    <definedName name="NRT">#REF!</definedName>
    <definedName name="NSI">[119]Forex!#REF!</definedName>
    <definedName name="nSkip">15</definedName>
    <definedName name="NST">#REF!</definedName>
    <definedName name="NSTRate">#REF!</definedName>
    <definedName name="NSW">#REF!</definedName>
    <definedName name="NT">32.4</definedName>
    <definedName name="ntsales">'[62]control sheet'!$C$3</definedName>
    <definedName name="NUK">#REF!</definedName>
    <definedName name="Num_Wks">[73]Lookup!$B$2</definedName>
    <definedName name="NUP">#REF!</definedName>
    <definedName name="Nut">#REF!</definedName>
    <definedName name="NutymzPL">#REF!</definedName>
    <definedName name="Nutyumz">#REF!</definedName>
    <definedName name="Nutyumz_Large_Kg">#REF!</definedName>
    <definedName name="Nutyumz_P__L">#REF!</definedName>
    <definedName name="NUTYUMZ_Rs">#REF!</definedName>
    <definedName name="Nutyumz_Small_Kg">#REF!</definedName>
    <definedName name="nYearActive">'[181]Forex Reference'!$A$8</definedName>
    <definedName name="o">'[182]Orig Target'!#REF!</definedName>
    <definedName name="O_EXP">#REF!</definedName>
    <definedName name="OBDist">#REF!</definedName>
    <definedName name="Oct">#REF!</definedName>
    <definedName name="Oct_Raw">#REF!</definedName>
    <definedName name="Octroi">#REF!</definedName>
    <definedName name="OFC">#REF!</definedName>
    <definedName name="oi">'[37]2002P-BU'!$I$8:$I$76</definedName>
    <definedName name="OJO">[183]SCH50!$A$1:$P$15</definedName>
    <definedName name="old">#REF!</definedName>
    <definedName name="Old_LC_Entity">[162]Hyperion!#REF!</definedName>
    <definedName name="Old_USD_Entity">[162]Hyperion!#REF!</definedName>
    <definedName name="One_Month_Projections">'[40]Jan Volume'!#REF!</definedName>
    <definedName name="oo">[184]Overseas!$B$20:$L$29</definedName>
    <definedName name="ooo">[185]Overseas!$B$20:$L$29</definedName>
    <definedName name="OOOOOOOOOOOOOOO">#REF!</definedName>
    <definedName name="op">'[37]2002P-BU'!$K$8:$K$76</definedName>
    <definedName name="opbal">#REF!</definedName>
    <definedName name="OpenJobs">#REF!</definedName>
    <definedName name="oper">[186]Driver!$B$103</definedName>
    <definedName name="Operation">[186]Driver!$B$103</definedName>
    <definedName name="OPEX_A">#REF!</definedName>
    <definedName name="OPEX_F">#REF!</definedName>
    <definedName name="OPEX_T">#REF!</definedName>
    <definedName name="OPEX2004">#REF!</definedName>
    <definedName name="opexbase">[8]configuracion!$B$12</definedName>
    <definedName name="OpexbaseA">[8]configuracion!$B$12</definedName>
    <definedName name="opexcomp1">[8]configuracion!$B$19</definedName>
    <definedName name="Opexcomp1A">[8]configuracion!$B$19</definedName>
    <definedName name="opexcomp2">[8]configuracion!$B$34</definedName>
    <definedName name="opo">'[28]P&amp;L(S1)'!#REF!</definedName>
    <definedName name="ops">[186]Driver!$B$103</definedName>
    <definedName name="OptionPrice5">#REF!</definedName>
    <definedName name="OptionPrice6">#REF!</definedName>
    <definedName name="OptionPrice7">#REF!</definedName>
    <definedName name="OptionPrice8">#REF!</definedName>
    <definedName name="Options5">#REF!</definedName>
    <definedName name="Options6">#REF!</definedName>
    <definedName name="Options7">#REF!</definedName>
    <definedName name="Options8">#REF!</definedName>
    <definedName name="OptionsPrice8">[7]Detail!$D$19</definedName>
    <definedName name="ORG">'[80]Orig Target'!#REF!</definedName>
    <definedName name="Organization_Nm">[93]YUM!#REF!</definedName>
    <definedName name="ot">[8]NOMINA!$BW$40</definedName>
    <definedName name="OthDiscTT">[100]BKK!$BC$7:$BC$42</definedName>
    <definedName name="Other_Lab_Supplies">#REF!</definedName>
    <definedName name="Otherincome">'[187]OCF Change'!#REF!</definedName>
    <definedName name="otherincome2">#REF!</definedName>
    <definedName name="otherincomevar">#REF!</definedName>
    <definedName name="OthrContMT">[100]BKK!$BS$7:$BS$42</definedName>
    <definedName name="OthrContSMT">[100]BKK!#REF!</definedName>
    <definedName name="OthrDiscMT">[100]BKK!$BT$7:$BT$42</definedName>
    <definedName name="OthrDiscTTOP">[100]BKK!$BI$7:$BI$42</definedName>
    <definedName name="OthrDiscWaterTT">[100]BKK!$CI$7:$CI$42</definedName>
    <definedName name="Otions7">#REF!</definedName>
    <definedName name="Overlap1">#REF!</definedName>
    <definedName name="Overlap2">#REF!</definedName>
    <definedName name="Overlap3">#REF!</definedName>
    <definedName name="oversea">#REF!</definedName>
    <definedName name="OVERVIEW">#REF!</definedName>
    <definedName name="own">[47]INPUT!$B$5</definedName>
    <definedName name="P">#REF!</definedName>
    <definedName name="P___L___OFCF">#REF!</definedName>
    <definedName name="p_1">#REF!</definedName>
    <definedName name="p_2">#REF!</definedName>
    <definedName name="p_DCF">[7]Detail!$A$1:$Q$47</definedName>
    <definedName name="p_EVA">[7]Detail!$A$1:$R$44</definedName>
    <definedName name="p_FirmValue">[7]Detail!$A$1:$O$26</definedName>
    <definedName name="p_football">[7]Detail!$C$73:$Q$115</definedName>
    <definedName name="p_highyield_BS">[7]Detail!$A$108:$R$154</definedName>
    <definedName name="p_highyield_CFS">[7]Detail!$A$161:$R$202</definedName>
    <definedName name="p_highyield_Depr">[7]Detail!$A$267:$R$317</definedName>
    <definedName name="p_highyield_FA">[7]Detail!$A$213:$R$260</definedName>
    <definedName name="p_highyield_IS">[7]Detail!$A$55:$R$101</definedName>
    <definedName name="p_highyield_Return">[7]Detail!$A$321:$R$361</definedName>
    <definedName name="p_highyield_to">[7]Detail!$A$2:$R$50</definedName>
    <definedName name="p_Index">[7]Detail!$A$1:$O$33</definedName>
    <definedName name="P_L">#REF!</definedName>
    <definedName name="p_l1">#REF!</definedName>
    <definedName name="P_LLC">#REF!</definedName>
    <definedName name="P_LUS">#REF!</definedName>
    <definedName name="p_Sum">[7]Detail!$A$1:$Q$49</definedName>
    <definedName name="P27bell">#REF!</definedName>
    <definedName name="P27fam">#REF!</definedName>
    <definedName name="P27jusco">#REF!</definedName>
    <definedName name="P27mall">#REF!</definedName>
    <definedName name="P27ths">#REF!</definedName>
    <definedName name="P27tops">#REF!</definedName>
    <definedName name="P27villa">#REF!</definedName>
    <definedName name="P2C">#REF!</definedName>
    <definedName name="P2E">#REF!</definedName>
    <definedName name="P2F">#REF!</definedName>
    <definedName name="P2FC">'[44]Plant Overview'!#REF!</definedName>
    <definedName name="P32_">#REF!</definedName>
    <definedName name="P3FC">'[44]Plant Overview'!#REF!</definedName>
    <definedName name="P4FC">'[44]Plant Overview'!#REF!</definedName>
    <definedName name="P5FC">'[44]Plant Overview'!#REF!</definedName>
    <definedName name="P6_">#REF!</definedName>
    <definedName name="P632_">#REF!</definedName>
    <definedName name="P66ALL">#REF!</definedName>
    <definedName name="P6ALL">#REF!</definedName>
    <definedName name="p6alll">#REF!</definedName>
    <definedName name="P6E">#REF!</definedName>
    <definedName name="P6EGU">#REF!</definedName>
    <definedName name="P6ESL">#REF!</definedName>
    <definedName name="P6EWB">#REF!</definedName>
    <definedName name="P6EX">#REF!</definedName>
    <definedName name="P6FC">'[44]Plant Overview'!#REF!</definedName>
    <definedName name="P6HO">#REF!</definedName>
    <definedName name="P6N">#REF!</definedName>
    <definedName name="P6N_1">#REF!</definedName>
    <definedName name="P6N_2">#REF!</definedName>
    <definedName name="P6N_3">#REF!</definedName>
    <definedName name="P6NBH">#REF!</definedName>
    <definedName name="P6NCH">#REF!</definedName>
    <definedName name="P6NDL">#REF!</definedName>
    <definedName name="P6NHP">#REF!</definedName>
    <definedName name="P6NHR">#REF!</definedName>
    <definedName name="P6NJK">#REF!</definedName>
    <definedName name="P6NMP">#REF!</definedName>
    <definedName name="P6NNP">#REF!</definedName>
    <definedName name="P6NPB">#REF!</definedName>
    <definedName name="P6NRJ">#REF!</definedName>
    <definedName name="P6NUK">#REF!</definedName>
    <definedName name="P6NUP">#REF!</definedName>
    <definedName name="P6ORR">#REF!</definedName>
    <definedName name="P6P">#REF!</definedName>
    <definedName name="P6range">#REF!</definedName>
    <definedName name="P6S">#REF!</definedName>
    <definedName name="P6SHY">#REF!</definedName>
    <definedName name="P6SKN">#REF!</definedName>
    <definedName name="P6SKR">#REF!</definedName>
    <definedName name="P6STN">#REF!</definedName>
    <definedName name="P6W">#REF!</definedName>
    <definedName name="P6WGJ">#REF!</definedName>
    <definedName name="P6WGO">#REF!</definedName>
    <definedName name="P6WMH">#REF!</definedName>
    <definedName name="P6WNG">#REF!</definedName>
    <definedName name="P6WPN">#REF!</definedName>
    <definedName name="P7FC">'[44]Plant Overview'!#REF!</definedName>
    <definedName name="P8FC">'[44]Plant Overview'!#REF!</definedName>
    <definedName name="Pack_Wt">#REF!</definedName>
    <definedName name="Package">'[79]Line Data'!$E$65:$E$116</definedName>
    <definedName name="PackMat">[188]PM!$A$2:$F$101</definedName>
    <definedName name="Packs_perCarton">#REF!</definedName>
    <definedName name="PAGE">#REF!</definedName>
    <definedName name="PAGE1">[75]Detail!#REF!</definedName>
    <definedName name="PAGE2">[75]Detail!#REF!</definedName>
    <definedName name="PAGE3">[75]Detail!#REF!</definedName>
    <definedName name="PAGE4">[75]Detail!#REF!</definedName>
    <definedName name="PAGE5">[75]Detail!#REF!</definedName>
    <definedName name="PAGE6">[75]Detail!#REF!</definedName>
    <definedName name="PAGE7">[75]Detail!#REF!</definedName>
    <definedName name="PAGE8">[75]Detail!#REF!</definedName>
    <definedName name="PAGE9">[75]Detail!#REF!</definedName>
    <definedName name="Page98">#REF!</definedName>
    <definedName name="Page99">#REF!</definedName>
    <definedName name="PAKISTAN">#REF!</definedName>
    <definedName name="PALL">#REF!</definedName>
    <definedName name="PARAMS">#REF!</definedName>
    <definedName name="Pasive1">[34]Config!$G$15</definedName>
    <definedName name="Pasive1_Name">[34]Config!$G$14</definedName>
    <definedName name="Pasive2">[34]Config!$H$15</definedName>
    <definedName name="Pasive2_Name">[34]Config!$H$14</definedName>
    <definedName name="Pasive3">[34]Config!$I$15</definedName>
    <definedName name="Pasive3_Name">[34]Config!$I$14</definedName>
    <definedName name="PATRON">[8]NOMINA!$BW$14</definedName>
    <definedName name="PATRON1">[8]NOMINA!$BW$16</definedName>
    <definedName name="Payscale">#REF!</definedName>
    <definedName name="PAŹDZIERNIK">#REF!,#REF!,#REF!,#REF!,#REF!,#REF!</definedName>
    <definedName name="PC_LB">[188]PC_LB!$A$2:$E$12</definedName>
    <definedName name="PCI">((86+200)/2)%</definedName>
    <definedName name="PCIEPUPER">#REF!</definedName>
    <definedName name="PCIEPUPERnew">'[88]PCI EPU &amp; LOB PER'!$C$4:$P$42</definedName>
    <definedName name="PCIEPUYTD">#REF!</definedName>
    <definedName name="PCIEPUYTDnew">'[88]PCI EPU &amp; LOB YTD'!$C$4:$O$43</definedName>
    <definedName name="PCNA">#REF!</definedName>
    <definedName name="PDAYS">#REF!</definedName>
    <definedName name="PDCLOSING">#REF!</definedName>
    <definedName name="PDCLOSINGBAL">[123]Sheet1!$F$2:$F$13</definedName>
    <definedName name="PDET1">#REF!</definedName>
    <definedName name="PDET2">#REF!</definedName>
    <definedName name="PDET3">#REF!</definedName>
    <definedName name="PDET4">#REF!</definedName>
    <definedName name="PDETBE1">#REF!</definedName>
    <definedName name="PDETC1B">#REF!</definedName>
    <definedName name="PDETC1C">#REF!</definedName>
    <definedName name="PDETC1D">#REF!</definedName>
    <definedName name="PDINEROP">[8]NOMINA!$BW$12</definedName>
    <definedName name="PDINEROT">[8]NOMINA!$BW$13</definedName>
    <definedName name="PE">#REF!</definedName>
    <definedName name="Peak_Capacity_Actual">#REF!</definedName>
    <definedName name="Peak_Capacity_Std">#REF!</definedName>
    <definedName name="PEGU">#REF!</definedName>
    <definedName name="Pellet2D">#REF!</definedName>
    <definedName name="Pellet3D">#REF!</definedName>
    <definedName name="Pending">#REF!</definedName>
    <definedName name="PENSIONP">[8]NOMINA!$BW$18</definedName>
    <definedName name="PENSIONT">[8]NOMINA!$BW$19</definedName>
    <definedName name="PepsiAsia">0%</definedName>
    <definedName name="PepsiCo">((117+144)/2)%</definedName>
    <definedName name="per">[47]INPUT!$B$4</definedName>
    <definedName name="Per_8oz">#REF!</definedName>
    <definedName name="PER_CASE">'[55]P&amp;L'!#REF!</definedName>
    <definedName name="Per_Mix">'[40]Jan Volume'!#REF!</definedName>
    <definedName name="Per_Sys">#REF!</definedName>
    <definedName name="PER_UNIT">'[55]P&amp;L'!#REF!</definedName>
    <definedName name="per8oz">#REF!</definedName>
    <definedName name="perBottle">#REF!</definedName>
    <definedName name="Perf_Indicator">#REF!</definedName>
    <definedName name="Period">[75]LTIP!$B$3</definedName>
    <definedName name="Period_Avg_Rates">#REF!</definedName>
    <definedName name="Period_data">[104]Hyperion!$D$28</definedName>
    <definedName name="Period1">#REF!</definedName>
    <definedName name="Period10">#REF!</definedName>
    <definedName name="Period10Plan">#REF!</definedName>
    <definedName name="Period10YAG">#REF!</definedName>
    <definedName name="Period11">#REF!</definedName>
    <definedName name="Period11Plan">#REF!</definedName>
    <definedName name="Period11YAG">#REF!</definedName>
    <definedName name="Period12">#REF!</definedName>
    <definedName name="Period12Plan">#REF!</definedName>
    <definedName name="Period12YAG">#REF!</definedName>
    <definedName name="Period13">#REF!</definedName>
    <definedName name="Period13Plan">#REF!</definedName>
    <definedName name="Period13YAG">#REF!</definedName>
    <definedName name="Period1Plan">#REF!</definedName>
    <definedName name="Period1YAG">#REF!</definedName>
    <definedName name="Period2">#REF!</definedName>
    <definedName name="Period2Plan">#REF!</definedName>
    <definedName name="Period2YAG">#REF!</definedName>
    <definedName name="Period3">#REF!</definedName>
    <definedName name="Period3Plan">#REF!</definedName>
    <definedName name="Period3YAG">#REF!</definedName>
    <definedName name="Period4">#REF!</definedName>
    <definedName name="Period4Plan">#REF!</definedName>
    <definedName name="Period4YAG">#REF!</definedName>
    <definedName name="Period5">#REF!</definedName>
    <definedName name="Period5Plan">#REF!</definedName>
    <definedName name="Period5YAG">#REF!</definedName>
    <definedName name="Period6">#REF!</definedName>
    <definedName name="Period6Plan">#REF!</definedName>
    <definedName name="Period6YAG">#REF!</definedName>
    <definedName name="Period7">#REF!</definedName>
    <definedName name="Period7Plan">#REF!</definedName>
    <definedName name="Period7YAG">#REF!</definedName>
    <definedName name="Period8">#REF!</definedName>
    <definedName name="Period8Plan">#REF!</definedName>
    <definedName name="Period8YAG">#REF!</definedName>
    <definedName name="Period9">#REF!</definedName>
    <definedName name="Period9Plan">#REF!</definedName>
    <definedName name="Period9YAG">#REF!</definedName>
    <definedName name="PeriodActual">#REF!</definedName>
    <definedName name="PERIODBAL">#REF!</definedName>
    <definedName name="PeriodNumber">'[189]Start Here'!$B$8</definedName>
    <definedName name="PeriodPlan">#REF!</definedName>
    <definedName name="PeriodRef">#REF!</definedName>
    <definedName name="PeriodYAG">#REF!</definedName>
    <definedName name="perRaw">#REF!</definedName>
    <definedName name="perunit">#REF!</definedName>
    <definedName name="PESL">#REF!</definedName>
    <definedName name="peso">#REF!</definedName>
    <definedName name="PET">[190]Line!$J$10</definedName>
    <definedName name="pet1lbase">'[78]Vol Mths-R'!#REF!</definedName>
    <definedName name="pet1leq">'[78]Vol Mths-R'!#REF!</definedName>
    <definedName name="pet1lprb">'[78]Vol Mths-R'!#REF!</definedName>
    <definedName name="PETVol">'[44]Filling Line Detail'!#REF!</definedName>
    <definedName name="PEWB">#REF!</definedName>
    <definedName name="PEX">#REF!</definedName>
    <definedName name="pficap">[7]Detail!$M$2:$U$22</definedName>
    <definedName name="pfinobt">[7]Detail!$A$2:$K$29</definedName>
    <definedName name="PFL">#REF!</definedName>
    <definedName name="PFR">#REF!</definedName>
    <definedName name="PG_LB">[188]PG_LB!$A$1:$E$43</definedName>
    <definedName name="Phasestart">'[145]Set Up &amp; Instructions'!#REF!</definedName>
    <definedName name="PHEAD2">#REF!</definedName>
    <definedName name="PHEAD3">#REF!</definedName>
    <definedName name="PHEAD4">#REF!</definedName>
    <definedName name="PHEDB1EA">#REF!</definedName>
    <definedName name="PHEDB1EB">#REF!</definedName>
    <definedName name="PHEDBE1">#REF!</definedName>
    <definedName name="PHEDC1">#REF!</definedName>
    <definedName name="PHILIPPINES">#REF!</definedName>
    <definedName name="PHO">#REF!</definedName>
    <definedName name="PI_PCI_MainEntity">'[35]PI_Hyp Config'!$J$19</definedName>
    <definedName name="PII">#REF!</definedName>
    <definedName name="PK">#REF!</definedName>
    <definedName name="PkgTypeLkp">#REF!</definedName>
    <definedName name="pl">#REF!</definedName>
    <definedName name="PL_Line">#REF!</definedName>
    <definedName name="PL7Up">'[191]PL7-UP'!$B$11:$O$105</definedName>
    <definedName name="plan">#REF!</definedName>
    <definedName name="Plan_2000">#REF!</definedName>
    <definedName name="PLAN_97">#REF!</definedName>
    <definedName name="PLAN_97_Bs">#REF!</definedName>
    <definedName name="Plan_am_factor">[158]Tanzania!$AV$359</definedName>
    <definedName name="plan_ytd">#REF!</definedName>
    <definedName name="Planning">[131]Planning!$A$18:$AN$136</definedName>
    <definedName name="Plant_Building">[6]Sheet1!#REF!</definedName>
    <definedName name="Plant_Equipment">[6]Sheet1!#REF!</definedName>
    <definedName name="PLANTA">[8]NOMINA!$BW$27</definedName>
    <definedName name="Planting">'[118]DO weight'!$A$5:$Q$25</definedName>
    <definedName name="PlantingSche">[118]Seed!$A$11:$I$22</definedName>
    <definedName name="PLAOP">[191]AOP!$B$6:$O$105</definedName>
    <definedName name="PLClub">[191]PLClub!$B$11:$O$105</definedName>
    <definedName name="PLCSD">#REF!</definedName>
    <definedName name="PLCSDAOP">#REF!</definedName>
    <definedName name="PLGatorade">[191]PLGatorade!$B$11:$O$105</definedName>
    <definedName name="plk">'[192]SABU P&amp;L'!#REF!</definedName>
    <definedName name="PLLipton">[191]PLLipton!$B$11:$O$105</definedName>
    <definedName name="PLLL">#REF!</definedName>
    <definedName name="PLLLL">#REF!</definedName>
    <definedName name="PLLLLLLLLL">#REF!</definedName>
    <definedName name="PLMirinda">[191]PLMirinda!$B$11:$O$105</definedName>
    <definedName name="PLMountDew">[191]PLMountDew!$B$11:$O$105</definedName>
    <definedName name="PLNCSD">[191]PLNCSD!$B$11:$O$105</definedName>
    <definedName name="PLNCSD1">[191]PLNCSD1!$B$11:$O$105</definedName>
    <definedName name="PLNCSD2">[191]PLNCSD2!$B$11:$O$105</definedName>
    <definedName name="PLOther">[191]PL_Other!$B$11:$O$105</definedName>
    <definedName name="PLPepsi">[191]PLPepsi!$B$11:$O$105</definedName>
    <definedName name="PLPeriod">#REF!</definedName>
    <definedName name="PLPTT">[191]PTT!$B$11:$O$106</definedName>
    <definedName name="PLQFCST">[191]QFcst!$B$6:$O$105</definedName>
    <definedName name="PLSP">#REF!</definedName>
    <definedName name="PLTwister">[191]PLTwister!$B$11:$O$105</definedName>
    <definedName name="PLWaterPlus">[191]PLWaterPlus!$B$11:$O$105</definedName>
    <definedName name="PLYAGO">'[191]2004F'!$B$6:$O$105</definedName>
    <definedName name="PLYear">#REF!</definedName>
    <definedName name="PMcost_perKg">#REF!</definedName>
    <definedName name="PN">#REF!</definedName>
    <definedName name="PN_1">#REF!</definedName>
    <definedName name="PN_2">#REF!</definedName>
    <definedName name="PN_3">#REF!</definedName>
    <definedName name="PNBH">#REF!</definedName>
    <definedName name="PNCH">#REF!</definedName>
    <definedName name="PNDL">#REF!</definedName>
    <definedName name="PNHP">#REF!</definedName>
    <definedName name="PNHR">#REF!</definedName>
    <definedName name="PNJK">#REF!</definedName>
    <definedName name="PNMP">#REF!</definedName>
    <definedName name="PNNP">#REF!</definedName>
    <definedName name="PNPB">#REF!</definedName>
    <definedName name="PNRJ">#REF!</definedName>
    <definedName name="PNUK">#REF!</definedName>
    <definedName name="PNUP">#REF!</definedName>
    <definedName name="po">'[192]SABU P&amp;L'!#REF!</definedName>
    <definedName name="POLAND">#REF!</definedName>
    <definedName name="POPRPremium">[100]BKK!$BU$7:$BU$42</definedName>
    <definedName name="PORR">#REF!</definedName>
    <definedName name="Postmix_CO2_Tanks">#REF!</definedName>
    <definedName name="Postmix_Machines">#REF!</definedName>
    <definedName name="pp">[7]Detail!$F$24</definedName>
    <definedName name="PP_Bag">OFFSET(#REF!,0,0,COUNTA(#REF!)-4,3)</definedName>
    <definedName name="PP_list">OFFSET(#REF!,0,0,COUNTA(#REF!)-4,1)</definedName>
    <definedName name="PPPPPPPPPP">#REF!</definedName>
    <definedName name="PQTR">#REF!</definedName>
    <definedName name="Pr">#REF!</definedName>
    <definedName name="prate">#REF!</definedName>
    <definedName name="prb1.5">[6]Sheet1!#REF!</definedName>
    <definedName name="prb1.5lbase">'[78]Vol Mths-R'!#REF!</definedName>
    <definedName name="prb1.5leq">'[78]Vol Mths-R'!#REF!</definedName>
    <definedName name="prb1.5lprb">'[78]Vol Mths-R'!#REF!</definedName>
    <definedName name="prb2.0">[6]Sheet1!#REF!</definedName>
    <definedName name="PrecedentAnalysis">[7]Detail!$B$39:$S$71</definedName>
    <definedName name="Premix_Machines">[6]Sheet1!#REF!</definedName>
    <definedName name="PreviewEachPage">#REF!</definedName>
    <definedName name="Previous_Year_YTD_Actuals">'[40]Jan Volume'!#REF!</definedName>
    <definedName name="PRICE">#REF!</definedName>
    <definedName name="PRICE1">#REF!</definedName>
    <definedName name="PRICING">[96]Sheet1!$B$7:$R$142</definedName>
    <definedName name="PRICO">#REF!</definedName>
    <definedName name="PRIMRT">[8]NOMINA!$BW$22</definedName>
    <definedName name="Prin">[193]!Prin</definedName>
    <definedName name="PRINT">#REF!</definedName>
    <definedName name="_xlnm.Print_Area">#REF!</definedName>
    <definedName name="Print_Area_cf">#REF!</definedName>
    <definedName name="Print_Area_cfly">#REF!</definedName>
    <definedName name="Print_Area_do">#REF!</definedName>
    <definedName name="Print_Area_harvesting">#REF!</definedName>
    <definedName name="Print_Area_ly">#REF!</definedName>
    <definedName name="Print_Area_ly_yield">#REF!</definedName>
    <definedName name="Print_Area_MI">[194]POWER!#REF!</definedName>
    <definedName name="Print_Area_netharvest">#REF!</definedName>
    <definedName name="Print_Area_norm_yield">#REF!</definedName>
    <definedName name="Print_Area_normal">#REF!</definedName>
    <definedName name="_xlnm.Print_Titles">#REF!</definedName>
    <definedName name="Print_Titles_MI">#REF!,#REF!</definedName>
    <definedName name="PRINT1A">#REF!</definedName>
    <definedName name="PRINT1B">#REF!</definedName>
    <definedName name="PRINT2">'[195]P&amp;L'!#REF!</definedName>
    <definedName name="PRINT2A">#REF!</definedName>
    <definedName name="PRINT2B">#REF!</definedName>
    <definedName name="PRINT3A">#REF!</definedName>
    <definedName name="PRINT3B">#REF!</definedName>
    <definedName name="PRINT4A">#REF!</definedName>
    <definedName name="PRINT4B">#REF!</definedName>
    <definedName name="PRINTA">#REF!</definedName>
    <definedName name="PRINTALL">#REF!</definedName>
    <definedName name="PRINTB">#REF!</definedName>
    <definedName name="PrintBlock">#REF!</definedName>
    <definedName name="PRINTC">#REF!</definedName>
    <definedName name="printlc">[1]W604!#REF!</definedName>
    <definedName name="PrintNames">#REF!</definedName>
    <definedName name="printsch">#REF!</definedName>
    <definedName name="PRINTSUM">#REF!</definedName>
    <definedName name="printwkp">#REF!</definedName>
    <definedName name="PrionQ4Period">#REF!</definedName>
    <definedName name="prior">#REF!</definedName>
    <definedName name="Prior_YTD">#REF!</definedName>
    <definedName name="PriorQ1Period">#REF!</definedName>
    <definedName name="PriorQ1Year">#REF!</definedName>
    <definedName name="PriorQ2Period">#REF!</definedName>
    <definedName name="PriorQ2Year">#REF!</definedName>
    <definedName name="PriorQ3Period">#REF!</definedName>
    <definedName name="PriorQ3Year">#REF!</definedName>
    <definedName name="PriorQ4Period">#REF!</definedName>
    <definedName name="PriorQ4Year">#REF!</definedName>
    <definedName name="PRLEXP">#REF!</definedName>
    <definedName name="prnt">#REF!</definedName>
    <definedName name="Prod">#REF!</definedName>
    <definedName name="Prod8oz">'[44]Filling Line Detail'!#REF!</definedName>
    <definedName name="prodexpn">#REF!</definedName>
    <definedName name="Product">#REF!</definedName>
    <definedName name="Product_Label">#REF!</definedName>
    <definedName name="PRODUCTION">#REF!</definedName>
    <definedName name="ProductSchedule">#REF!</definedName>
    <definedName name="ProductScheduleBFY">#REF!</definedName>
    <definedName name="profit">'[196]Actuals 2006 - SR'!$A$1:'[196]Actuals 2006 - SR'!$H$89</definedName>
    <definedName name="proj">[75]Detail!#REF!</definedName>
    <definedName name="Promo">#REF!</definedName>
    <definedName name="PromoEat">[100]BKK!$AT$7:$AT$42</definedName>
    <definedName name="Promolocal">[100]BKK!$AV$7:$AV$42</definedName>
    <definedName name="PromoMT">[100]BKK!$BR$7:$BR$42</definedName>
    <definedName name="PromoPVS">[100]BKK!$AU$7:$AU$42</definedName>
    <definedName name="PromoWaterMT">[100]BKK!$CN$7:$CN$42</definedName>
    <definedName name="PromoWaterTT">[100]BKK!$CH$7:$CH$42</definedName>
    <definedName name="PromoWS">[100]BKK!$AZ$7:$AZ$42</definedName>
    <definedName name="pron">#REF!</definedName>
    <definedName name="prop.csi">'[62]control sheet'!$C$48</definedName>
    <definedName name="prop.tsi">'[62]control sheet'!$C$49</definedName>
    <definedName name="PROPOSAL">#REF!</definedName>
    <definedName name="ProtoSubTotalRow">#REF!</definedName>
    <definedName name="prt">'[163]A1 Macro Trends'!$A$1:$M$80,'[163]A1 Macro Trends'!#REF!,'[163]A1 Macro Trends'!#REF!,'[163]A1 Macro Trends'!#REF!,'[163]A1 Macro Trends'!#REF!,'[163]A1 Macro Trends'!#REF!,'[163]A1 Macro Trends'!#REF!,'[163]A1 Macro Trends'!#REF!,'[163]A1 Macro Trends'!#REF!,'[163]A1 Macro Trends'!#REF!</definedName>
    <definedName name="PS">#REF!</definedName>
    <definedName name="PSCHED">#REF!</definedName>
    <definedName name="PSHP">#REF!</definedName>
    <definedName name="PSKN">#REF!</definedName>
    <definedName name="PSKR">#REF!</definedName>
    <definedName name="PSTN">#REF!</definedName>
    <definedName name="PSUMM">#REF!</definedName>
    <definedName name="PTCODE">#REF!</definedName>
    <definedName name="ptexpus1">#REF!</definedName>
    <definedName name="ptexpus10">#REF!</definedName>
    <definedName name="ptexpus11">#REF!</definedName>
    <definedName name="ptexpus12">#REF!</definedName>
    <definedName name="ptexpus2">#REF!</definedName>
    <definedName name="ptexpus3">#REF!</definedName>
    <definedName name="ptexpus4">#REF!</definedName>
    <definedName name="ptexpus5">#REF!</definedName>
    <definedName name="ptexpus6">#REF!</definedName>
    <definedName name="ptexpus7">#REF!</definedName>
    <definedName name="ptexpus8">#REF!</definedName>
    <definedName name="ptexpus9">#REF!</definedName>
    <definedName name="Ptobottlers">'[94]BU Assumptions'!$D$26</definedName>
    <definedName name="PTOT2">#REF!</definedName>
    <definedName name="PTOT3">#REF!</definedName>
    <definedName name="PTOT4">#REF!</definedName>
    <definedName name="pu">#REF!</definedName>
    <definedName name="Pune_MOH">#REF!</definedName>
    <definedName name="purchase">#REF!</definedName>
    <definedName name="PW">#REF!</definedName>
    <definedName name="PwC">#REF!</definedName>
    <definedName name="PWGJ">#REF!</definedName>
    <definedName name="PWGO">#REF!</definedName>
    <definedName name="PWMH">#REF!</definedName>
    <definedName name="pwng">#REF!</definedName>
    <definedName name="PWPN">#REF!</definedName>
    <definedName name="q">#REF!</definedName>
    <definedName name="Q1LBS">[112]MDandM_summary_data!$B$2:$K$506</definedName>
    <definedName name="Q1LBSa">'[112]Baked PIVOT'!$A$4:$J$30</definedName>
    <definedName name="Q1LBSb">[112]PIVOT!$A$2:$K$1000</definedName>
    <definedName name="Q1Q2">'[53]Input Sheet'!$A$15:$AX$68</definedName>
    <definedName name="Q1QSHFL">[112]MDandM_summary_data!$B$2:$K$506</definedName>
    <definedName name="Q1QSHFLa">'[112]Baked PIVOT'!$A$4:$J$30</definedName>
    <definedName name="Q1QSHFLb">[112]PIVOT!$A$2:$K$1000</definedName>
    <definedName name="Q1SALES">[112]MDandM_summary_data!$B$2:$K$506</definedName>
    <definedName name="Q1SALESa">'[112]Baked PIVOT'!$A$4:$J$30</definedName>
    <definedName name="Q1SALESb">[112]PIVOT!$A$2:$K$1000</definedName>
    <definedName name="Q2Q3">'[146]Input Sheet'!#REF!</definedName>
    <definedName name="Q3Q4">'[146]Input Sheet'!#REF!</definedName>
    <definedName name="QCACT">'[77]QSCDN YTD'!$D$1:$D$65536</definedName>
    <definedName name="QCHI">'[77]QSCDN YTD'!$A$1:$A$65536</definedName>
    <definedName name="QCLBS">'[77]QSCDN YTD'!$H$1:$H$65536</definedName>
    <definedName name="QCPLN">'[77]QSCDN YTD'!$F$1:$F$65536</definedName>
    <definedName name="QCPLNLBS">'[77]QSCDN YTD'!$J$1:$J$65536</definedName>
    <definedName name="QCYAG">'[77]QSCDN YTD'!$E$1:$E$65536</definedName>
    <definedName name="QCYAGLBS">'[77]QSCDN YTD'!$I$1:$I$65536</definedName>
    <definedName name="qe">#REF!</definedName>
    <definedName name="qfcst">[197]START!$C$14</definedName>
    <definedName name="QFS">#REF!</definedName>
    <definedName name="QQQ">#REF!</definedName>
    <definedName name="qret">#REF!</definedName>
    <definedName name="qrt">#REF!</definedName>
    <definedName name="qryPackCompWtsByPlant">#REF!</definedName>
    <definedName name="qryTmp">#REF!</definedName>
    <definedName name="qryTmp2003PackSalesByDC">#REF!</definedName>
    <definedName name="QSCDNHI">'[144]YTD-QSCDN'!$A$8:$A$103</definedName>
    <definedName name="QSCDNLBS">'[144]YTD-QSCDN'!$K$8:$K$103</definedName>
    <definedName name="QSCDNNTSLS">'[144]YTD-QSCDN'!$E$8:$E$103</definedName>
    <definedName name="QSCDNYAGLBS">'[144]YTD-QSCDN'!$M$8:$M$103</definedName>
    <definedName name="QSCDNYAGNTSLS">'[144]YTD-QSCDN'!$G$8:$G$103</definedName>
    <definedName name="QSR">#REF!</definedName>
    <definedName name="QSUSHI">'[144]YTD-QSUS'!$C$14:$C$46</definedName>
    <definedName name="QSUSLBS">'[144]YTD-QSUS'!$J$14:$J$46</definedName>
    <definedName name="QSUSNtSls">'[144]YTD-QSUS'!$F$14:$F$46</definedName>
    <definedName name="QSUSYAGLBS">'[144]YTD-QSUS'!$K$14:$K$46</definedName>
    <definedName name="QSUSYAGNtSls">'[144]YTD-QSUS'!$G$14:$G$46</definedName>
    <definedName name="qtd">[47]INPUT!$D$4</definedName>
    <definedName name="QTRCODE">#REF!</definedName>
    <definedName name="QTRUPDATE">#REF!</definedName>
    <definedName name="qtyexp2">#REF!</definedName>
    <definedName name="Quaker">[25]Setup1!$B$54:$B$55</definedName>
    <definedName name="quarter">[198]Cover!$A$19</definedName>
    <definedName name="QUARTER1">'[53]Input Sheet'!$A$13:$AX$67</definedName>
    <definedName name="QUARTER3">'[146]Input Sheet'!#REF!</definedName>
    <definedName name="QUARTER3ANDQ4">'[146]Input Sheet'!#REF!</definedName>
    <definedName name="QUARTER4">'[146]Input Sheet'!#REF!</definedName>
    <definedName name="quarter4page2">'[146]Input Sheet'!#REF!</definedName>
    <definedName name="QuarterBaked">'[112]Baked PIVOT'!$A$4:$J$30</definedName>
    <definedName name="QuarterData">[112]PIVOT!$A$2:$K$1000</definedName>
    <definedName name="QuarterDipps">#REF!</definedName>
    <definedName name="quarterend">#REF!</definedName>
    <definedName name="quarterly">[7]Detail!$A$2:$W$90</definedName>
    <definedName name="QuarterNumber">'[189]Start Here'!$D$8</definedName>
    <definedName name="QuarterPepStk">#REF!</definedName>
    <definedName name="quarters">#REF!</definedName>
    <definedName name="QuarterScoops">#REF!</definedName>
    <definedName name="qw">'[37]2002P-BU'!$M$8:$M$76</definedName>
    <definedName name="qweq">#REF!</definedName>
    <definedName name="qwer">[199]Input!$B$4</definedName>
    <definedName name="R.Guar">#REF!</definedName>
    <definedName name="r_dexp">#REF!</definedName>
    <definedName name="r_printfunction">[7]Detail!$Q$7:$Z$57</definedName>
    <definedName name="RA">#REF!</definedName>
    <definedName name="ragdf">'[40]Jan Volume'!#REF!</definedName>
    <definedName name="rahul">#REF!</definedName>
    <definedName name="Range">#REF!</definedName>
    <definedName name="rApplication">#REF!</definedName>
    <definedName name="rate">#REF!</definedName>
    <definedName name="RATE05AOP">'[200]Lead Inputs'!$C$18</definedName>
    <definedName name="RATE05SP">'[200]Lead Inputs'!$C$16</definedName>
    <definedName name="rates">'[201]MAIN FX-CALC 1'!$A$99:$U$181</definedName>
    <definedName name="ratios">[83]BS!$C$133</definedName>
    <definedName name="RawMat">[188]RM!$A$2:$D$65</definedName>
    <definedName name="rb_total">[6]Sheet1!#REF!</definedName>
    <definedName name="rb10oz">[6]Sheet1!#REF!</definedName>
    <definedName name="rb1lbase">'[78]Vol Mths-R'!#REF!</definedName>
    <definedName name="rb1leq">'[78]Vol Mths-R'!#REF!</definedName>
    <definedName name="rb1lprb">'[78]Vol Mths-R'!#REF!</definedName>
    <definedName name="rb250base">'[78]Vol Mths-R'!#REF!</definedName>
    <definedName name="rb250eq">'[78]Vol Mths-R'!#REF!</definedName>
    <definedName name="rb250prb">'[78]Vol Mths-R'!#REF!</definedName>
    <definedName name="rb350base">'[78]Vol Mths-R'!#REF!</definedName>
    <definedName name="rb350eq">'[78]Vol Mths-R'!#REF!</definedName>
    <definedName name="rb350prb">'[78]Vol Mths-R'!#REF!</definedName>
    <definedName name="rb7oz">[6]Sheet1!#REF!</definedName>
    <definedName name="rBeverage">[58]Reference!$M$3</definedName>
    <definedName name="RBVol">'[44]Filling Line Detail'!#REF!</definedName>
    <definedName name="RCK">#REF!</definedName>
    <definedName name="rCOCHUS">#REF!</definedName>
    <definedName name="rCountry">[39]Reference!$E$3</definedName>
    <definedName name="ReasonDesc">#REF!</definedName>
    <definedName name="reasons">[73]Lookup!$Q$3:$R$16</definedName>
    <definedName name="_xlnm.Recorder">#REF!</definedName>
    <definedName name="RECOUT">#N/A</definedName>
    <definedName name="red">#REF!</definedName>
    <definedName name="Reference">[202]Local!$E$4:$BQ$100</definedName>
    <definedName name="Region">#REF!</definedName>
    <definedName name="RemedCost">#REF!</definedName>
    <definedName name="Ren_Spending">#REF!</definedName>
    <definedName name="rEntityInput">[39]Reference!$H$3</definedName>
    <definedName name="rEntityLocal">[203]Reference!$G$3</definedName>
    <definedName name="rEntityParent">[58]Reference!$F$3</definedName>
    <definedName name="rEntityShare">[204]Reference!$A$6</definedName>
    <definedName name="rEntitySystem">#REF!</definedName>
    <definedName name="reop">#REF!</definedName>
    <definedName name="reop1">#REF!</definedName>
    <definedName name="Report_Currency">[205]Settings!$I$7</definedName>
    <definedName name="Report_Month">'[40]Jan Volume'!#REF!</definedName>
    <definedName name="Report_tool_bottom_row">#REF!</definedName>
    <definedName name="Report_tool_top_row">#REF!</definedName>
    <definedName name="Report_Year">'[40]Jan Volume'!#REF!</definedName>
    <definedName name="RepRange">#REF!</definedName>
    <definedName name="RepTitle">#REF!</definedName>
    <definedName name="RESP">#N/A</definedName>
    <definedName name="rest_1of2">[7]Detail!$B$73:$Y$108</definedName>
    <definedName name="rest_2of2">[7]Detail!$B$109:$Y$144</definedName>
    <definedName name="rest_tot">[7]Detail!$B$7:$Y$71</definedName>
    <definedName name="Restaurant_Summary">[7]Detail!$B$7:$R$203</definedName>
    <definedName name="Results">#REF!</definedName>
    <definedName name="Retailer_margin">#REF!</definedName>
    <definedName name="RETIRO">[8]NOMINA!$BW$1</definedName>
    <definedName name="retq">#REF!</definedName>
    <definedName name="return">[206]Printing!#REF!</definedName>
    <definedName name="REVENUE">[96]Sheet1!#REF!</definedName>
    <definedName name="rew">'[37]2002P-BU'!$L$8:$L$76</definedName>
    <definedName name="rFCST">[207]PLPlan1!$B$10:$BF$122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.ZZ?csd_across">#REF!</definedName>
    <definedName name="RGT.ZZ?csd_data">#REF!</definedName>
    <definedName name="RGT.ZZ?csd_down">#REF!</definedName>
    <definedName name="RGT.ZZ?water_across">#REF!</definedName>
    <definedName name="RGT.ZZ?water_data">#REF!</definedName>
    <definedName name="RGT.ZZ?water_down">#REF!</definedName>
    <definedName name="ri">#REF!</definedName>
    <definedName name="rInEQ7000">#REF!</definedName>
    <definedName name="rInPL5100Bev">#REF!,#REF!,#REF!</definedName>
    <definedName name="rInPL5100BevAOP">'[208]PL AOP Input'!$D$173:$O$174,'[208]PL AOP Input'!$D$176:$O$180,'[208]PL AOP Input'!$D$189:$O$189</definedName>
    <definedName name="rInPL5100BevFC">'[58]PL FC Input'!$I$168:$O$169,'[58]PL FC Input'!$I$171:$O$175,'[58]PL FC Input'!$I$184:$O$184</definedName>
    <definedName name="rInPL5100BevSP">#REF!,#REF!,#REF!</definedName>
    <definedName name="rInPL5100Snk">#REF!</definedName>
    <definedName name="rInPL5100SnkSP">#REF!</definedName>
    <definedName name="Risks____Opportunities">#REF!</definedName>
    <definedName name="RMB">8.3</definedName>
    <definedName name="rmcAccount">9030</definedName>
    <definedName name="rmcCategory">"CURROB"</definedName>
    <definedName name="RMCOptions">"*010000000000000"</definedName>
    <definedName name="RMCost_KgAllIndia">#REF!</definedName>
    <definedName name="RMCost_KgChanno">#REF!</definedName>
    <definedName name="RMCost_KgFBD">#REF!</definedName>
    <definedName name="RMCost_kgKhapoli">#REF!</definedName>
    <definedName name="RMCost_KgPune">#REF!</definedName>
    <definedName name="rngFleshColor">#REF!</definedName>
    <definedName name="rngKPIValues">#REF!</definedName>
    <definedName name="rngPeriodList">#REF!</definedName>
    <definedName name="rngPlantNm">#REF!</definedName>
    <definedName name="rngVariety">[209]Variety!$A$2:$A$46</definedName>
    <definedName name="rngVarietyValues">#REF!</definedName>
    <definedName name="rollforward">[7]Detail!$A$1:$F$20</definedName>
    <definedName name="Rounded">#REF!</definedName>
    <definedName name="ROWCOMP">#REF!</definedName>
    <definedName name="ROWTIE2L">#REF!</definedName>
    <definedName name="ROWTIE2R">#REF!</definedName>
    <definedName name="ROWTIL2L">#REF!</definedName>
    <definedName name="ROWTIL2R">#REF!</definedName>
    <definedName name="RP">[108]RP!$A$1:$W$50</definedName>
    <definedName name="rPLAN">[207]PLPlan!$B$10:$BF$122</definedName>
    <definedName name="rPlan1">[39]Reference!$R$3</definedName>
    <definedName name="rPrior">#REF!</definedName>
    <definedName name="RptPd">#REF!</definedName>
    <definedName name="rr">[210]Capex!$B$17:$Y$41</definedName>
    <definedName name="rRegion">[39]Reference!$B$3</definedName>
    <definedName name="RRRRRRRRRRR">#REF!</definedName>
    <definedName name="RSB">#REF!</definedName>
    <definedName name="rSetup">#REF!</definedName>
    <definedName name="RSI">#REF!</definedName>
    <definedName name="rSubmission">[39]Reference!$O$3</definedName>
    <definedName name="rt">'[127]2002P-BU'!$P$8:$P$76</definedName>
    <definedName name="rty">'[161]Input Sheet'!$A$1:$Y$56</definedName>
    <definedName name="RUSSIA">#REF!</definedName>
    <definedName name="rUSTOTAL">#REF!</definedName>
    <definedName name="rValuesOK">#REF!</definedName>
    <definedName name="rw">'[37]2002P-BU'!$V$8:$V$76</definedName>
    <definedName name="rWeeklySalesInitial">#REF!,#REF!,#REF!,#REF!</definedName>
    <definedName name="rYAGO">[207]PLYAGO!$B$10:$BF$122</definedName>
    <definedName name="rYear">[39]Reference!$K$3</definedName>
    <definedName name="S">#REF!</definedName>
    <definedName name="s.m.g.">[8]NOMINA!$BW$4</definedName>
    <definedName name="S_AND_D">#REF!</definedName>
    <definedName name="S_D">'[108]Nat S&amp;D'!$A$1:$W$43</definedName>
    <definedName name="sa">[8]NOMINA!$CN$4</definedName>
    <definedName name="sabir">#REF!</definedName>
    <definedName name="SAK">[108]SK!$A$1:$W$53</definedName>
    <definedName name="Sal_Eff_Date">#REF!</definedName>
    <definedName name="salary">[211]Asm!$F$97:$L$108</definedName>
    <definedName name="Sale">#REF!</definedName>
    <definedName name="SALE1">#REF!</definedName>
    <definedName name="Sales">#REF!</definedName>
    <definedName name="Sales_tax">#REF!</definedName>
    <definedName name="salesdata">#REF!</definedName>
    <definedName name="SalesDed_ACT_AOP">[14]prueba!#REF!</definedName>
    <definedName name="SalMonths">[6]Sheet1!#REF!</definedName>
    <definedName name="Samea">#REF!</definedName>
    <definedName name="saudi">#REF!</definedName>
    <definedName name="SAUDI_ARABIA">#REF!</definedName>
    <definedName name="SAVE">#REF!</definedName>
    <definedName name="scale">[20]INPUT!$D$17</definedName>
    <definedName name="scale2">[20]INPUT!$D$17</definedName>
    <definedName name="ScaleFactor">1000000</definedName>
    <definedName name="SCANDI">#REF!</definedName>
    <definedName name="SCDELERR">#REF!</definedName>
    <definedName name="SCF">#REF!</definedName>
    <definedName name="SCH">#REF!</definedName>
    <definedName name="SCHCODE">#REF!</definedName>
    <definedName name="SCHDMENU">#REF!</definedName>
    <definedName name="SCPRINT">#REF!</definedName>
    <definedName name="SCSTATE2">#REF!</definedName>
    <definedName name="SCSTATE3">#REF!</definedName>
    <definedName name="SCSTATE4">#REF!</definedName>
    <definedName name="SCSTSUM">#REF!</definedName>
    <definedName name="SCWELCOM">#REF!</definedName>
    <definedName name="sd">#REF!</definedName>
    <definedName name="sda">#REF!</definedName>
    <definedName name="sdata">#REF!</definedName>
    <definedName name="sdf">#REF!</definedName>
    <definedName name="sdfsd">#REF!</definedName>
    <definedName name="SDL">#REF!</definedName>
    <definedName name="SDR">#REF!</definedName>
    <definedName name="SDV">#REF!</definedName>
    <definedName name="SDV_Dilution">#REF!</definedName>
    <definedName name="Sec_BO_YTD">#REF!</definedName>
    <definedName name="Segment">[75]Detail!#REF!</definedName>
    <definedName name="SENSITIVITY">'[75]OCF wtg'!#REF!</definedName>
    <definedName name="Sep">#REF!</definedName>
    <definedName name="Sep_Raw">#REF!</definedName>
    <definedName name="SEPT">'[146]Input Sheet'!#REF!</definedName>
    <definedName name="Sept_Fcst_am_factor">[158]Tanzania!$AV$362</definedName>
    <definedName name="sfgs">#REF!</definedName>
    <definedName name="SGD">1/1.68</definedName>
    <definedName name="sgujsj">#REF!</definedName>
    <definedName name="Shaaf">'[59]2005 EX Grodzisk by platform'!$A$42:$C$82</definedName>
    <definedName name="Shared">#REF!</definedName>
    <definedName name="Shenzhen">((140+164)/2)%</definedName>
    <definedName name="shii">[212]Overseas!$B$20:$L$29</definedName>
    <definedName name="ShippingDays">'[44]MRC to ML conversion'!#REF!</definedName>
    <definedName name="SHY">#REF!</definedName>
    <definedName name="SIERPIEŃ">#REF!,#REF!,#REF!,#REF!,#REF!</definedName>
    <definedName name="Siliguri">#REF!</definedName>
    <definedName name="Size">'[79]Line Data'!$F$65:$F$116</definedName>
    <definedName name="SKc">#REF!</definedName>
    <definedName name="SKL">#REF!</definedName>
    <definedName name="SKN">#REF!</definedName>
    <definedName name="SKR">#REF!</definedName>
    <definedName name="SKU">[188]SKU!$A$4:$S$76</definedName>
    <definedName name="SLC">#REF!</definedName>
    <definedName name="SLL">#REF!</definedName>
    <definedName name="SLR">#REF!</definedName>
    <definedName name="Small_GCDC">'[65]Cost Sheet'!$D$75</definedName>
    <definedName name="SML">#REF!</definedName>
    <definedName name="SMR">#REF!</definedName>
    <definedName name="Snack">#REF!</definedName>
    <definedName name="Snack_Summary">[7]Detail!$B$7:$Y$72</definedName>
    <definedName name="Snacks">#REF!</definedName>
    <definedName name="sohail">#REF!</definedName>
    <definedName name="son">#REF!</definedName>
    <definedName name="sort">#REF!</definedName>
    <definedName name="sortflna">#REF!</definedName>
    <definedName name="sortgatorade">'[206]QTG Annual'!#REF!</definedName>
    <definedName name="sortpcna">#REF!</definedName>
    <definedName name="sortqtg">'[206]QTG Annual'!#REF!</definedName>
    <definedName name="sortqtg2">#REF!</definedName>
    <definedName name="SortSc">#REF!</definedName>
    <definedName name="sortsnacks">'[206]QTG Annual'!#REF!</definedName>
    <definedName name="sorttropicana">'[206]QTG Annual'!#REF!</definedName>
    <definedName name="sortusfoods">'[206]QTG Annual'!#REF!</definedName>
    <definedName name="South">#REF!</definedName>
    <definedName name="SOUTH_AFRICA">#REF!</definedName>
    <definedName name="SOUTH_KOREA">#REF!</definedName>
    <definedName name="SPECSUMMARY">#REF!</definedName>
    <definedName name="spend">#REF!</definedName>
    <definedName name="spottab">'[36]2002 Forex Plan'!#REF!</definedName>
    <definedName name="SPWS_WBID">"69443654-D7AA-11D5-864D-000629A668F1"</definedName>
    <definedName name="Squeeze">#REF!</definedName>
    <definedName name="ss">#REF!</definedName>
    <definedName name="ST_BOT">'[40]Jan Volume'!#REF!</definedName>
    <definedName name="ST_BRD">'[40]Jan Volume'!#REF!</definedName>
    <definedName name="ST_BU">'[40]Jan Volume'!#REF!</definedName>
    <definedName name="ST_CAF">'[40]Jan Volume'!#REF!</definedName>
    <definedName name="ST_CAR">'[40]Jan Volume'!#REF!</definedName>
    <definedName name="ST_CCA">'[40]Jan Volume'!#REF!</definedName>
    <definedName name="ST_CHA">'[40]Jan Volume'!#REF!</definedName>
    <definedName name="ST_COM">'[40]Jan Volume'!#REF!</definedName>
    <definedName name="ST_CON">'[40]Jan Volume'!#REF!</definedName>
    <definedName name="ST_CSZ">'[40]Jan Volume'!#REF!</definedName>
    <definedName name="ST_CTY">'[40]Jan Volume'!#REF!</definedName>
    <definedName name="ST_DIE">'[40]Jan Volume'!#REF!</definedName>
    <definedName name="ST_DIS">'[40]Jan Volume'!#REF!</definedName>
    <definedName name="ST_FAC">'[40]Jan Volume'!#REF!</definedName>
    <definedName name="ST_FCA">'[40]Jan Volume'!#REF!</definedName>
    <definedName name="ST_FLA">'[40]Jan Volume'!#REF!</definedName>
    <definedName name="ST_JUC">'[40]Jan Volume'!#REF!</definedName>
    <definedName name="ST_LCA">'[40]Jan Volume'!#REF!</definedName>
    <definedName name="ST_LOC">'[40]Jan Volume'!#REF!</definedName>
    <definedName name="ST_MG">'[40]Jan Volume'!#REF!</definedName>
    <definedName name="ST_MU">'[40]Jan Volume'!#REF!</definedName>
    <definedName name="ST_OWN">'[40]Jan Volume'!#REF!</definedName>
    <definedName name="ST_PCA">'[40]Jan Volume'!#REF!</definedName>
    <definedName name="ST_PRO">'[40]Jan Volume'!#REF!</definedName>
    <definedName name="ST_REG">'[40]Jan Volume'!#REF!</definedName>
    <definedName name="ST_SFC">'[40]Jan Volume'!#REF!</definedName>
    <definedName name="ST_TTY">'[40]Jan Volume'!#REF!</definedName>
    <definedName name="ST_TYP">'[40]Jan Volume'!#REF!</definedName>
    <definedName name="Stale_Kg">#REF!</definedName>
    <definedName name="start">#REF!</definedName>
    <definedName name="StdEffLookup">'[79]Demand Forecast'!$G$77:$H$92</definedName>
    <definedName name="STN">#REF!</definedName>
    <definedName name="STOCK">'[153]Reslease Report'!#REF!</definedName>
    <definedName name="Stockist_margin">#REF!</definedName>
    <definedName name="STOCKS">#REF!</definedName>
    <definedName name="STYCZEŃ">#REF!,#REF!,#REF!,#REF!,#REF!,#REF!</definedName>
    <definedName name="Sub_Func">#REF!</definedName>
    <definedName name="Subtotalbonus">#REF!</definedName>
    <definedName name="sumclsflvr">#REF!</definedName>
    <definedName name="Summ">[213]INPUT!$D$5</definedName>
    <definedName name="SUMMARY">#REF!</definedName>
    <definedName name="Summary_Output">#REF!</definedName>
    <definedName name="Summary_Range">'[134]Overall COC - AOP Vs MF'!#REF!</definedName>
    <definedName name="summaryvar">#REF!</definedName>
    <definedName name="sumopexd">[8]PLANopex!$AP$14:$AP$1476</definedName>
    <definedName name="sumopexp">[8]PLANopex!$AC$14:$AC$1476</definedName>
    <definedName name="SVE">[99]Driver!$E$19</definedName>
    <definedName name="SYNERGY">#REF!</definedName>
    <definedName name="Synergy_Driver">#REF!</definedName>
    <definedName name="Syrup_Tanks">#REF!</definedName>
    <definedName name="t">#REF!</definedName>
    <definedName name="T.Base">#REF!</definedName>
    <definedName name="T.Guar">#REF!</definedName>
    <definedName name="T_E">#REF!</definedName>
    <definedName name="T1_INF">#REF!</definedName>
    <definedName name="T2_INF">#REF!</definedName>
    <definedName name="T3SMG">[8]NOMINA!$BW$15</definedName>
    <definedName name="Table">#REF!</definedName>
    <definedName name="Table1">#REF!</definedName>
    <definedName name="TabNumber">#REF!</definedName>
    <definedName name="tactic">#REF!</definedName>
    <definedName name="Taiwan">((91+100)/2)%</definedName>
    <definedName name="TAM">#REF!</definedName>
    <definedName name="tanz_conc_price">#REF!</definedName>
    <definedName name="tar">[75]Detail!#REF!</definedName>
    <definedName name="tasaajcomp1">[8]configuracion!$B$24</definedName>
    <definedName name="tasaajcomp2">[8]configuracion!$B$39</definedName>
    <definedName name="tasaimpconf2">[8]configuracion!$B$38</definedName>
    <definedName name="tasainfcomp1">[8]configuracion!$B$23</definedName>
    <definedName name="tasainfcomp2">[8]configuracion!$B$38</definedName>
    <definedName name="tasainfcomp3">[8]configuracion!$B$50</definedName>
    <definedName name="TAXCR">#REF!</definedName>
    <definedName name="tb">#REF!</definedName>
    <definedName name="tblAccounts">[214]Accounts!$C$9:$D$83</definedName>
    <definedName name="tblBalanceSheetAccounts">'[215]Balance Sheet'!$C$9:$D$292</definedName>
    <definedName name="tblBalanceSheetOverrides">'[58]Balance Sheet'!$C$289:$D$540</definedName>
    <definedName name="tblBeverageVolumeAccounts">'[216]Beverage Volume'!$C$9:$D$108</definedName>
    <definedName name="tblCategory">[217]Reference!$D$12:$D$13</definedName>
    <definedName name="tblCategoryInput">#REF!</definedName>
    <definedName name="tblContentsActive">#REF!</definedName>
    <definedName name="tblContentsActiveBS">#REF!</definedName>
    <definedName name="tblContentsActiveBSV">#REF!</definedName>
    <definedName name="tblContentsActiveCF">#REF!</definedName>
    <definedName name="tblContentsActiveLinkTabs">'[58]Control Panel'!$B$17,'[58]Control Panel'!$B$21,'[58]Control Panel'!$B$25,'[58]Control Panel'!$B$29</definedName>
    <definedName name="tblContentsActivePL">#REF!</definedName>
    <definedName name="tblCurrencyActive">[39]Reference!$X$3:$Z$5</definedName>
    <definedName name="tblPnLAccounts">'[218]Profit and Loss'!$C$9:$D$445</definedName>
    <definedName name="tblPnLSupplemental">'[203]Profit and Loss'!$C$406:$D$423</definedName>
    <definedName name="tblSnacksVolumeSalesAccounts">'[219]Snacks Volume &amp; Gross Sales'!$C$9:$D$489</definedName>
    <definedName name="tblSurrogates">[220]Accounts!$G$66:$G$83</definedName>
    <definedName name="tblTargetActive">#REF!</definedName>
    <definedName name="tbpt">#REF!</definedName>
    <definedName name="Tea_H20_Line">[6]Sheet1!#REF!</definedName>
    <definedName name="temp">'[124]input data'!$E$4</definedName>
    <definedName name="TEMP1">#REF!</definedName>
    <definedName name="TEMP2">#REF!</definedName>
    <definedName name="termination">[8]NOMINA!$BW$30</definedName>
    <definedName name="TEST0">#REF!</definedName>
    <definedName name="TEST1">#REF!</definedName>
    <definedName name="TEST2">'[221]Jan-Jun09'!#REF!</definedName>
    <definedName name="TEST3">'[221]Jul-Dec09'!#REF!</definedName>
    <definedName name="TEST4">'[221]Jul-Dec09'!#REF!</definedName>
    <definedName name="TEST5">'[221]Jul-Dec09'!#REF!</definedName>
    <definedName name="TEST7">'[221]Jul-Dec09'!#REF!</definedName>
    <definedName name="TEST8">'[221]Jul-Dec09'!#REF!</definedName>
    <definedName name="TESTHKEY">#REF!</definedName>
    <definedName name="TESTKEYS">#REF!</definedName>
    <definedName name="TESTVKEY">#REF!</definedName>
    <definedName name="TG">[108]TG!$A$1:$W$67</definedName>
    <definedName name="TgtCurr">[32]Target!$D$9</definedName>
    <definedName name="TgtName">[32]Target!$A$2</definedName>
    <definedName name="THAILAND">#REF!</definedName>
    <definedName name="THI">#REF!</definedName>
    <definedName name="Three_Month_Projections">'[40]Jan Volume'!#REF!</definedName>
    <definedName name="TI1A2">#REF!</definedName>
    <definedName name="TI1E">#REF!</definedName>
    <definedName name="TI1L">#REF!</definedName>
    <definedName name="TI2AL">#REF!</definedName>
    <definedName name="TI2AR">#REF!</definedName>
    <definedName name="TI2BL">#REF!</definedName>
    <definedName name="TI2BR">#REF!</definedName>
    <definedName name="TI2CL">#REF!</definedName>
    <definedName name="TI2CR">#REF!</definedName>
    <definedName name="TI2DR">#REF!</definedName>
    <definedName name="Ticker">#REF!</definedName>
    <definedName name="TickRange">#REF!</definedName>
    <definedName name="TIE2AL">#REF!</definedName>
    <definedName name="TIE2AR">#REF!</definedName>
    <definedName name="TIE2BL">#REF!</definedName>
    <definedName name="TIE2BR">#REF!</definedName>
    <definedName name="TIE2CL">#REF!</definedName>
    <definedName name="TIE2CR">#REF!</definedName>
    <definedName name="TIE2DL">#REF!</definedName>
    <definedName name="TIE2DR">#REF!</definedName>
    <definedName name="TIL2AL">#REF!</definedName>
    <definedName name="TIL2AR">#REF!</definedName>
    <definedName name="TIL2BL">#REF!</definedName>
    <definedName name="TIL2BR">#REF!</definedName>
    <definedName name="TIL2CL">#REF!</definedName>
    <definedName name="TIL2CR">#REF!</definedName>
    <definedName name="TIL2DL">#REF!</definedName>
    <definedName name="TIL2DR">#REF!</definedName>
    <definedName name="TIM">[108]Timaru!$A$1:$W$58</definedName>
    <definedName name="Time">#REF!</definedName>
    <definedName name="TIP">#REF!</definedName>
    <definedName name="TITAN">#REF!</definedName>
    <definedName name="titulo">#REF!</definedName>
    <definedName name="TM1REBUILDOPTION">1</definedName>
    <definedName name="TODAY_DATE">'[79]Demand Forecast'!$G$3</definedName>
    <definedName name="TonOT">#REF!</definedName>
    <definedName name="TonTT">#REF!</definedName>
    <definedName name="TOOBA">#REF!</definedName>
    <definedName name="TOP_BRANDS">#REF!</definedName>
    <definedName name="TOPC">#REF!</definedName>
    <definedName name="tope_sal">[8]NOMINA!$BW$5</definedName>
    <definedName name="tope_sal_ps">[8]NOMINA!$BW$9</definedName>
    <definedName name="tope_sal_ps.">[8]NOMINA!$BW$9</definedName>
    <definedName name="TOPESALINF">[8]NOMINA!$BW$3</definedName>
    <definedName name="TOT">[4]Vol!#REF!</definedName>
    <definedName name="Total">#REF!</definedName>
    <definedName name="TOTAL_ASIA">#REF!</definedName>
    <definedName name="total_C">#N/A</definedName>
    <definedName name="Total_CFA_s">#REF!</definedName>
    <definedName name="TOTAL_E._EUROPE">#REF!</definedName>
    <definedName name="TOTAL_MENA">#REF!</definedName>
    <definedName name="TOTAL_S._ASIA_AFRICA">#REF!</definedName>
    <definedName name="total_sort">#REF!</definedName>
    <definedName name="Total1">[222]Total!$I$11</definedName>
    <definedName name="TotalPgs">#REF!</definedName>
    <definedName name="TotalRow">#REF!</definedName>
    <definedName name="TPLRP">#REF!</definedName>
    <definedName name="tPoMn">#REF!</definedName>
    <definedName name="tPoSb">#REF!</definedName>
    <definedName name="tr">#REF!</definedName>
    <definedName name="TRAB">[8]NOMINA!$BW$17</definedName>
    <definedName name="Trad">#REF!</definedName>
    <definedName name="TRADE2">#REF!</definedName>
    <definedName name="Trailers">#REF!</definedName>
    <definedName name="Transfer_Tanks">[6]Sheet1!#REF!</definedName>
    <definedName name="trc">#REF!</definedName>
    <definedName name="trc_CFPSGROWTH5YR">[7]Detail!$H$12</definedName>
    <definedName name="trc_CFPSGRWPRV5YR">[7]Detail!$G$12</definedName>
    <definedName name="trc_CurFY">[7]Detail!$C$37</definedName>
    <definedName name="trc_DIVGROWTH5YR">[7]Detail!$H$11</definedName>
    <definedName name="trc_DIVGRWPRV5YR">[7]Detail!$G$11</definedName>
    <definedName name="trc_DocID">[7]Detail!$C$35</definedName>
    <definedName name="trc_EBITDAGROWTH5YR">[7]Detail!$H$6</definedName>
    <definedName name="trc_EBITDAGRWPRV5YR">[7]Detail!$G$6</definedName>
    <definedName name="trc_EBITNXT5">[7]Detail!$H$7</definedName>
    <definedName name="trc_EBITPRV5">[7]Detail!$G$7</definedName>
    <definedName name="trc_EPSGRWPRV5YR">[7]Detail!$G$13</definedName>
    <definedName name="trc_Flavor">[7]Detail!$C$39</definedName>
    <definedName name="trc_NETGROWTH5YR">[7]Detail!$H$9</definedName>
    <definedName name="trc_NETGRWPRV5YR">[7]Detail!$G$9</definedName>
    <definedName name="trc_QDType">[7]Detail!$C$38</definedName>
    <definedName name="trc_RATING">[7]Detail!$D$27</definedName>
    <definedName name="trc_ReleaseDate">[7]Detail!$C$36</definedName>
    <definedName name="trc_REVGROWTH5YR">[7]Detail!$H$5</definedName>
    <definedName name="trc_REVGRWPRV5YR">[7]Detail!$G$5</definedName>
    <definedName name="trc_RISK">[7]Detail!$E$27</definedName>
    <definedName name="trc_SHARESOUT">[7]Detail!$D$18</definedName>
    <definedName name="trc_SHROUTGROWTH5YR">[7]Detail!$H$10</definedName>
    <definedName name="trc_SHROUTGRWPRV5YR">[7]Detail!$G$10</definedName>
    <definedName name="trc_submitter">[7]Detail!$C$33</definedName>
    <definedName name="trc_submittername">[7]Detail!$C$34</definedName>
    <definedName name="trc_TARGET">[7]Detail!$D$28</definedName>
    <definedName name="trc_TemplateID">[7]Detail!$C$31</definedName>
    <definedName name="trc_TEV">[7]Detail!$D$17</definedName>
    <definedName name="trc_Ticker">[7]Detail!$C$2</definedName>
    <definedName name="trc_Version">[7]Detail!$C$32</definedName>
    <definedName name="trc_XLS_DATASHEET_ProtectDate">36880.6058449074</definedName>
    <definedName name="trc_Y1">[7]Detail!$C$4</definedName>
    <definedName name="trc_Y1COMMONEQ">[7]Detail!$C$15</definedName>
    <definedName name="trc_Y1DILSHR">[7]Detail!$C$10</definedName>
    <definedName name="trc_Y1DPS">[7]Detail!$C$11</definedName>
    <definedName name="trc_Y1EBIT">[7]Detail!$C$7</definedName>
    <definedName name="trc_Y1EBITDA">[7]Detail!$C$6</definedName>
    <definedName name="trc_Y1FREE_CFPS">[7]Detail!$C$12</definedName>
    <definedName name="trc_Y1LTDEBT">[7]Detail!$C$16</definedName>
    <definedName name="trc_Y1NETINC">[7]Detail!$C$9</definedName>
    <definedName name="trc_Y1Q1">[7]Detail!$C$22</definedName>
    <definedName name="trc_Y1Q2">[7]Detail!$C$23</definedName>
    <definedName name="trc_Y1Q3">[7]Detail!$C$24</definedName>
    <definedName name="trc_Y1Q4">[7]Detail!$C$25</definedName>
    <definedName name="trc_Y1REVENUE">[7]Detail!$C$5</definedName>
    <definedName name="trc_Y1ROE">[7]Detail!$C$14</definedName>
    <definedName name="trc_Y1TAXRATE">[7]Detail!$C$8</definedName>
    <definedName name="trc_Y1Total">[7]Detail!$C$26</definedName>
    <definedName name="trc_Y2">[7]Detail!$D$4</definedName>
    <definedName name="trc_Y2COMMONEQ">[7]Detail!$D$15</definedName>
    <definedName name="trc_Y2DILSHR">[7]Detail!$D$10</definedName>
    <definedName name="trc_Y2DPS">[7]Detail!$D$11</definedName>
    <definedName name="trc_Y2EBIT">[7]Detail!$D$7</definedName>
    <definedName name="trc_Y2EBITDA">[7]Detail!$D$6</definedName>
    <definedName name="trc_Y2FREE_CFPS">[7]Detail!$D$12</definedName>
    <definedName name="trc_Y2LTDEBT">[7]Detail!$D$16</definedName>
    <definedName name="trc_Y2NETINC">[7]Detail!$D$9</definedName>
    <definedName name="trc_Y2Q1">[7]Detail!$D$22</definedName>
    <definedName name="trc_Y2Q2">[7]Detail!$D$23</definedName>
    <definedName name="trc_Y2Q3">[7]Detail!$D$24</definedName>
    <definedName name="trc_Y2Q4">[7]Detail!$D$25</definedName>
    <definedName name="trc_Y2REVENUE">[7]Detail!$D$5</definedName>
    <definedName name="trc_Y2ROE">[7]Detail!$D$14</definedName>
    <definedName name="trc_Y2TAXRATE">[7]Detail!$D$8</definedName>
    <definedName name="trc_Y2Total">[7]Detail!$D$26</definedName>
    <definedName name="trc_Y3">[7]Detail!$E$4</definedName>
    <definedName name="trc_Y3COMMONEQ">[7]Detail!$E$15</definedName>
    <definedName name="trc_Y3DILSHR">[7]Detail!$E$10</definedName>
    <definedName name="trc_Y3DPS">[7]Detail!$E$11</definedName>
    <definedName name="trc_Y3EBIT">[7]Detail!$E$7</definedName>
    <definedName name="trc_Y3EBITDA">[7]Detail!$E$6</definedName>
    <definedName name="trc_Y3FREE_CFPS">[7]Detail!$E$12</definedName>
    <definedName name="trc_Y3LTDEBT">[7]Detail!$E$16</definedName>
    <definedName name="trc_Y3NETINC">[7]Detail!$E$9</definedName>
    <definedName name="trc_Y3Q1">[7]Detail!$E$22</definedName>
    <definedName name="trc_Y3Q2">[7]Detail!$E$23</definedName>
    <definedName name="trc_Y3Q3">[7]Detail!$E$24</definedName>
    <definedName name="trc_Y3Q4">[7]Detail!$E$25</definedName>
    <definedName name="trc_Y3REVENUE">[7]Detail!$E$5</definedName>
    <definedName name="trc_Y3ROE">[7]Detail!$E$14</definedName>
    <definedName name="trc_Y3TAXRATE">[7]Detail!$E$8</definedName>
    <definedName name="trc_Y3Total">[7]Detail!$E$26</definedName>
    <definedName name="trc_Y4">[7]Detail!$F$4</definedName>
    <definedName name="trc_Y4COMMONEQ">[7]Detail!$F$15</definedName>
    <definedName name="trc_Y4DILSHR">[7]Detail!$F$10</definedName>
    <definedName name="trc_Y4DPS">[7]Detail!$F$11</definedName>
    <definedName name="trc_Y4EBIT">[7]Detail!$F$7</definedName>
    <definedName name="trc_Y4EBITDA">[7]Detail!$F$6</definedName>
    <definedName name="trc_Y4FREE_CFPS">[7]Detail!$F$12</definedName>
    <definedName name="trc_Y4LTDEBT">[7]Detail!$F$16</definedName>
    <definedName name="trc_Y4NETINC">[7]Detail!$F$9</definedName>
    <definedName name="trc_Y4Q1">[7]Detail!$F$22</definedName>
    <definedName name="trc_Y4Q2">[7]Detail!$F$23</definedName>
    <definedName name="trc_Y4Q3">[7]Detail!$F$24</definedName>
    <definedName name="trc_Y4Q4">[7]Detail!$F$25</definedName>
    <definedName name="trc_Y4REVENUE">[7]Detail!$F$5</definedName>
    <definedName name="trc_Y4ROE">[7]Detail!$F$14</definedName>
    <definedName name="trc_Y4TAXRATE">[7]Detail!$F$8</definedName>
    <definedName name="trc_Y4Total">[7]Detail!$F$26</definedName>
    <definedName name="TrdMktProgram">[100]BKK!$AW$7:$AW$42</definedName>
    <definedName name="Tropicana">#REF!</definedName>
    <definedName name="TRUCK">#REF!</definedName>
    <definedName name="Trucks">#REF!</definedName>
    <definedName name="tryr">[18]July!#REF!</definedName>
    <definedName name="TSSlist">#REF!</definedName>
    <definedName name="TTTTTTTTTTTTTT">#REF!</definedName>
    <definedName name="Tuition_HK">16000</definedName>
    <definedName name="Tuition_PRC">20000</definedName>
    <definedName name="Tunnel_past_Tea">[101]Line!$J$10</definedName>
    <definedName name="TURKEY">#REF!</definedName>
    <definedName name="TVButton">[223]Storage!$B$27</definedName>
    <definedName name="TVMultInputs">[223]Storage!$B$30</definedName>
    <definedName name="TVTitles">[223]Storage!$B$28</definedName>
    <definedName name="TWISTEEZ_P__L">#REF!</definedName>
    <definedName name="TWISTEEZ_Rs">#REF!</definedName>
    <definedName name="TwisteezPL">#REF!</definedName>
    <definedName name="twn">33.1</definedName>
    <definedName name="Two_years_ago">[224]Hyperion!$D$15</definedName>
    <definedName name="twru">[43]Controls!$C$7</definedName>
    <definedName name="twyu">#REF!</definedName>
    <definedName name="Type">'[200]Lead Inputs'!$C$8</definedName>
    <definedName name="types">#REF!</definedName>
    <definedName name="tyr">'[49]CURRENCY RATES'!$B$6</definedName>
    <definedName name="UC">#REF!</definedName>
    <definedName name="Uchip">#REF!</definedName>
    <definedName name="ui">[124]RMB!#REF!</definedName>
    <definedName name="uiu">'[22]P&amp;L(S1)'!$S$7</definedName>
    <definedName name="uiyu">#REF!</definedName>
    <definedName name="UK">#REF!</definedName>
    <definedName name="UK_data">[74]lookups!$F$5:$I$150</definedName>
    <definedName name="Uncle_chipps_PL_Rs_M">#REF!</definedName>
    <definedName name="UNCLE_CHIPPS_Rs">#REF!</definedName>
    <definedName name="unit">[225]INPUT!$G$21</definedName>
    <definedName name="unit2">[225]INPUT!$H$21</definedName>
    <definedName name="UNITED_KINGDOM">#REF!</definedName>
    <definedName name="unlocked">#REF!,#REF!,#REF!,#REF!,#REF!,#REF!,#REF!,#REF!,#REF!,#REF!,#REF!,#REF!,#REF!,#REF!,#REF!,#REF!</definedName>
    <definedName name="usa">[8]NOMINA!$CN$2</definedName>
    <definedName name="USD">1</definedName>
    <definedName name="USD_8_oz">#REF!</definedName>
    <definedName name="USD_Entity">[226]Entities!#REF!</definedName>
    <definedName name="Utilization">#REF!</definedName>
    <definedName name="UtilizationCheck">#REF!</definedName>
    <definedName name="uu">'[37]2002P-BU'!$Q$8:$Q$76</definedName>
    <definedName name="UUU">#REF!</definedName>
    <definedName name="UUUUUUUUUUUUUUUU">#REF!</definedName>
    <definedName name="uy">'[127]2002P-BU'!$V$8:$V$76</definedName>
    <definedName name="ValuationYear">[7]Detail!$N$135</definedName>
    <definedName name="values_table">#REF!</definedName>
    <definedName name="VAR_FIX_ACT_AOP">#REF!</definedName>
    <definedName name="VAR_FIX_Quarter_1">#REF!</definedName>
    <definedName name="Variable_Distribution">#REF!</definedName>
    <definedName name="Variance">50000/ScaleFactor</definedName>
    <definedName name="vb">#REF!</definedName>
    <definedName name="vc">'[37]2002P-BU'!$T$8:$T$76</definedName>
    <definedName name="VCS">#REF!</definedName>
    <definedName name="Vend">'[108]Vending Summary'!$A$1:$W$41</definedName>
    <definedName name="VENDOR">#REF!</definedName>
    <definedName name="VENEZUELA">#REF!</definedName>
    <definedName name="VENZLA">#REF!</definedName>
    <definedName name="VIC">#REF!</definedName>
    <definedName name="VIETNAM">#REF!</definedName>
    <definedName name="Visa_Deatil">#REF!</definedName>
    <definedName name="Visi_Coolers">#REF!</definedName>
    <definedName name="VLC">#REF!</definedName>
    <definedName name="VLL">#REF!</definedName>
    <definedName name="VLR">#REF!</definedName>
    <definedName name="VMOH">#REF!</definedName>
    <definedName name="VMOH_Cost_Kg___Channo">#REF!</definedName>
    <definedName name="VMOH_Cost_Kg___Pune">#REF!</definedName>
    <definedName name="VMOH_Cost_Kg__New_Plant">#REF!</definedName>
    <definedName name="VMOH_KG_All_India">#REF!</definedName>
    <definedName name="VMOH_Units">#REF!</definedName>
    <definedName name="vol.">#REF!</definedName>
    <definedName name="Vol___Chg">#REF!</definedName>
    <definedName name="Vol_all">#REF!</definedName>
    <definedName name="Vol_allIndia">#REF!</definedName>
    <definedName name="Vol_Channo_Production">#REF!</definedName>
    <definedName name="Vol_Faridabad_Production">#REF!</definedName>
    <definedName name="Vol_Khopoli_Production">#REF!</definedName>
    <definedName name="Vol_New_Co_Pack__UC">#REF!</definedName>
    <definedName name="Vol_New_Plant">#REF!</definedName>
    <definedName name="Vol_Pune_Production">#REF!</definedName>
    <definedName name="Volbase">[8]configuracion!$B$15</definedName>
    <definedName name="volcomp1">[8]configuracion!$B$22</definedName>
    <definedName name="volcomp2">[8]configuracion!$B$37</definedName>
    <definedName name="VOLFAC">[8]NOMINA!$BW$25</definedName>
    <definedName name="voln">#REF!</definedName>
    <definedName name="volsum">#REF!</definedName>
    <definedName name="VOLUME">135%</definedName>
    <definedName name="vsAOP">#REF!</definedName>
    <definedName name="vsAOPnew">[88]PERvsAOP!$A$1:$T$95</definedName>
    <definedName name="VSC">#REF!</definedName>
    <definedName name="vsYAGO">#REF!</definedName>
    <definedName name="vsYAGOnew">[88]PERvsYago!$A$1:$T$95</definedName>
    <definedName name="vta">'[227]Jan Volume'!#REF!</definedName>
    <definedName name="vtaexp1">#REF!</definedName>
    <definedName name="vtaexp10">#REF!</definedName>
    <definedName name="vtaexp11">#REF!</definedName>
    <definedName name="vtaexp12">#REF!</definedName>
    <definedName name="vtaexp2">#REF!</definedName>
    <definedName name="vtaexp3">#REF!</definedName>
    <definedName name="vtaexp4">#REF!</definedName>
    <definedName name="vtaexp5">#REF!</definedName>
    <definedName name="vtaexp6">#REF!</definedName>
    <definedName name="vtaexp7">#REF!</definedName>
    <definedName name="vtaexp8">#REF!</definedName>
    <definedName name="vtaexp9">#REF!</definedName>
    <definedName name="vtaexpn">#REF!</definedName>
    <definedName name="vtapt1">#REF!</definedName>
    <definedName name="vtapt10">#REF!</definedName>
    <definedName name="vtapt11">#REF!</definedName>
    <definedName name="vtapt12">#REF!</definedName>
    <definedName name="vtapt2">#REF!</definedName>
    <definedName name="vtapt3">#REF!</definedName>
    <definedName name="vtapt4">#REF!</definedName>
    <definedName name="vtapt5">#REF!</definedName>
    <definedName name="vtapt6">#REF!</definedName>
    <definedName name="vtapt7">#REF!</definedName>
    <definedName name="vtapt8">#REF!</definedName>
    <definedName name="vtapt9">#REF!</definedName>
    <definedName name="vtaptn">#REF!</definedName>
    <definedName name="vvvv">'[227]Jan Volume'!#REF!</definedName>
    <definedName name="VVVVVVVVVVVV">#REF!</definedName>
    <definedName name="W">#REF!</definedName>
    <definedName name="WACC">#REF!</definedName>
    <definedName name="waseem">[69]Sale!#REF!</definedName>
    <definedName name="WBS">#REF!</definedName>
    <definedName name="Web_Spending">#REF!</definedName>
    <definedName name="weq">#REF!</definedName>
    <definedName name="wer">#REF!</definedName>
    <definedName name="West">#REF!</definedName>
    <definedName name="WFparte1qTD">'[53]Input Sheet'!$A$17:$AU$46</definedName>
    <definedName name="WFparte2QTD">'[53]Input Sheet'!$A$48:$AU$61</definedName>
    <definedName name="wgj">#REF!</definedName>
    <definedName name="WGO">#REF!</definedName>
    <definedName name="Wholly_Owned">#REF!</definedName>
    <definedName name="WhyDesc">#REF!</definedName>
    <definedName name="Win2K3_Lic">'[65]Cost Sheet'!$D$3</definedName>
    <definedName name="Windows_CAL">'[65]Cost Sheet'!$D$66</definedName>
    <definedName name="WIRI">[151]Wiri!$A$1:$W$72</definedName>
    <definedName name="WkAnchor1">#REF!</definedName>
    <definedName name="WkAnchor2">[73]LoadAccyByWk!$I$31</definedName>
    <definedName name="WkAnchor3">[73]PackAvailByWk!$I$15</definedName>
    <definedName name="WMH">#REF!</definedName>
    <definedName name="WNG">#REF!</definedName>
    <definedName name="WPN">#REF!</definedName>
    <definedName name="wrutuwr">#REF!</definedName>
    <definedName name="WRZESIEŃ">#REF!,#REF!,#REF!,#REF!,#REF!</definedName>
    <definedName name="WSDisc">[100]BKK!$AY$7:$AY$42</definedName>
    <definedName name="wt">#REF!</definedName>
    <definedName name="WWWWWWWWWWWW">#N/A</definedName>
    <definedName name="x">#REF!</definedName>
    <definedName name="XX">[155]Replacements!#REF!</definedName>
    <definedName name="Y">#REF!</definedName>
    <definedName name="Y32_">#REF!</definedName>
    <definedName name="Yago">[88]Yago!$A$1:$T$95</definedName>
    <definedName name="Yagonew">[88]Yago!$A$1:$T$95</definedName>
    <definedName name="YALL">#REF!</definedName>
    <definedName name="YE">#REF!</definedName>
    <definedName name="YEAR">[7]Consol!$C$12</definedName>
    <definedName name="Year_Ago">[104]Hyperion!$D$14</definedName>
    <definedName name="Year_Prev">[228]Config!#REF!</definedName>
    <definedName name="Year_Total">#REF!</definedName>
    <definedName name="Year_ttl">#REF!</definedName>
    <definedName name="Year1">#REF!</definedName>
    <definedName name="Year2">#REF!</definedName>
    <definedName name="Year3">#REF!</definedName>
    <definedName name="Year4">#REF!</definedName>
    <definedName name="Year5">#REF!</definedName>
    <definedName name="YEGU">#REF!</definedName>
    <definedName name="yellow">[75]Detail!#REF!</definedName>
    <definedName name="YESL">#REF!</definedName>
    <definedName name="YEWB">#REF!</definedName>
    <definedName name="YEX">#REF!</definedName>
    <definedName name="YHO">#REF!</definedName>
    <definedName name="yield">#REF!</definedName>
    <definedName name="YN">#REF!</definedName>
    <definedName name="YN_1">#REF!</definedName>
    <definedName name="YN_2">#REF!</definedName>
    <definedName name="YN_3">#REF!</definedName>
    <definedName name="YNBH">#REF!</definedName>
    <definedName name="YNCH">#REF!</definedName>
    <definedName name="YNDL">#REF!</definedName>
    <definedName name="YNHP">#REF!</definedName>
    <definedName name="YNHR">#REF!</definedName>
    <definedName name="YNJK">#REF!</definedName>
    <definedName name="YNMP">#REF!</definedName>
    <definedName name="YNNP">#REF!</definedName>
    <definedName name="YNPB">#REF!</definedName>
    <definedName name="YNRJ">#REF!</definedName>
    <definedName name="YNUK">#REF!</definedName>
    <definedName name="YORR">#REF!</definedName>
    <definedName name="Yr_Calendar">[73]Lookup!$H$3:$K$54</definedName>
    <definedName name="YR0M01">'[79]Monthly Forecast'!#REF!</definedName>
    <definedName name="YR0M01Act">'[79]Line Data'!$BG$65:$BG$116</definedName>
    <definedName name="YR0M01Std">'[79]Line Data'!$BH$65:$BH$116</definedName>
    <definedName name="YR0M02">'[79]Monthly Forecast'!#REF!</definedName>
    <definedName name="YR0M02Act">'[79]Line Data'!$BK$65:$BK$116</definedName>
    <definedName name="YR0M02Std">'[79]Line Data'!$BL$65:$BL$116</definedName>
    <definedName name="YR0M03">'[79]Monthly Forecast'!#REF!</definedName>
    <definedName name="YR0M03Act">'[79]Line Data'!$BO$65:$BO$116</definedName>
    <definedName name="YR0M03Std">'[79]Line Data'!$BP$65:$BP$116</definedName>
    <definedName name="YR0M04">'[79]Monthly Forecast'!#REF!</definedName>
    <definedName name="YR0M04Act">'[79]Line Data'!$BS$65:$BS$116</definedName>
    <definedName name="YR0M04Std">'[79]Line Data'!$BT$65:$BT$116</definedName>
    <definedName name="YR0M05">'[79]Monthly Forecast'!#REF!</definedName>
    <definedName name="YR0M05Act">'[79]Line Data'!$BW$65:$BW$116</definedName>
    <definedName name="YR0M05Std">'[79]Line Data'!$BX$65:$BX$116</definedName>
    <definedName name="YR0M06">'[79]Monthly Forecast'!#REF!</definedName>
    <definedName name="YR0M06Act">'[79]Line Data'!$CA$65:$CA$116</definedName>
    <definedName name="YR0M06Std">'[79]Line Data'!$CB$65:$CB$116</definedName>
    <definedName name="YR0M07">'[79]Monthly Forecast'!#REF!</definedName>
    <definedName name="YR0M07Act">'[79]Line Data'!$CE$65:$CE$116</definedName>
    <definedName name="YR0M07Std">'[79]Line Data'!$CF$65:$CF$116</definedName>
    <definedName name="YR0M08">'[79]Monthly Forecast'!#REF!</definedName>
    <definedName name="YR0M08Act">'[79]Line Data'!$CI$65:$CI$116</definedName>
    <definedName name="YR0M08Std">'[79]Line Data'!$CJ$65:$CJ$116</definedName>
    <definedName name="YR0M09">'[79]Monthly Forecast'!#REF!</definedName>
    <definedName name="YR0M09Act">'[79]Line Data'!$CM$65:$CM$116</definedName>
    <definedName name="YR0M09Std">'[79]Line Data'!$CN$65:$CN$116</definedName>
    <definedName name="YR0M10">'[79]Monthly Forecast'!#REF!</definedName>
    <definedName name="YR0M10Act">'[79]Line Data'!$CQ$65:$CQ$116</definedName>
    <definedName name="YR0M10Std">'[79]Line Data'!$CR$65:$CR$116</definedName>
    <definedName name="YR0M11">'[79]Monthly Forecast'!#REF!</definedName>
    <definedName name="YR0M11Act">'[79]Line Data'!$CU$65:$CU$116</definedName>
    <definedName name="YR0M11Std">'[79]Line Data'!$CV$65:$CV$116</definedName>
    <definedName name="YR0M12">'[79]Monthly Forecast'!#REF!</definedName>
    <definedName name="YR0M12Act">'[79]Line Data'!$CY$65:$CY$116</definedName>
    <definedName name="YR0M12Std">'[79]Line Data'!$CZ$65:$CZ$116</definedName>
    <definedName name="YR1M01Act">'[79]Line Data'!$DC$65:$DC$116</definedName>
    <definedName name="YR1M01Std">'[79]Line Data'!$DD$65:$DD$116</definedName>
    <definedName name="YR1M02Act">'[79]Line Data'!$DG$65:$DG$116</definedName>
    <definedName name="YR1M02Std">'[79]Line Data'!$DH$65:$DH$116</definedName>
    <definedName name="YR1M03Act">'[79]Line Data'!$DK$65:$DK$116</definedName>
    <definedName name="YR1M03Std">'[79]Line Data'!$DL$65:$DL$116</definedName>
    <definedName name="YR1M04Act">'[79]Line Data'!$DO$65:$DO$116</definedName>
    <definedName name="YR1M04Std">'[79]Line Data'!$DP$65:$DP$116</definedName>
    <definedName name="YR1M05Act">'[79]Line Data'!$DS$65:$DS$116</definedName>
    <definedName name="YR1M05Std">'[79]Line Data'!$DT$65:$DT$116</definedName>
    <definedName name="YR1M06Act">'[79]Line Data'!$DW$65:$DW$116</definedName>
    <definedName name="YR1M06Std">'[79]Line Data'!$DX$65:$DX$116</definedName>
    <definedName name="YR1M07Act">'[79]Line Data'!$EA$65:$EA$116</definedName>
    <definedName name="YR1M07Std">'[79]Line Data'!$EB$65:$EB$116</definedName>
    <definedName name="YR1M08Act">'[79]Line Data'!$EE$65:$EE$116</definedName>
    <definedName name="YR1M08Std">'[79]Line Data'!$EF$65:$EF$116</definedName>
    <definedName name="YR1M09Act">'[79]Line Data'!$EI$65:$EI$116</definedName>
    <definedName name="YR1M09Std">'[79]Line Data'!$EJ$65:$EJ$116</definedName>
    <definedName name="YR1M10Act">'[79]Line Data'!$EM$65:$EM$116</definedName>
    <definedName name="YR1M10Std">'[79]Line Data'!$EN$65:$EN$116</definedName>
    <definedName name="YR1M11Act">'[79]Line Data'!$EQ$65:$EQ$116</definedName>
    <definedName name="YR1M11Std">'[79]Line Data'!$ER$65:$ER$116</definedName>
    <definedName name="YR1M12Act">'[79]Line Data'!$EU$65:$EU$116</definedName>
    <definedName name="YR1M12Std">'[79]Line Data'!$EV$65:$EV$116</definedName>
    <definedName name="YR2M01Act">'[79]Line Data'!$EY$65:$EY$116</definedName>
    <definedName name="YR2M01Std">'[79]Line Data'!$EZ$65:$EZ$116</definedName>
    <definedName name="YR2M02Act">'[79]Line Data'!$FC$65:$FC$116</definedName>
    <definedName name="YR2M02Std">'[79]Line Data'!$FD$65:$FD$116</definedName>
    <definedName name="YR2M03Act">'[79]Line Data'!$FG$65:$FG$116</definedName>
    <definedName name="YR2M03Std">'[79]Line Data'!$FH$65:$FH$116</definedName>
    <definedName name="YR2M04Act">'[79]Line Data'!$FK$65:$FK$116</definedName>
    <definedName name="YR2M04Std">'[79]Line Data'!$FL$65:$FL$116</definedName>
    <definedName name="YR2M05Act">'[79]Line Data'!$FO$65:$FO$116</definedName>
    <definedName name="YR2M05Std">'[79]Line Data'!$FP$65:$FP$116</definedName>
    <definedName name="YR2M06Act">'[79]Line Data'!$FS$65:$FS$116</definedName>
    <definedName name="YR2M06Std">'[79]Line Data'!$FT$65:$FT$116</definedName>
    <definedName name="YR2M07Act">'[79]Line Data'!$FW$65:$FW$116</definedName>
    <definedName name="YR2M07Std">'[79]Line Data'!$FX$65:$FX$116</definedName>
    <definedName name="YR2M08Act">'[79]Line Data'!$GA$65:$GA$116</definedName>
    <definedName name="YR2M08Std">'[79]Line Data'!$GB$65:$GB$116</definedName>
    <definedName name="YR2M09Act">'[79]Line Data'!$GE$65:$GE$116</definedName>
    <definedName name="YR2M09Std">'[79]Line Data'!$GF$65:$GF$116</definedName>
    <definedName name="YR2M10Act">'[79]Line Data'!$GI$65:$GI$116</definedName>
    <definedName name="YR2M10Std">'[79]Line Data'!$GJ$65:$GJ$116</definedName>
    <definedName name="YR2M11Act">'[79]Line Data'!$GM$65:$GM$116</definedName>
    <definedName name="YR2M11Std">'[79]Line Data'!$GN$65:$GN$116</definedName>
    <definedName name="YR2M12Act">'[79]Line Data'!$GQ$65:$GQ$116</definedName>
    <definedName name="YR2M12Std">'[79]Line Data'!$GR$65:$GR$116</definedName>
    <definedName name="YR3M01Act">'[79]Line Data'!$GU$65:$GU$116</definedName>
    <definedName name="YR3M01Std">'[79]Line Data'!$GV$65:$GV$116</definedName>
    <definedName name="YR3M02Act">'[79]Line Data'!$GY$65:$GY$116</definedName>
    <definedName name="YR3M02Std">'[79]Line Data'!$GZ$65:$GZ$116</definedName>
    <definedName name="YR3M03Act">'[79]Line Data'!$HC$65:$HC$116</definedName>
    <definedName name="YR3M03Std">'[79]Line Data'!$HD$65:$HD$116</definedName>
    <definedName name="YR3M04Act">'[79]Line Data'!$HG$65:$HG$116</definedName>
    <definedName name="YR3M04Std">'[79]Line Data'!$HH$65:$HH$116</definedName>
    <definedName name="YR3M05Act">'[79]Line Data'!$HK$65:$HK$116</definedName>
    <definedName name="YR3M05Std">'[79]Line Data'!$HL$65:$HL$116</definedName>
    <definedName name="YR3M06Act">'[79]Line Data'!$HO$65:$HO$116</definedName>
    <definedName name="YR3M06Std">'[79]Line Data'!$HP$65:$HP$116</definedName>
    <definedName name="YR3M07Act">'[79]Line Data'!$HS$65:$HS$116</definedName>
    <definedName name="YR3M07Std">'[79]Line Data'!$HT$65:$HT$116</definedName>
    <definedName name="YR3M08Act">'[79]Line Data'!$HW$65:$HW$116</definedName>
    <definedName name="YR3M08Std">'[79]Line Data'!$HX$65:$HX$116</definedName>
    <definedName name="YR3M09Act">'[79]Line Data'!$IA$65:$IA$116</definedName>
    <definedName name="YR3M09Std">'[79]Line Data'!$IB$65:$IB$116</definedName>
    <definedName name="YR3M10Act">'[79]Line Data'!$IE$65:$IE$116</definedName>
    <definedName name="YR3M10Std">'[79]Line Data'!$IF$65:$IF$116</definedName>
    <definedName name="YR3M11Act">'[79]Line Data'!$II$65:$II$116</definedName>
    <definedName name="YR3M11Std">'[79]Line Data'!$IJ$65:$IJ$116</definedName>
    <definedName name="YR3M12Act">'[79]Line Data'!$IM$65:$IM$116</definedName>
    <definedName name="YR3M12Std">'[79]Line Data'!$IN$65:$IN$116</definedName>
    <definedName name="yre">[136]Prices!#REF!</definedName>
    <definedName name="YRMinus1M01Act">'[79]Line Data'!$K$65:$K$116</definedName>
    <definedName name="YRMinus1M01Std">'[79]Line Data'!$L$65:$L$116</definedName>
    <definedName name="YRMinus1M02Act">'[79]Line Data'!$O$65:$O$116</definedName>
    <definedName name="YRMinus1M02Std">'[79]Line Data'!$P$65:$P$116</definedName>
    <definedName name="YRMinus1M03Act">'[79]Line Data'!$S$65:$S$116</definedName>
    <definedName name="YRMinus1M03Std">'[79]Line Data'!$T$65:$T$116</definedName>
    <definedName name="YRMinus1M04Act">'[79]Line Data'!$W$65:$W$116</definedName>
    <definedName name="YRMinus1M04Std">'[79]Line Data'!$X$65:$X$116</definedName>
    <definedName name="YRMinus1M05Act">'[79]Line Data'!$AA$65:$AA$116</definedName>
    <definedName name="YRMinus1M05Std">'[79]Line Data'!$AB$65:$AB$116</definedName>
    <definedName name="YRMinus1M06Act">'[79]Line Data'!$AE$65:$AE$116</definedName>
    <definedName name="YRMinus1M06Std">'[79]Line Data'!$AF$65:$AF$116</definedName>
    <definedName name="YRMinus1M07Act">'[79]Line Data'!$AI$65:$AI$116</definedName>
    <definedName name="YRMinus1M07Std">'[79]Line Data'!$AJ$65:$AJ$116</definedName>
    <definedName name="YRMinus1M08Act">'[79]Line Data'!$AM$65:$AM$116</definedName>
    <definedName name="YRMinus1M08Std">'[79]Line Data'!$AN$65:$AN$116</definedName>
    <definedName name="YRMinus1M09Act">'[79]Line Data'!$AQ$65:$AQ$116</definedName>
    <definedName name="YRMinus1M09Std">'[79]Line Data'!$AR$65:$AR$116</definedName>
    <definedName name="YRMinus1M10Act">'[79]Line Data'!$AU$65:$AU$116</definedName>
    <definedName name="YRMinus1M10Std">'[79]Line Data'!$AV$65:$AV$116</definedName>
    <definedName name="YRMinus1M11Act">'[79]Line Data'!$AY$65:$AY$116</definedName>
    <definedName name="YRMinus1M11Std">'[79]Line Data'!$AZ$65:$AZ$116</definedName>
    <definedName name="YRMinus1M12Act">'[79]Line Data'!$BC$65:$BC$116</definedName>
    <definedName name="YRMinus1M12Std">'[79]Line Data'!$BD$65:$BD$116</definedName>
    <definedName name="YS">#REF!</definedName>
    <definedName name="YSHY">#REF!</definedName>
    <definedName name="YSKN">#REF!</definedName>
    <definedName name="YSKR">#REF!</definedName>
    <definedName name="YSTN">#REF!</definedName>
    <definedName name="yt">'[37]P&amp;L(S1)'!$K$7</definedName>
    <definedName name="ytd">#REF!</definedName>
    <definedName name="YTD_data">[229]Hyperion!$D$29</definedName>
    <definedName name="Ytd_Per_Mix">'[40]Jan Volume'!#REF!</definedName>
    <definedName name="Ytd_Projections">'[40]Jan Volume'!#REF!</definedName>
    <definedName name="YTD_Raw">#REF!</definedName>
    <definedName name="ytd99">#REF!</definedName>
    <definedName name="YTDBF">#REF!</definedName>
    <definedName name="YTDCalcs">#REF!</definedName>
    <definedName name="YTDInputs">#REF!</definedName>
    <definedName name="ytdsalecs">#REF!</definedName>
    <definedName name="ytdsalekg">#REF!</definedName>
    <definedName name="YTDTable">#REF!</definedName>
    <definedName name="YTDUS">#REF!</definedName>
    <definedName name="yter">#REF!</definedName>
    <definedName name="ytrj">#REF!</definedName>
    <definedName name="YW">#REF!</definedName>
    <definedName name="YWGJ">#REF!</definedName>
    <definedName name="YWGO">#REF!</definedName>
    <definedName name="YWMH">#REF!</definedName>
    <definedName name="YWNG">#REF!</definedName>
    <definedName name="YWPN">#REF!</definedName>
    <definedName name="YYYYYYYYYYYYY">#REF!</definedName>
    <definedName name="z">#REF!</definedName>
    <definedName name="za">#REF!</definedName>
    <definedName name="zeros">[20]INPUT!$E$17</definedName>
    <definedName name="ZF">[155]Replacements!#REF!</definedName>
    <definedName name="ZORR">#REF!</definedName>
    <definedName name="ZP">#REF!</definedName>
    <definedName name="zx">'[37]2002P-BU'!$O$8:$O$76</definedName>
    <definedName name="ZYX">#REF!</definedName>
    <definedName name="ZZ">'[54]AOP-JUNE FCST'!$S$704:$AG$725:'[54]AOP-JUNE FCST'!#REF!</definedName>
    <definedName name="ZZZ">#REF!</definedName>
    <definedName name="仓库费用">[230]RMB!#REF!</definedName>
    <definedName name="仓库费用哈">[230]RMB!#REF!</definedName>
    <definedName name="仓库费用哈尔滨">[230]RMB!#REF!</definedName>
    <definedName name="公司内部对帐">[230]RMB!#REF!</definedName>
    <definedName name="固定资产明细">[231]RMB!$A$1298</definedName>
    <definedName name="固定资产表">[231]RMB!$A$1298</definedName>
    <definedName name="固定资产购置">[230]RMB!#REF!</definedName>
    <definedName name="存货表">[231]RMB!$A$1179</definedName>
    <definedName name="广告费用">[230]RMB!#REF!</definedName>
    <definedName name="广告费用哈">[230]RMB!#REF!</definedName>
    <definedName name="应收帐龄表">[231]RMB!$A$1148</definedName>
    <definedName name="应收款天数">[231]RMB!$A$1195</definedName>
    <definedName name="折扣计算表">[231]RMB!$A$374</definedName>
    <definedName name="效率分析表">[230]RMB!#REF!</definedName>
    <definedName name="现金流动表">[231]RMB!$A$1103</definedName>
    <definedName name="资产负债表">[231]RMB!$A$1060</definedName>
    <definedName name="走势分析图">[231]RMB!$A$793</definedName>
    <definedName name="车队费用">[230]RMB!#REF!</definedName>
    <definedName name="车队费用哈">[230]RMB!#REF!</definedName>
    <definedName name="销售费用">[230]RMB!#REF!</definedName>
    <definedName name="销售费用哈">[230]RMB!#REF!</definedName>
    <definedName name="销量分析表">[231]RMB!$A$556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0" i="1" l="1"/>
  <c r="E250" i="1"/>
  <c r="D250" i="1"/>
  <c r="C250" i="1"/>
  <c r="B250" i="1"/>
  <c r="A250" i="1" s="1"/>
  <c r="F249" i="1"/>
  <c r="E249" i="1"/>
  <c r="D249" i="1"/>
  <c r="C249" i="1"/>
  <c r="B249" i="1"/>
  <c r="A249" i="1" s="1"/>
  <c r="F248" i="1"/>
  <c r="E248" i="1"/>
  <c r="D248" i="1"/>
  <c r="C248" i="1"/>
  <c r="B248" i="1"/>
  <c r="A248" i="1" s="1"/>
  <c r="F247" i="1"/>
  <c r="E247" i="1"/>
  <c r="D247" i="1"/>
  <c r="C247" i="1"/>
  <c r="B247" i="1"/>
  <c r="A247" i="1" s="1"/>
  <c r="F246" i="1"/>
  <c r="E246" i="1"/>
  <c r="D246" i="1"/>
  <c r="C246" i="1"/>
  <c r="B246" i="1"/>
  <c r="A246" i="1" s="1"/>
  <c r="F245" i="1"/>
  <c r="E245" i="1"/>
  <c r="D245" i="1"/>
  <c r="C245" i="1"/>
  <c r="B245" i="1"/>
  <c r="A245" i="1" s="1"/>
  <c r="F244" i="1"/>
  <c r="E244" i="1"/>
  <c r="D244" i="1"/>
  <c r="C244" i="1"/>
  <c r="B244" i="1"/>
  <c r="A244" i="1"/>
  <c r="F243" i="1"/>
  <c r="E243" i="1"/>
  <c r="D243" i="1"/>
  <c r="C243" i="1"/>
  <c r="B243" i="1"/>
  <c r="A243" i="1" s="1"/>
  <c r="F242" i="1"/>
  <c r="E242" i="1"/>
  <c r="D242" i="1"/>
  <c r="C242" i="1"/>
  <c r="B242" i="1"/>
  <c r="A242" i="1"/>
  <c r="F241" i="1"/>
  <c r="E241" i="1"/>
  <c r="D241" i="1"/>
  <c r="C241" i="1"/>
  <c r="B241" i="1"/>
  <c r="A241" i="1" s="1"/>
  <c r="F240" i="1"/>
  <c r="E240" i="1"/>
  <c r="D240" i="1"/>
  <c r="C240" i="1"/>
  <c r="B240" i="1"/>
  <c r="A240" i="1" s="1"/>
  <c r="F239" i="1"/>
  <c r="E239" i="1"/>
  <c r="D239" i="1"/>
  <c r="C239" i="1"/>
  <c r="B239" i="1"/>
  <c r="A239" i="1"/>
  <c r="F238" i="1"/>
  <c r="E238" i="1"/>
  <c r="D238" i="1"/>
  <c r="C238" i="1"/>
  <c r="B238" i="1"/>
  <c r="A238" i="1" s="1"/>
  <c r="F237" i="1"/>
  <c r="E237" i="1"/>
  <c r="D237" i="1"/>
  <c r="C237" i="1"/>
  <c r="B237" i="1"/>
  <c r="A237" i="1" s="1"/>
  <c r="F236" i="1"/>
  <c r="E236" i="1"/>
  <c r="D236" i="1"/>
  <c r="C236" i="1"/>
  <c r="B236" i="1"/>
  <c r="A236" i="1" s="1"/>
  <c r="F235" i="1"/>
  <c r="E235" i="1"/>
  <c r="D235" i="1"/>
  <c r="C235" i="1"/>
  <c r="B235" i="1"/>
  <c r="A235" i="1"/>
  <c r="F234" i="1"/>
  <c r="E234" i="1"/>
  <c r="D234" i="1"/>
  <c r="C234" i="1"/>
  <c r="B234" i="1"/>
  <c r="A234" i="1" s="1"/>
  <c r="F233" i="1"/>
  <c r="E233" i="1"/>
  <c r="D233" i="1"/>
  <c r="C233" i="1"/>
  <c r="B233" i="1"/>
  <c r="A233" i="1"/>
  <c r="F232" i="1"/>
  <c r="E232" i="1"/>
  <c r="D232" i="1"/>
  <c r="C232" i="1"/>
  <c r="B232" i="1"/>
  <c r="A232" i="1" s="1"/>
  <c r="F231" i="1"/>
  <c r="E231" i="1"/>
  <c r="D231" i="1"/>
  <c r="C231" i="1"/>
  <c r="B231" i="1"/>
  <c r="A231" i="1" s="1"/>
  <c r="F230" i="1"/>
  <c r="E230" i="1"/>
  <c r="D230" i="1"/>
  <c r="C230" i="1"/>
  <c r="B230" i="1"/>
  <c r="A230" i="1" s="1"/>
  <c r="F229" i="1"/>
  <c r="E229" i="1"/>
  <c r="D229" i="1"/>
  <c r="C229" i="1"/>
  <c r="B229" i="1"/>
  <c r="A229" i="1" s="1"/>
  <c r="F228" i="1"/>
  <c r="E228" i="1"/>
  <c r="D228" i="1"/>
  <c r="C228" i="1"/>
  <c r="B228" i="1"/>
  <c r="A228" i="1"/>
  <c r="F227" i="1"/>
  <c r="E227" i="1"/>
  <c r="D227" i="1"/>
  <c r="C227" i="1"/>
  <c r="B227" i="1"/>
  <c r="A227" i="1" s="1"/>
  <c r="F226" i="1"/>
  <c r="E226" i="1"/>
  <c r="D226" i="1"/>
  <c r="C226" i="1"/>
  <c r="B226" i="1"/>
  <c r="A226" i="1" s="1"/>
  <c r="F225" i="1"/>
  <c r="E225" i="1"/>
  <c r="D225" i="1"/>
  <c r="C225" i="1"/>
  <c r="B225" i="1"/>
  <c r="A225" i="1"/>
  <c r="F224" i="1"/>
  <c r="E224" i="1"/>
  <c r="D224" i="1"/>
  <c r="C224" i="1"/>
  <c r="B224" i="1"/>
  <c r="A224" i="1" s="1"/>
  <c r="F223" i="1"/>
  <c r="E223" i="1"/>
  <c r="D223" i="1"/>
  <c r="C223" i="1"/>
  <c r="B223" i="1"/>
  <c r="A223" i="1" s="1"/>
  <c r="F222" i="1"/>
  <c r="E222" i="1"/>
  <c r="D222" i="1"/>
  <c r="C222" i="1"/>
  <c r="B222" i="1"/>
  <c r="A222" i="1"/>
  <c r="F221" i="1"/>
  <c r="E221" i="1"/>
  <c r="D221" i="1"/>
  <c r="C221" i="1"/>
  <c r="B221" i="1"/>
  <c r="A221" i="1" s="1"/>
  <c r="F220" i="1"/>
  <c r="E220" i="1"/>
  <c r="D220" i="1"/>
  <c r="C220" i="1"/>
  <c r="B220" i="1"/>
  <c r="A220" i="1" s="1"/>
  <c r="F219" i="1"/>
  <c r="E219" i="1"/>
  <c r="D219" i="1"/>
  <c r="C219" i="1"/>
  <c r="B219" i="1"/>
  <c r="A219" i="1"/>
  <c r="F218" i="1"/>
  <c r="E218" i="1"/>
  <c r="D218" i="1"/>
  <c r="C218" i="1"/>
  <c r="B218" i="1"/>
  <c r="A218" i="1" s="1"/>
  <c r="F217" i="1"/>
  <c r="E217" i="1"/>
  <c r="D217" i="1"/>
  <c r="C217" i="1"/>
  <c r="B217" i="1"/>
  <c r="A217" i="1" s="1"/>
  <c r="F216" i="1"/>
  <c r="E216" i="1"/>
  <c r="D216" i="1"/>
  <c r="C216" i="1"/>
  <c r="B216" i="1"/>
  <c r="A216" i="1"/>
  <c r="F215" i="1"/>
  <c r="E215" i="1"/>
  <c r="D215" i="1"/>
  <c r="C215" i="1"/>
  <c r="B215" i="1"/>
  <c r="A215" i="1"/>
  <c r="F214" i="1"/>
  <c r="E214" i="1"/>
  <c r="D214" i="1"/>
  <c r="C214" i="1"/>
  <c r="B214" i="1"/>
  <c r="A214" i="1" s="1"/>
  <c r="F213" i="1"/>
  <c r="E213" i="1"/>
  <c r="D213" i="1"/>
  <c r="C213" i="1"/>
  <c r="B213" i="1"/>
  <c r="A213" i="1" s="1"/>
  <c r="F212" i="1"/>
  <c r="E212" i="1"/>
  <c r="D212" i="1"/>
  <c r="C212" i="1"/>
  <c r="B212" i="1"/>
  <c r="A212" i="1" s="1"/>
  <c r="F211" i="1"/>
  <c r="E211" i="1"/>
  <c r="D211" i="1"/>
  <c r="C211" i="1"/>
  <c r="B211" i="1"/>
  <c r="A211" i="1"/>
  <c r="F210" i="1"/>
  <c r="E210" i="1"/>
  <c r="D210" i="1"/>
  <c r="C210" i="1"/>
  <c r="B210" i="1"/>
  <c r="A210" i="1" s="1"/>
  <c r="F209" i="1"/>
  <c r="E209" i="1"/>
  <c r="D209" i="1"/>
  <c r="C209" i="1"/>
  <c r="B209" i="1"/>
  <c r="A209" i="1" s="1"/>
  <c r="F208" i="1"/>
  <c r="E208" i="1"/>
  <c r="D208" i="1"/>
  <c r="C208" i="1"/>
  <c r="B208" i="1"/>
  <c r="A208" i="1" s="1"/>
  <c r="F207" i="1"/>
  <c r="E207" i="1"/>
  <c r="D207" i="1"/>
  <c r="C207" i="1"/>
  <c r="B207" i="1"/>
  <c r="A207" i="1" s="1"/>
  <c r="F206" i="1"/>
  <c r="E206" i="1"/>
  <c r="D206" i="1"/>
  <c r="C206" i="1"/>
  <c r="B206" i="1"/>
  <c r="A206" i="1" s="1"/>
  <c r="F205" i="1"/>
  <c r="E205" i="1"/>
  <c r="D205" i="1"/>
  <c r="C205" i="1"/>
  <c r="B205" i="1"/>
  <c r="A205" i="1" s="1"/>
  <c r="F204" i="1"/>
  <c r="E204" i="1"/>
  <c r="D204" i="1"/>
  <c r="C204" i="1"/>
  <c r="B204" i="1"/>
  <c r="A204" i="1"/>
  <c r="F203" i="1"/>
  <c r="E203" i="1"/>
  <c r="D203" i="1"/>
  <c r="C203" i="1"/>
  <c r="B203" i="1"/>
  <c r="A203" i="1" s="1"/>
  <c r="F202" i="1"/>
  <c r="E202" i="1"/>
  <c r="D202" i="1"/>
  <c r="C202" i="1"/>
  <c r="B202" i="1"/>
  <c r="A202" i="1" s="1"/>
  <c r="F201" i="1"/>
  <c r="E201" i="1"/>
  <c r="D201" i="1"/>
  <c r="C201" i="1"/>
  <c r="B201" i="1"/>
  <c r="A201" i="1"/>
  <c r="F200" i="1"/>
  <c r="E200" i="1"/>
  <c r="D200" i="1"/>
  <c r="C200" i="1"/>
  <c r="B200" i="1"/>
  <c r="A200" i="1" s="1"/>
  <c r="F199" i="1"/>
  <c r="E199" i="1"/>
  <c r="D199" i="1"/>
  <c r="C199" i="1"/>
  <c r="B199" i="1"/>
  <c r="A199" i="1" s="1"/>
  <c r="F198" i="1"/>
  <c r="E198" i="1"/>
  <c r="D198" i="1"/>
  <c r="C198" i="1"/>
  <c r="B198" i="1"/>
  <c r="A198" i="1" s="1"/>
  <c r="F197" i="1"/>
  <c r="E197" i="1"/>
  <c r="D197" i="1"/>
  <c r="C197" i="1"/>
  <c r="B197" i="1"/>
  <c r="A197" i="1"/>
  <c r="F196" i="1"/>
  <c r="E196" i="1"/>
  <c r="D196" i="1"/>
  <c r="C196" i="1"/>
  <c r="B196" i="1"/>
  <c r="A196" i="1" s="1"/>
  <c r="F195" i="1"/>
  <c r="E195" i="1"/>
  <c r="D195" i="1"/>
  <c r="C195" i="1"/>
  <c r="B195" i="1"/>
  <c r="A195" i="1" s="1"/>
  <c r="F194" i="1"/>
  <c r="E194" i="1"/>
  <c r="D194" i="1"/>
  <c r="C194" i="1"/>
  <c r="B194" i="1"/>
  <c r="A194" i="1"/>
  <c r="F193" i="1"/>
  <c r="E193" i="1"/>
  <c r="D193" i="1"/>
  <c r="C193" i="1"/>
  <c r="B193" i="1"/>
  <c r="A193" i="1" s="1"/>
  <c r="F192" i="1"/>
  <c r="E192" i="1"/>
  <c r="D192" i="1"/>
  <c r="C192" i="1"/>
  <c r="B192" i="1"/>
  <c r="A192" i="1"/>
  <c r="F191" i="1"/>
  <c r="E191" i="1"/>
  <c r="D191" i="1"/>
  <c r="C191" i="1"/>
  <c r="B191" i="1"/>
  <c r="A191" i="1" s="1"/>
  <c r="F190" i="1"/>
  <c r="E190" i="1"/>
  <c r="D190" i="1"/>
  <c r="C190" i="1"/>
  <c r="B190" i="1"/>
  <c r="A190" i="1" s="1"/>
  <c r="F189" i="1"/>
  <c r="E189" i="1"/>
  <c r="D189" i="1"/>
  <c r="C189" i="1"/>
  <c r="B189" i="1"/>
  <c r="A189" i="1" s="1"/>
  <c r="F188" i="1"/>
  <c r="E188" i="1"/>
  <c r="D188" i="1"/>
  <c r="C188" i="1"/>
  <c r="B188" i="1"/>
  <c r="A188" i="1" s="1"/>
  <c r="F187" i="1"/>
  <c r="E187" i="1"/>
  <c r="D187" i="1"/>
  <c r="C187" i="1"/>
  <c r="B187" i="1"/>
  <c r="A187" i="1"/>
  <c r="F186" i="1"/>
  <c r="E186" i="1"/>
  <c r="D186" i="1"/>
  <c r="C186" i="1"/>
  <c r="B186" i="1"/>
  <c r="A186" i="1"/>
  <c r="F185" i="1"/>
  <c r="E185" i="1"/>
  <c r="D185" i="1"/>
  <c r="C185" i="1"/>
  <c r="B185" i="1"/>
  <c r="A185" i="1" s="1"/>
  <c r="F184" i="1"/>
  <c r="E184" i="1"/>
  <c r="D184" i="1"/>
  <c r="C184" i="1"/>
  <c r="B184" i="1"/>
  <c r="A184" i="1"/>
  <c r="F183" i="1"/>
  <c r="E183" i="1"/>
  <c r="D183" i="1"/>
  <c r="C183" i="1"/>
  <c r="B183" i="1"/>
  <c r="A183" i="1"/>
  <c r="F182" i="1"/>
  <c r="E182" i="1"/>
  <c r="D182" i="1"/>
  <c r="C182" i="1"/>
  <c r="B182" i="1"/>
  <c r="A182" i="1"/>
  <c r="F181" i="1"/>
  <c r="E181" i="1"/>
  <c r="D181" i="1"/>
  <c r="C181" i="1"/>
  <c r="B181" i="1"/>
  <c r="A181" i="1"/>
  <c r="F180" i="1"/>
  <c r="E180" i="1"/>
  <c r="D180" i="1"/>
  <c r="C180" i="1"/>
  <c r="B180" i="1"/>
  <c r="A180" i="1"/>
  <c r="F179" i="1"/>
  <c r="E179" i="1"/>
  <c r="D179" i="1"/>
  <c r="C179" i="1"/>
  <c r="B179" i="1"/>
  <c r="A179" i="1"/>
  <c r="F178" i="1"/>
  <c r="E178" i="1"/>
  <c r="D178" i="1"/>
  <c r="C178" i="1"/>
  <c r="B178" i="1"/>
  <c r="A178" i="1" s="1"/>
  <c r="F177" i="1"/>
  <c r="E177" i="1"/>
  <c r="D177" i="1"/>
  <c r="C177" i="1"/>
  <c r="B177" i="1"/>
  <c r="A177" i="1"/>
  <c r="F176" i="1"/>
  <c r="E176" i="1"/>
  <c r="D176" i="1"/>
  <c r="C176" i="1"/>
  <c r="B176" i="1"/>
  <c r="A176" i="1"/>
  <c r="F175" i="1"/>
  <c r="E175" i="1"/>
  <c r="D175" i="1"/>
  <c r="C175" i="1"/>
  <c r="B175" i="1"/>
  <c r="A175" i="1"/>
  <c r="F174" i="1"/>
  <c r="E174" i="1"/>
  <c r="D174" i="1"/>
  <c r="C174" i="1"/>
  <c r="B174" i="1"/>
  <c r="A174" i="1"/>
  <c r="F173" i="1"/>
  <c r="E173" i="1"/>
  <c r="D173" i="1"/>
  <c r="C173" i="1"/>
  <c r="B173" i="1"/>
  <c r="A173" i="1"/>
  <c r="F172" i="1"/>
  <c r="E172" i="1"/>
  <c r="D172" i="1"/>
  <c r="C172" i="1"/>
  <c r="B172" i="1"/>
  <c r="A172" i="1" s="1"/>
  <c r="F171" i="1"/>
  <c r="E171" i="1"/>
  <c r="D171" i="1"/>
  <c r="C171" i="1"/>
  <c r="B171" i="1"/>
  <c r="A171" i="1" s="1"/>
  <c r="F170" i="1"/>
  <c r="E170" i="1"/>
  <c r="D170" i="1"/>
  <c r="C170" i="1"/>
  <c r="B170" i="1"/>
  <c r="A170" i="1" s="1"/>
  <c r="F169" i="1"/>
  <c r="E169" i="1"/>
  <c r="D169" i="1"/>
  <c r="C169" i="1"/>
  <c r="B169" i="1"/>
  <c r="A169" i="1"/>
  <c r="F168" i="1"/>
  <c r="E168" i="1"/>
  <c r="D168" i="1"/>
  <c r="C168" i="1"/>
  <c r="B168" i="1"/>
  <c r="A168" i="1" s="1"/>
  <c r="F167" i="1"/>
  <c r="E167" i="1"/>
  <c r="D167" i="1"/>
  <c r="C167" i="1"/>
  <c r="B167" i="1"/>
  <c r="A167" i="1" s="1"/>
  <c r="F166" i="1"/>
  <c r="E166" i="1"/>
  <c r="D166" i="1"/>
  <c r="C166" i="1"/>
  <c r="B166" i="1"/>
  <c r="A166" i="1" s="1"/>
  <c r="F165" i="1"/>
  <c r="E165" i="1"/>
  <c r="D165" i="1"/>
  <c r="C165" i="1"/>
  <c r="B165" i="1"/>
  <c r="A165" i="1" s="1"/>
  <c r="F164" i="1"/>
  <c r="E164" i="1"/>
  <c r="D164" i="1"/>
  <c r="C164" i="1"/>
  <c r="B164" i="1"/>
  <c r="A164" i="1"/>
  <c r="F163" i="1"/>
  <c r="E163" i="1"/>
  <c r="D163" i="1"/>
  <c r="C163" i="1"/>
  <c r="B163" i="1"/>
  <c r="A163" i="1" s="1"/>
  <c r="F162" i="1"/>
  <c r="E162" i="1"/>
  <c r="D162" i="1"/>
  <c r="C162" i="1"/>
  <c r="B162" i="1"/>
  <c r="A162" i="1" s="1"/>
  <c r="F161" i="1"/>
  <c r="E161" i="1"/>
  <c r="D161" i="1"/>
  <c r="C161" i="1"/>
  <c r="B161" i="1"/>
  <c r="A161" i="1" s="1"/>
  <c r="F160" i="1"/>
  <c r="E160" i="1"/>
  <c r="D160" i="1"/>
  <c r="C160" i="1"/>
  <c r="B160" i="1"/>
  <c r="A160" i="1" s="1"/>
  <c r="F159" i="1"/>
  <c r="E159" i="1"/>
  <c r="D159" i="1"/>
  <c r="C159" i="1"/>
  <c r="B159" i="1"/>
  <c r="A159" i="1"/>
  <c r="F158" i="1"/>
  <c r="E158" i="1"/>
  <c r="D158" i="1"/>
  <c r="C158" i="1"/>
  <c r="B158" i="1"/>
  <c r="A158" i="1" s="1"/>
  <c r="F157" i="1"/>
  <c r="E157" i="1"/>
  <c r="D157" i="1"/>
  <c r="C157" i="1"/>
  <c r="B157" i="1"/>
  <c r="A157" i="1"/>
  <c r="F156" i="1"/>
  <c r="E156" i="1"/>
  <c r="D156" i="1"/>
  <c r="C156" i="1"/>
  <c r="B156" i="1"/>
  <c r="A156" i="1" s="1"/>
  <c r="F155" i="1"/>
  <c r="E155" i="1"/>
  <c r="D155" i="1"/>
  <c r="C155" i="1"/>
  <c r="B155" i="1"/>
  <c r="A155" i="1" s="1"/>
  <c r="F154" i="1"/>
  <c r="E154" i="1"/>
  <c r="D154" i="1"/>
  <c r="C154" i="1"/>
  <c r="B154" i="1"/>
  <c r="A154" i="1"/>
  <c r="F153" i="1"/>
  <c r="E153" i="1"/>
  <c r="D153" i="1"/>
  <c r="C153" i="1"/>
  <c r="B153" i="1"/>
  <c r="A153" i="1" s="1"/>
  <c r="F152" i="1"/>
  <c r="E152" i="1"/>
  <c r="D152" i="1"/>
  <c r="C152" i="1"/>
  <c r="B152" i="1"/>
  <c r="A152" i="1"/>
  <c r="F151" i="1"/>
  <c r="E151" i="1"/>
  <c r="D151" i="1"/>
  <c r="C151" i="1"/>
  <c r="B151" i="1"/>
  <c r="A151" i="1" s="1"/>
  <c r="F150" i="1"/>
  <c r="E150" i="1"/>
  <c r="D150" i="1"/>
  <c r="C150" i="1"/>
  <c r="B150" i="1"/>
  <c r="A150" i="1"/>
  <c r="F149" i="1"/>
  <c r="E149" i="1"/>
  <c r="D149" i="1"/>
  <c r="C149" i="1"/>
  <c r="B149" i="1"/>
  <c r="A149" i="1"/>
  <c r="F148" i="1"/>
  <c r="E148" i="1"/>
  <c r="D148" i="1"/>
  <c r="C148" i="1"/>
  <c r="B148" i="1"/>
  <c r="A148" i="1" s="1"/>
  <c r="F147" i="1"/>
  <c r="E147" i="1"/>
  <c r="D147" i="1"/>
  <c r="C147" i="1"/>
  <c r="B147" i="1"/>
  <c r="A147" i="1"/>
  <c r="F146" i="1"/>
  <c r="E146" i="1"/>
  <c r="D146" i="1"/>
  <c r="C146" i="1"/>
  <c r="B146" i="1"/>
  <c r="A146" i="1" s="1"/>
  <c r="F145" i="1"/>
  <c r="E145" i="1"/>
  <c r="D145" i="1"/>
  <c r="C145" i="1"/>
  <c r="B145" i="1"/>
  <c r="A145" i="1" s="1"/>
  <c r="F144" i="1"/>
  <c r="E144" i="1"/>
  <c r="D144" i="1"/>
  <c r="C144" i="1"/>
  <c r="B144" i="1"/>
  <c r="A144" i="1" s="1"/>
  <c r="F143" i="1"/>
  <c r="E143" i="1"/>
  <c r="D143" i="1"/>
  <c r="C143" i="1"/>
  <c r="B143" i="1"/>
  <c r="A143" i="1" s="1"/>
  <c r="F142" i="1"/>
  <c r="E142" i="1"/>
  <c r="D142" i="1"/>
  <c r="C142" i="1"/>
  <c r="B142" i="1"/>
  <c r="A142" i="1" s="1"/>
  <c r="F141" i="1"/>
  <c r="E141" i="1"/>
  <c r="D141" i="1"/>
  <c r="C141" i="1"/>
  <c r="B141" i="1"/>
  <c r="A141" i="1" s="1"/>
  <c r="F140" i="1"/>
  <c r="E140" i="1"/>
  <c r="D140" i="1"/>
  <c r="C140" i="1"/>
  <c r="B140" i="1"/>
  <c r="A140" i="1" s="1"/>
  <c r="F139" i="1"/>
  <c r="E139" i="1"/>
  <c r="D139" i="1"/>
  <c r="C139" i="1"/>
  <c r="B139" i="1"/>
  <c r="A139" i="1"/>
  <c r="F138" i="1"/>
  <c r="E138" i="1"/>
  <c r="D138" i="1"/>
  <c r="C138" i="1"/>
  <c r="B138" i="1"/>
  <c r="A138" i="1"/>
  <c r="F137" i="1"/>
  <c r="E137" i="1"/>
  <c r="D137" i="1"/>
  <c r="C137" i="1"/>
  <c r="B137" i="1"/>
  <c r="A137" i="1"/>
  <c r="F136" i="1"/>
  <c r="E136" i="1"/>
  <c r="D136" i="1"/>
  <c r="C136" i="1"/>
  <c r="B136" i="1"/>
  <c r="A136" i="1" s="1"/>
  <c r="F135" i="1"/>
  <c r="E135" i="1"/>
  <c r="D135" i="1"/>
  <c r="C135" i="1"/>
  <c r="B135" i="1"/>
  <c r="A135" i="1" s="1"/>
  <c r="F134" i="1"/>
  <c r="E134" i="1"/>
  <c r="D134" i="1"/>
  <c r="C134" i="1"/>
  <c r="B134" i="1"/>
  <c r="A134" i="1"/>
  <c r="F133" i="1"/>
  <c r="E133" i="1"/>
  <c r="D133" i="1"/>
  <c r="C133" i="1"/>
  <c r="B133" i="1"/>
  <c r="A133" i="1" s="1"/>
  <c r="F132" i="1"/>
  <c r="E132" i="1"/>
  <c r="D132" i="1"/>
  <c r="C132" i="1"/>
  <c r="B132" i="1"/>
  <c r="A132" i="1"/>
  <c r="F131" i="1"/>
  <c r="E131" i="1"/>
  <c r="D131" i="1"/>
  <c r="C131" i="1"/>
  <c r="B131" i="1"/>
  <c r="A131" i="1" s="1"/>
  <c r="F130" i="1"/>
  <c r="E130" i="1"/>
  <c r="D130" i="1"/>
  <c r="C130" i="1"/>
  <c r="B130" i="1"/>
  <c r="A130" i="1" s="1"/>
  <c r="F129" i="1"/>
  <c r="E129" i="1"/>
  <c r="D129" i="1"/>
  <c r="C129" i="1"/>
  <c r="B129" i="1"/>
  <c r="A129" i="1" s="1"/>
  <c r="F128" i="1"/>
  <c r="E128" i="1"/>
  <c r="D128" i="1"/>
  <c r="C128" i="1"/>
  <c r="B128" i="1"/>
  <c r="A128" i="1" s="1"/>
  <c r="F127" i="1"/>
  <c r="E127" i="1"/>
  <c r="D127" i="1"/>
  <c r="C127" i="1"/>
  <c r="B127" i="1"/>
  <c r="A127" i="1" s="1"/>
  <c r="F126" i="1"/>
  <c r="E126" i="1"/>
  <c r="D126" i="1"/>
  <c r="C126" i="1"/>
  <c r="B126" i="1"/>
  <c r="A126" i="1" s="1"/>
  <c r="F125" i="1"/>
  <c r="E125" i="1"/>
  <c r="D125" i="1"/>
  <c r="C125" i="1"/>
  <c r="B125" i="1"/>
  <c r="A125" i="1"/>
  <c r="F124" i="1"/>
  <c r="E124" i="1"/>
  <c r="D124" i="1"/>
  <c r="C124" i="1"/>
  <c r="B124" i="1"/>
  <c r="A124" i="1" s="1"/>
  <c r="F123" i="1"/>
  <c r="E123" i="1"/>
  <c r="D123" i="1"/>
  <c r="C123" i="1"/>
  <c r="B123" i="1"/>
  <c r="A123" i="1"/>
  <c r="F122" i="1"/>
  <c r="E122" i="1"/>
  <c r="D122" i="1"/>
  <c r="C122" i="1"/>
  <c r="B122" i="1"/>
  <c r="A122" i="1" s="1"/>
  <c r="F121" i="1"/>
  <c r="E121" i="1"/>
  <c r="D121" i="1"/>
  <c r="C121" i="1"/>
  <c r="B121" i="1"/>
  <c r="A121" i="1"/>
  <c r="F120" i="1"/>
  <c r="E120" i="1"/>
  <c r="D120" i="1"/>
  <c r="C120" i="1"/>
  <c r="B120" i="1"/>
  <c r="A120" i="1"/>
  <c r="F119" i="1"/>
  <c r="E119" i="1"/>
  <c r="D119" i="1"/>
  <c r="C119" i="1"/>
  <c r="B119" i="1"/>
  <c r="A119" i="1" s="1"/>
  <c r="F118" i="1"/>
  <c r="E118" i="1"/>
  <c r="D118" i="1"/>
  <c r="C118" i="1"/>
  <c r="B118" i="1"/>
  <c r="A118" i="1"/>
  <c r="F117" i="1"/>
  <c r="E117" i="1"/>
  <c r="D117" i="1"/>
  <c r="C117" i="1"/>
  <c r="B117" i="1"/>
  <c r="A117" i="1" s="1"/>
  <c r="F116" i="1"/>
  <c r="E116" i="1"/>
  <c r="D116" i="1"/>
  <c r="C116" i="1"/>
  <c r="B116" i="1"/>
  <c r="A116" i="1" s="1"/>
  <c r="F115" i="1"/>
  <c r="E115" i="1"/>
  <c r="D115" i="1"/>
  <c r="C115" i="1"/>
  <c r="B115" i="1"/>
  <c r="A115" i="1" s="1"/>
  <c r="F114" i="1"/>
  <c r="E114" i="1"/>
  <c r="D114" i="1"/>
  <c r="C114" i="1"/>
  <c r="B114" i="1"/>
  <c r="A114" i="1"/>
  <c r="F113" i="1"/>
  <c r="E113" i="1"/>
  <c r="D113" i="1"/>
  <c r="C113" i="1"/>
  <c r="B113" i="1"/>
  <c r="A113" i="1"/>
  <c r="F112" i="1"/>
  <c r="E112" i="1"/>
  <c r="D112" i="1"/>
  <c r="C112" i="1"/>
  <c r="B112" i="1"/>
  <c r="A112" i="1" s="1"/>
  <c r="F111" i="1"/>
  <c r="E111" i="1"/>
  <c r="D111" i="1"/>
  <c r="C111" i="1"/>
  <c r="B111" i="1"/>
  <c r="A111" i="1" s="1"/>
  <c r="F110" i="1"/>
  <c r="E110" i="1"/>
  <c r="D110" i="1"/>
  <c r="C110" i="1"/>
  <c r="B110" i="1"/>
  <c r="A110" i="1" s="1"/>
  <c r="F109" i="1"/>
  <c r="E109" i="1"/>
  <c r="D109" i="1"/>
  <c r="C109" i="1"/>
  <c r="B109" i="1"/>
  <c r="A109" i="1" s="1"/>
  <c r="F108" i="1"/>
  <c r="E108" i="1"/>
  <c r="D108" i="1"/>
  <c r="C108" i="1"/>
  <c r="B108" i="1"/>
  <c r="A108" i="1" s="1"/>
  <c r="F107" i="1"/>
  <c r="E107" i="1"/>
  <c r="D107" i="1"/>
  <c r="C107" i="1"/>
  <c r="B107" i="1"/>
  <c r="A107" i="1" s="1"/>
  <c r="F106" i="1"/>
  <c r="E106" i="1"/>
  <c r="D106" i="1"/>
  <c r="C106" i="1"/>
  <c r="B106" i="1"/>
  <c r="A106" i="1" s="1"/>
  <c r="F105" i="1"/>
  <c r="E105" i="1"/>
  <c r="D105" i="1"/>
  <c r="C105" i="1"/>
  <c r="B105" i="1"/>
  <c r="A105" i="1" s="1"/>
  <c r="F104" i="1"/>
  <c r="E104" i="1"/>
  <c r="D104" i="1"/>
  <c r="C104" i="1"/>
  <c r="B104" i="1"/>
  <c r="A104" i="1" s="1"/>
  <c r="F103" i="1"/>
  <c r="E103" i="1"/>
  <c r="D103" i="1"/>
  <c r="C103" i="1"/>
  <c r="B103" i="1"/>
  <c r="A103" i="1" s="1"/>
  <c r="F102" i="1"/>
  <c r="E102" i="1"/>
  <c r="D102" i="1"/>
  <c r="C102" i="1"/>
  <c r="B102" i="1"/>
  <c r="A102" i="1" s="1"/>
  <c r="F101" i="1"/>
  <c r="E101" i="1"/>
  <c r="D101" i="1"/>
  <c r="C101" i="1"/>
  <c r="B101" i="1"/>
  <c r="A101" i="1" s="1"/>
  <c r="F100" i="1"/>
  <c r="E100" i="1"/>
  <c r="D100" i="1"/>
  <c r="C100" i="1"/>
  <c r="B100" i="1"/>
  <c r="A100" i="1"/>
  <c r="F99" i="1"/>
  <c r="E99" i="1"/>
  <c r="D99" i="1"/>
  <c r="C99" i="1"/>
  <c r="B99" i="1"/>
  <c r="A99" i="1"/>
  <c r="F98" i="1"/>
  <c r="E98" i="1"/>
  <c r="D98" i="1"/>
  <c r="C98" i="1"/>
  <c r="B98" i="1"/>
  <c r="A98" i="1" s="1"/>
  <c r="F97" i="1"/>
  <c r="E97" i="1"/>
  <c r="D97" i="1"/>
  <c r="C97" i="1"/>
  <c r="B97" i="1"/>
  <c r="A97" i="1" s="1"/>
  <c r="F96" i="1"/>
  <c r="E96" i="1"/>
  <c r="D96" i="1"/>
  <c r="C96" i="1"/>
  <c r="B96" i="1"/>
  <c r="A96" i="1"/>
  <c r="F95" i="1"/>
  <c r="E95" i="1"/>
  <c r="D95" i="1"/>
  <c r="C95" i="1"/>
  <c r="B95" i="1"/>
  <c r="A95" i="1"/>
  <c r="F94" i="1"/>
  <c r="E94" i="1"/>
  <c r="D94" i="1"/>
  <c r="C94" i="1"/>
  <c r="B94" i="1"/>
  <c r="A94" i="1" s="1"/>
  <c r="F93" i="1"/>
  <c r="E93" i="1"/>
  <c r="D93" i="1"/>
  <c r="C93" i="1"/>
  <c r="B93" i="1"/>
  <c r="A93" i="1" s="1"/>
  <c r="F92" i="1"/>
  <c r="E92" i="1"/>
  <c r="D92" i="1"/>
  <c r="C92" i="1"/>
  <c r="B92" i="1"/>
  <c r="A92" i="1" s="1"/>
  <c r="F91" i="1"/>
  <c r="E91" i="1"/>
  <c r="D91" i="1"/>
  <c r="C91" i="1"/>
  <c r="B91" i="1"/>
  <c r="A91" i="1" s="1"/>
  <c r="F90" i="1"/>
  <c r="E90" i="1"/>
  <c r="D90" i="1"/>
  <c r="C90" i="1"/>
  <c r="B90" i="1"/>
  <c r="A90" i="1"/>
  <c r="F89" i="1"/>
  <c r="E89" i="1"/>
  <c r="D89" i="1"/>
  <c r="C89" i="1"/>
  <c r="B89" i="1"/>
  <c r="A89" i="1"/>
  <c r="F88" i="1"/>
  <c r="E88" i="1"/>
  <c r="D88" i="1"/>
  <c r="C88" i="1"/>
  <c r="B88" i="1"/>
  <c r="A88" i="1" s="1"/>
  <c r="F87" i="1"/>
  <c r="E87" i="1"/>
  <c r="D87" i="1"/>
  <c r="C87" i="1"/>
  <c r="B87" i="1"/>
  <c r="A87" i="1" s="1"/>
  <c r="F86" i="1"/>
  <c r="E86" i="1"/>
  <c r="D86" i="1"/>
  <c r="C86" i="1"/>
  <c r="B86" i="1"/>
  <c r="A86" i="1"/>
  <c r="F85" i="1"/>
  <c r="E85" i="1"/>
  <c r="D85" i="1"/>
  <c r="C85" i="1"/>
  <c r="B85" i="1"/>
  <c r="A85" i="1" s="1"/>
  <c r="F84" i="1"/>
  <c r="E84" i="1"/>
  <c r="D84" i="1"/>
  <c r="C84" i="1"/>
  <c r="B84" i="1"/>
  <c r="A84" i="1" s="1"/>
  <c r="F83" i="1"/>
  <c r="E83" i="1"/>
  <c r="D83" i="1"/>
  <c r="C83" i="1"/>
  <c r="B83" i="1"/>
  <c r="A83" i="1" s="1"/>
  <c r="F82" i="1"/>
  <c r="E82" i="1"/>
  <c r="D82" i="1"/>
  <c r="C82" i="1"/>
  <c r="B82" i="1"/>
  <c r="A82" i="1" s="1"/>
  <c r="F81" i="1"/>
  <c r="E81" i="1"/>
  <c r="D81" i="1"/>
  <c r="C81" i="1"/>
  <c r="B81" i="1"/>
  <c r="A81" i="1"/>
  <c r="F80" i="1"/>
  <c r="E80" i="1"/>
  <c r="D80" i="1"/>
  <c r="C80" i="1"/>
  <c r="B80" i="1"/>
  <c r="A80" i="1" s="1"/>
  <c r="F79" i="1"/>
  <c r="E79" i="1"/>
  <c r="D79" i="1"/>
  <c r="C79" i="1"/>
  <c r="B79" i="1"/>
  <c r="A79" i="1" s="1"/>
  <c r="F78" i="1"/>
  <c r="E78" i="1"/>
  <c r="D78" i="1"/>
  <c r="C78" i="1"/>
  <c r="B78" i="1"/>
  <c r="A78" i="1" s="1"/>
  <c r="F77" i="1"/>
  <c r="E77" i="1"/>
  <c r="D77" i="1"/>
  <c r="C77" i="1"/>
  <c r="B77" i="1"/>
  <c r="A77" i="1" s="1"/>
  <c r="F76" i="1"/>
  <c r="E76" i="1"/>
  <c r="D76" i="1"/>
  <c r="C76" i="1"/>
  <c r="B76" i="1"/>
  <c r="A76" i="1"/>
  <c r="F75" i="1"/>
  <c r="E75" i="1"/>
  <c r="D75" i="1"/>
  <c r="C75" i="1"/>
  <c r="B75" i="1"/>
  <c r="A75" i="1" s="1"/>
  <c r="F74" i="1"/>
  <c r="E74" i="1"/>
  <c r="D74" i="1"/>
  <c r="C74" i="1"/>
  <c r="B74" i="1"/>
  <c r="A74" i="1" s="1"/>
  <c r="F73" i="1"/>
  <c r="E73" i="1"/>
  <c r="D73" i="1"/>
  <c r="C73" i="1"/>
  <c r="B73" i="1"/>
  <c r="A73" i="1" s="1"/>
  <c r="F72" i="1"/>
  <c r="E72" i="1"/>
  <c r="D72" i="1"/>
  <c r="C72" i="1"/>
  <c r="B72" i="1"/>
  <c r="A72" i="1"/>
  <c r="F71" i="1"/>
  <c r="E71" i="1"/>
  <c r="D71" i="1"/>
  <c r="C71" i="1"/>
  <c r="B71" i="1"/>
  <c r="A71" i="1"/>
  <c r="F70" i="1"/>
  <c r="E70" i="1"/>
  <c r="D70" i="1"/>
  <c r="C70" i="1"/>
  <c r="B70" i="1"/>
  <c r="A70" i="1" s="1"/>
  <c r="F69" i="1"/>
  <c r="E69" i="1"/>
  <c r="D69" i="1"/>
  <c r="C69" i="1"/>
  <c r="B69" i="1"/>
  <c r="A69" i="1" s="1"/>
  <c r="F68" i="1"/>
  <c r="E68" i="1"/>
  <c r="D68" i="1"/>
  <c r="C68" i="1"/>
  <c r="B68" i="1"/>
  <c r="A68" i="1" s="1"/>
  <c r="F67" i="1"/>
  <c r="E67" i="1"/>
  <c r="D67" i="1"/>
  <c r="C67" i="1"/>
  <c r="B67" i="1"/>
  <c r="A67" i="1" s="1"/>
  <c r="F66" i="1"/>
  <c r="E66" i="1"/>
  <c r="D66" i="1"/>
  <c r="C66" i="1"/>
  <c r="B66" i="1"/>
  <c r="A66" i="1" s="1"/>
  <c r="F65" i="1"/>
  <c r="E65" i="1"/>
  <c r="D65" i="1"/>
  <c r="C65" i="1"/>
  <c r="B65" i="1"/>
  <c r="A65" i="1"/>
  <c r="F64" i="1"/>
  <c r="E64" i="1"/>
  <c r="D64" i="1"/>
  <c r="C64" i="1"/>
  <c r="B64" i="1"/>
  <c r="A64" i="1"/>
  <c r="F63" i="1"/>
  <c r="E63" i="1"/>
  <c r="D63" i="1"/>
  <c r="C63" i="1"/>
  <c r="B63" i="1"/>
  <c r="A63" i="1" s="1"/>
  <c r="F62" i="1"/>
  <c r="E62" i="1"/>
  <c r="D62" i="1"/>
  <c r="C62" i="1"/>
  <c r="B62" i="1"/>
  <c r="A62" i="1" s="1"/>
  <c r="F61" i="1"/>
  <c r="E61" i="1"/>
  <c r="D61" i="1"/>
  <c r="C61" i="1"/>
  <c r="B61" i="1"/>
  <c r="A61" i="1"/>
  <c r="F60" i="1"/>
  <c r="E60" i="1"/>
  <c r="D60" i="1"/>
  <c r="C60" i="1"/>
  <c r="B60" i="1"/>
  <c r="A60" i="1" s="1"/>
  <c r="F59" i="1"/>
  <c r="E59" i="1"/>
  <c r="D59" i="1"/>
  <c r="C59" i="1"/>
  <c r="B59" i="1"/>
  <c r="A59" i="1" s="1"/>
  <c r="F58" i="1"/>
  <c r="E58" i="1"/>
  <c r="D58" i="1"/>
  <c r="C58" i="1"/>
  <c r="B58" i="1"/>
  <c r="A58" i="1" s="1"/>
  <c r="F57" i="1"/>
  <c r="E57" i="1"/>
  <c r="D57" i="1"/>
  <c r="C57" i="1"/>
  <c r="B57" i="1"/>
  <c r="A57" i="1" s="1"/>
  <c r="F56" i="1"/>
  <c r="E56" i="1"/>
  <c r="D56" i="1"/>
  <c r="C56" i="1"/>
  <c r="B56" i="1"/>
  <c r="A56" i="1" s="1"/>
  <c r="F55" i="1"/>
  <c r="E55" i="1"/>
  <c r="D55" i="1"/>
  <c r="C55" i="1"/>
  <c r="B55" i="1"/>
  <c r="A55" i="1" s="1"/>
  <c r="F54" i="1"/>
  <c r="E54" i="1"/>
  <c r="D54" i="1"/>
  <c r="C54" i="1"/>
  <c r="B54" i="1"/>
  <c r="A54" i="1" s="1"/>
  <c r="F53" i="1"/>
  <c r="E53" i="1"/>
  <c r="D53" i="1"/>
  <c r="C53" i="1"/>
  <c r="B53" i="1"/>
  <c r="A53" i="1" s="1"/>
  <c r="F52" i="1"/>
  <c r="E52" i="1"/>
  <c r="D52" i="1"/>
  <c r="C52" i="1"/>
  <c r="B52" i="1"/>
  <c r="A52" i="1" s="1"/>
  <c r="F51" i="1"/>
  <c r="E51" i="1"/>
  <c r="D51" i="1"/>
  <c r="C51" i="1"/>
  <c r="B51" i="1"/>
  <c r="A51" i="1"/>
  <c r="F50" i="1"/>
  <c r="E50" i="1"/>
  <c r="D50" i="1"/>
  <c r="C50" i="1"/>
  <c r="B50" i="1"/>
  <c r="A50" i="1" s="1"/>
  <c r="F49" i="1"/>
  <c r="E49" i="1"/>
  <c r="D49" i="1"/>
  <c r="C49" i="1"/>
  <c r="B49" i="1"/>
  <c r="A49" i="1" s="1"/>
  <c r="F48" i="1"/>
  <c r="E48" i="1"/>
  <c r="D48" i="1"/>
  <c r="C48" i="1"/>
  <c r="B48" i="1"/>
  <c r="A48" i="1" s="1"/>
  <c r="F47" i="1"/>
  <c r="E47" i="1"/>
  <c r="D47" i="1"/>
  <c r="C47" i="1"/>
  <c r="B47" i="1"/>
  <c r="A47" i="1"/>
  <c r="F46" i="1"/>
  <c r="E46" i="1"/>
  <c r="D46" i="1"/>
  <c r="C46" i="1"/>
  <c r="B46" i="1"/>
  <c r="A46" i="1"/>
  <c r="F45" i="1"/>
  <c r="E45" i="1"/>
  <c r="D45" i="1"/>
  <c r="C45" i="1"/>
  <c r="B45" i="1"/>
  <c r="A45" i="1" s="1"/>
  <c r="F44" i="1"/>
  <c r="E44" i="1"/>
  <c r="D44" i="1"/>
  <c r="C44" i="1"/>
  <c r="B44" i="1"/>
  <c r="A44" i="1" s="1"/>
  <c r="F43" i="1"/>
  <c r="E43" i="1"/>
  <c r="D43" i="1"/>
  <c r="C43" i="1"/>
  <c r="B43" i="1"/>
  <c r="A43" i="1"/>
  <c r="F42" i="1"/>
  <c r="E42" i="1"/>
  <c r="D42" i="1"/>
  <c r="C42" i="1"/>
  <c r="B42" i="1"/>
  <c r="A42" i="1" s="1"/>
  <c r="F41" i="1"/>
  <c r="E41" i="1"/>
  <c r="D41" i="1"/>
  <c r="C41" i="1"/>
  <c r="B41" i="1"/>
  <c r="A41" i="1"/>
  <c r="F40" i="1"/>
  <c r="E40" i="1"/>
  <c r="D40" i="1"/>
  <c r="C40" i="1"/>
  <c r="B40" i="1"/>
  <c r="A40" i="1" s="1"/>
  <c r="F39" i="1"/>
  <c r="E39" i="1"/>
  <c r="D39" i="1"/>
  <c r="C39" i="1"/>
  <c r="B39" i="1"/>
  <c r="A39" i="1" s="1"/>
  <c r="F38" i="1"/>
  <c r="E38" i="1"/>
  <c r="D38" i="1"/>
  <c r="C38" i="1"/>
  <c r="B38" i="1"/>
  <c r="A38" i="1" s="1"/>
  <c r="F37" i="1"/>
  <c r="E37" i="1"/>
  <c r="D37" i="1"/>
  <c r="C37" i="1"/>
  <c r="B37" i="1"/>
  <c r="A37" i="1" s="1"/>
  <c r="F36" i="1"/>
  <c r="E36" i="1"/>
  <c r="D36" i="1"/>
  <c r="C36" i="1"/>
  <c r="B36" i="1"/>
  <c r="A36" i="1"/>
  <c r="F35" i="1"/>
  <c r="E35" i="1"/>
  <c r="D35" i="1"/>
  <c r="C35" i="1"/>
  <c r="B35" i="1"/>
  <c r="A35" i="1" s="1"/>
  <c r="F34" i="1"/>
  <c r="E34" i="1"/>
  <c r="D34" i="1"/>
  <c r="C34" i="1"/>
  <c r="B34" i="1"/>
  <c r="A34" i="1" s="1"/>
  <c r="F33" i="1"/>
  <c r="E33" i="1"/>
  <c r="D33" i="1"/>
  <c r="C33" i="1"/>
  <c r="B33" i="1"/>
  <c r="A33" i="1" s="1"/>
  <c r="F32" i="1"/>
  <c r="E32" i="1"/>
  <c r="D32" i="1"/>
  <c r="C32" i="1"/>
  <c r="B32" i="1"/>
  <c r="A32" i="1" s="1"/>
  <c r="F31" i="1"/>
  <c r="E31" i="1"/>
  <c r="D31" i="1"/>
  <c r="C31" i="1"/>
  <c r="B31" i="1"/>
  <c r="A31" i="1" s="1"/>
  <c r="F30" i="1"/>
  <c r="E30" i="1"/>
  <c r="D30" i="1"/>
  <c r="C30" i="1"/>
  <c r="B30" i="1"/>
  <c r="A30" i="1" s="1"/>
  <c r="F29" i="1"/>
  <c r="E29" i="1"/>
  <c r="D29" i="1"/>
  <c r="C29" i="1"/>
  <c r="B29" i="1"/>
  <c r="A29" i="1" s="1"/>
  <c r="F28" i="1"/>
  <c r="E28" i="1"/>
  <c r="D28" i="1"/>
  <c r="C28" i="1"/>
  <c r="B28" i="1"/>
  <c r="A28" i="1" s="1"/>
  <c r="F27" i="1"/>
  <c r="E27" i="1"/>
  <c r="D27" i="1"/>
  <c r="C27" i="1"/>
  <c r="B27" i="1"/>
  <c r="A27" i="1"/>
  <c r="F26" i="1"/>
  <c r="E26" i="1"/>
  <c r="D26" i="1"/>
  <c r="C26" i="1"/>
  <c r="B26" i="1"/>
  <c r="A26" i="1" s="1"/>
  <c r="F25" i="1"/>
  <c r="E25" i="1"/>
  <c r="D25" i="1"/>
  <c r="C25" i="1"/>
  <c r="B25" i="1"/>
  <c r="A25" i="1" s="1"/>
  <c r="F24" i="1"/>
  <c r="E24" i="1"/>
  <c r="D24" i="1"/>
  <c r="C24" i="1"/>
  <c r="B24" i="1"/>
  <c r="A24" i="1" s="1"/>
  <c r="F23" i="1"/>
  <c r="E23" i="1"/>
  <c r="D23" i="1"/>
  <c r="C23" i="1"/>
  <c r="B23" i="1"/>
  <c r="A23" i="1"/>
  <c r="F22" i="1"/>
  <c r="E22" i="1"/>
  <c r="D22" i="1"/>
  <c r="C22" i="1"/>
  <c r="B22" i="1"/>
  <c r="A22" i="1"/>
  <c r="F21" i="1"/>
  <c r="E21" i="1"/>
  <c r="D21" i="1"/>
  <c r="C21" i="1"/>
  <c r="B21" i="1"/>
  <c r="A21" i="1" s="1"/>
  <c r="F20" i="1"/>
  <c r="E20" i="1"/>
  <c r="D20" i="1"/>
  <c r="C20" i="1"/>
  <c r="B20" i="1"/>
  <c r="A20" i="1" s="1"/>
  <c r="F19" i="1"/>
  <c r="E19" i="1"/>
  <c r="D19" i="1"/>
  <c r="C19" i="1"/>
  <c r="B19" i="1"/>
  <c r="A19" i="1" s="1"/>
  <c r="F18" i="1"/>
  <c r="E18" i="1"/>
  <c r="D18" i="1"/>
  <c r="C18" i="1"/>
  <c r="B18" i="1"/>
  <c r="A18" i="1"/>
  <c r="F17" i="1"/>
  <c r="E17" i="1"/>
  <c r="D17" i="1"/>
  <c r="C17" i="1"/>
  <c r="B17" i="1"/>
  <c r="A17" i="1" s="1"/>
  <c r="F16" i="1"/>
  <c r="E16" i="1"/>
  <c r="D16" i="1"/>
  <c r="C16" i="1"/>
  <c r="B16" i="1"/>
  <c r="A16" i="1"/>
  <c r="F15" i="1"/>
  <c r="E15" i="1"/>
  <c r="D15" i="1"/>
  <c r="C15" i="1"/>
  <c r="B15" i="1"/>
  <c r="A15" i="1" s="1"/>
  <c r="F14" i="1"/>
  <c r="E14" i="1"/>
  <c r="D14" i="1"/>
  <c r="C14" i="1"/>
  <c r="B14" i="1"/>
  <c r="A14" i="1" s="1"/>
  <c r="F13" i="1"/>
  <c r="E13" i="1"/>
  <c r="D13" i="1"/>
  <c r="C13" i="1"/>
  <c r="B13" i="1"/>
  <c r="A13" i="1"/>
  <c r="F12" i="1"/>
  <c r="E12" i="1"/>
  <c r="D12" i="1"/>
  <c r="C12" i="1"/>
  <c r="B12" i="1"/>
  <c r="A12" i="1" s="1"/>
  <c r="F11" i="1"/>
  <c r="E11" i="1"/>
  <c r="D11" i="1"/>
  <c r="C11" i="1"/>
  <c r="B11" i="1"/>
  <c r="A11" i="1" s="1"/>
  <c r="F10" i="1"/>
  <c r="E10" i="1"/>
  <c r="D10" i="1"/>
  <c r="C10" i="1"/>
  <c r="B10" i="1"/>
  <c r="A10" i="1" s="1"/>
  <c r="F9" i="1"/>
  <c r="E9" i="1"/>
  <c r="D9" i="1"/>
  <c r="C9" i="1"/>
  <c r="B9" i="1"/>
  <c r="A9" i="1" s="1"/>
  <c r="F8" i="1"/>
  <c r="E8" i="1"/>
  <c r="D8" i="1"/>
  <c r="C8" i="1"/>
  <c r="B8" i="1"/>
  <c r="A8" i="1" s="1"/>
  <c r="F7" i="1"/>
  <c r="E7" i="1"/>
  <c r="D7" i="1"/>
  <c r="C7" i="1"/>
  <c r="B7" i="1"/>
  <c r="A7" i="1" s="1"/>
  <c r="F6" i="1"/>
  <c r="E6" i="1"/>
  <c r="D6" i="1"/>
  <c r="C6" i="1"/>
  <c r="B6" i="1"/>
  <c r="A6" i="1" s="1"/>
  <c r="F5" i="1"/>
  <c r="E5" i="1"/>
  <c r="D5" i="1"/>
  <c r="C5" i="1"/>
  <c r="B5" i="1"/>
  <c r="A5" i="1"/>
  <c r="F4" i="1"/>
  <c r="E4" i="1"/>
  <c r="D4" i="1"/>
  <c r="C4" i="1"/>
  <c r="B4" i="1"/>
  <c r="A4" i="1" s="1"/>
  <c r="F3" i="1"/>
  <c r="E3" i="1"/>
  <c r="D3" i="1"/>
  <c r="C3" i="1"/>
  <c r="B3" i="1"/>
  <c r="A3" i="1" s="1"/>
  <c r="F2" i="1"/>
  <c r="E2" i="1"/>
  <c r="D2" i="1"/>
  <c r="C2" i="1"/>
  <c r="B2" i="1"/>
  <c r="A2" i="1" s="1"/>
</calcChain>
</file>

<file path=xl/sharedStrings.xml><?xml version="1.0" encoding="utf-8"?>
<sst xmlns="http://schemas.openxmlformats.org/spreadsheetml/2006/main" count="765" uniqueCount="169">
  <si>
    <t>Month</t>
  </si>
  <si>
    <t>Date</t>
  </si>
  <si>
    <t>Type</t>
  </si>
  <si>
    <t>Pack Size</t>
  </si>
  <si>
    <t>Flavor</t>
  </si>
  <si>
    <t>Opening Stock</t>
  </si>
  <si>
    <t>From Date</t>
  </si>
  <si>
    <t>Material</t>
  </si>
  <si>
    <t>Material Description</t>
  </si>
  <si>
    <t>Plant</t>
  </si>
  <si>
    <t>Plant Description</t>
  </si>
  <si>
    <t>Unrestricted Stock</t>
  </si>
  <si>
    <t>Quality Stock</t>
  </si>
  <si>
    <t>Block Stock</t>
  </si>
  <si>
    <t>Subcontract Stock</t>
  </si>
  <si>
    <t>Stock In transit</t>
  </si>
  <si>
    <t>Total Planned Plant Stock</t>
  </si>
  <si>
    <t>Total Physical Stock</t>
  </si>
  <si>
    <t>GAS CYLINDER CO2 9KG FILLED</t>
  </si>
  <si>
    <t>Manufacturing (RY)</t>
  </si>
  <si>
    <t>Manufacturing (SR)</t>
  </si>
  <si>
    <t>GATORADE LEMON PET 350ML 15B 12X_182</t>
  </si>
  <si>
    <t>AQUAFINA MINERAL WATER 550ML PET_144</t>
  </si>
  <si>
    <t>Co-Pack Water</t>
  </si>
  <si>
    <t>PEPSI COLA LIME 410ML PET 24X_72</t>
  </si>
  <si>
    <t>PEPSI COLA MID CAL 20L BIB 1X_SL</t>
  </si>
  <si>
    <t>MIRINDA ORANGE LS 440ML PET 24X_72</t>
  </si>
  <si>
    <t>MIRINDA ORANGE LS 1.45L PET 12X_48</t>
  </si>
  <si>
    <t>MIRINDA GREEN CREAM LS 1.45L PET 12X_48</t>
  </si>
  <si>
    <t>LIPTON LEMON LS 320ML PET 12X_182</t>
  </si>
  <si>
    <t>AQUAFINA MINERAL WATER 1.5L PET_112</t>
  </si>
  <si>
    <t>PEPSI COLA MID CAL 410ML PET 24X_72</t>
  </si>
  <si>
    <t>PEPSI COLA MID CAL 245ML CAN 24X_144</t>
  </si>
  <si>
    <t>PEPSI COLA MID CAL 245ML CAN 4X MP_144</t>
  </si>
  <si>
    <t>PEPSI COLA MID CAL 325ML CAN 4X MP_104</t>
  </si>
  <si>
    <t>PEPSI COLA MID CAL 325ML CAN 24X_104</t>
  </si>
  <si>
    <t>PEPSI COLA MID CAL 325ML CAN4X 5+1MP_104</t>
  </si>
  <si>
    <t>PEPSI COLA MID CAL 640ML PET 12X _110L&amp;P</t>
  </si>
  <si>
    <t>GATORADE BLUE BLAST 350ML 15B PET12X_182</t>
  </si>
  <si>
    <t>PEPSI NO SUGAR 10L BIB 1X_48</t>
  </si>
  <si>
    <t>PEPSI NO SUGAR 325ML CAN 4X MP_104</t>
  </si>
  <si>
    <t>PEPSI NO SUGAR 1.95L PET 6X_64</t>
  </si>
  <si>
    <t>GATORADE NO SUGAR STRWB 500ML PET12X_120</t>
  </si>
  <si>
    <t>MIRINDA ORANGE LS 10L BIB 1X</t>
  </si>
  <si>
    <t>MIRINDA STRWB LS 10L BIB 1X</t>
  </si>
  <si>
    <t>MIRINDA STRWB LS 10L BIB 1X_SL</t>
  </si>
  <si>
    <t>LIPTON LEMON LS 445ML PET 12X_132</t>
  </si>
  <si>
    <t>7UP No Sugar 440ML PET NEW 24X_72</t>
  </si>
  <si>
    <t>PEPSI COLA MID CAL 345ML PET 24X 13B_102</t>
  </si>
  <si>
    <t>AQUAFINA WATER 1.5L PET NEW_112</t>
  </si>
  <si>
    <t>AQUAFINA WATER 550ML PET NEW_144</t>
  </si>
  <si>
    <t>7UP No Sugar 10L BIB NEW 1X_48</t>
  </si>
  <si>
    <t>LIPTON LEMON ZERO 445ML PET24X_New66</t>
  </si>
  <si>
    <t>LIPTON LEMON LS 445ML PET 24X_NF66</t>
  </si>
  <si>
    <t>PEPSI COLA MID CAL 550ML PET 24X_66_rPET</t>
  </si>
  <si>
    <t>PEPSI NO SUGAR 550ML PET 24X_66_rPET</t>
  </si>
  <si>
    <t>LIPTON PEACH 245ML CAN  4X MP_144</t>
  </si>
  <si>
    <t>LIPTON LEMON LS 245ML CAN  4X MP_144</t>
  </si>
  <si>
    <t>PEPSI NO SUGAR 245ML CAN 4X MP_144</t>
  </si>
  <si>
    <t>BOSS AMERICANO 250ML PET 24X_96_New</t>
  </si>
  <si>
    <t>Co-Packer Plant</t>
  </si>
  <si>
    <t>BOSS AMERICANO 230ML PET 4X_96_New</t>
  </si>
  <si>
    <t>BOSS BLACK NO SUGAR 230ML PET 4X_96_New</t>
  </si>
  <si>
    <t>BOSS BLACK NO SUGAR 250ML PET 24X_96_New</t>
  </si>
  <si>
    <t>BOSS LATTE 250ML PET 24X_96_New</t>
  </si>
  <si>
    <t>PEPSI NO SUGAR LIME 550ML PET24X_66_rPET</t>
  </si>
  <si>
    <t>TEA PLUS HONEY LEMON 490ML 4X MP_70_rPET</t>
  </si>
  <si>
    <t>TEA PLUS GREEN OOLONG 500ML rPET24X_70</t>
  </si>
  <si>
    <t>MIRINDA ORANGE LS 345ML PET 12X 10B_192</t>
  </si>
  <si>
    <t>MIRINDA GREEN LS 345ML PET 12X 10B_192</t>
  </si>
  <si>
    <t>7UP NO SUGAR 345ML PET 12X 10B_192</t>
  </si>
  <si>
    <t>PEPSI COLA MIDCAL240MLCAN4XMP STH10B_144</t>
  </si>
  <si>
    <t>PEPSI COLA MIDCAL295MLPET24X STH10B_119</t>
  </si>
  <si>
    <t>7UP No Sugar Lemon Soda 325MLCAN4XMP_104</t>
  </si>
  <si>
    <t>PEPSI NO SUGAR 345ML PET 12X10B_192</t>
  </si>
  <si>
    <t>LIPTON ZA LEMON ZERO 325ML CAN 4XMP_104</t>
  </si>
  <si>
    <t>LIPTON ZA LEMON ZERO 445ML PET 24X_72</t>
  </si>
  <si>
    <t>LIPTON LEMON LS 950ML PET 12X_70</t>
  </si>
  <si>
    <t>GATORADE BLUE BLAST PET 500ML 12X_120</t>
  </si>
  <si>
    <t>GATORADE LEMON PET 500ML 12X_120</t>
  </si>
  <si>
    <t>PEPSI COLA MID CAL 340ML PET 24X_102</t>
  </si>
  <si>
    <t>PEPSI MID CAL HIGH YIELD 20L BIB 1X_36</t>
  </si>
  <si>
    <t>PEPSI NO SUGAR 1.45L PET 12X_48 rPET</t>
  </si>
  <si>
    <t>PEPSI COLA LIME 1.45L PET 12X_48 rPET</t>
  </si>
  <si>
    <t>PEPSI COLA LOW CAL 1.45L PET 12X_48 rPET</t>
  </si>
  <si>
    <t>BOSS AMERICANO 250ML PET 24X_96PET COBO</t>
  </si>
  <si>
    <t>TEA PLUS NO SUGAR490ML 4XMP_70_rPET_COBO</t>
  </si>
  <si>
    <t>TEA PLUS TASTY 490ML 4X MP_70_rPET_COBO</t>
  </si>
  <si>
    <t>TEA PLUS GREEN OOLONG 500ML 24X_60_rPET</t>
  </si>
  <si>
    <t>TEA PLUS NO SUGAR 500ML 24X_60_rPET</t>
  </si>
  <si>
    <t>TEA PLUS TASTY 500ML 24X_60_rPET</t>
  </si>
  <si>
    <t>BOSS LATTE 250ML PET 24X_96 PET COBO</t>
  </si>
  <si>
    <t>BOSS BLACK NS 250ML PET 24X_96 PET COBO</t>
  </si>
  <si>
    <t>PEPSI COLA LOW CAL 1.26L PET12X_48 L&amp;P r</t>
  </si>
  <si>
    <t>PEPSI COLA LOW CAL 1.5L PET 12X_48 r</t>
  </si>
  <si>
    <t>PEPSI COLA LOW CAL 1.95L PET 6X_64</t>
  </si>
  <si>
    <t>TEA PLUS HONEY LEMON 500ML 4XMP_70_rPET</t>
  </si>
  <si>
    <t>BOSS LATTE 230ML PET 4X_108 COBO</t>
  </si>
  <si>
    <t>TEA PLUS HONEY LEMON 500ML 24X_60_rPET</t>
  </si>
  <si>
    <t>Pepsi BIB 5L High Yield</t>
  </si>
  <si>
    <t>LIPTON ZA BERRIES 325ML CAN 4XMP_104</t>
  </si>
  <si>
    <t>LIPTON ZA BERRIES 445ML PET 24X_72</t>
  </si>
  <si>
    <t>PEPSI COLA LOW CAL 1.49L PET 12X_48 r</t>
  </si>
  <si>
    <t>TEA PLUS BarleyBrown sugar 490 rPET_COBO</t>
  </si>
  <si>
    <t>LIPTON LEMON LS 10L BIB_New</t>
  </si>
  <si>
    <t>PEPSI COLA MID CAL 330ML PET 4X MP_91</t>
  </si>
  <si>
    <t>MIRINDA LEMONADE 10L BIB 1X</t>
  </si>
  <si>
    <t>TEA PLUS NO SUGAR 500ML 24X_70_rPET RV2</t>
  </si>
  <si>
    <t>TEA PLUS TASTY 500ML 24X_70_rPET RV2</t>
  </si>
  <si>
    <t>PEPSI COLA MID CAL 330ML PET 24X_98 NP</t>
  </si>
  <si>
    <t>PEPSI NO SUGAR 330ML PET 24X_98 NP</t>
  </si>
  <si>
    <t>BOSS YUZU BLACK 250ML PET 24X_96</t>
  </si>
  <si>
    <t>BOSS YUZU BLACK 230ML PET 4X_96</t>
  </si>
  <si>
    <t>PEPSI NO SUGAR 1L PET 12X_70 r</t>
  </si>
  <si>
    <t>LIPTON ZA SUMMER FRUITS 445ML PET 24X_72</t>
  </si>
  <si>
    <t>GATORADE NO SUGAR GRAPE 500ML PET12X_120</t>
  </si>
  <si>
    <t>BOSS DOUBLE ESPRESSO 250ML PET 24X_96 C</t>
  </si>
  <si>
    <t>TEA PLUS HONEY LEMON 490ML 4X MP_70_r_C</t>
  </si>
  <si>
    <t>TEA PLUS HONEY LEMON 500ML 4XMP_70_r_C</t>
  </si>
  <si>
    <t>TEA PLUS TASTY 500ML 4XMP_70_rPET_COBO</t>
  </si>
  <si>
    <t>PEPSICOLA MID CAL 545MLPET24XNO POP_66 r</t>
  </si>
  <si>
    <t>PEPSICOLA MID CAL 545MLPET12X 17B_132 r</t>
  </si>
  <si>
    <t>PEPSI COLA LOW CAL 2L PET 6X_64</t>
  </si>
  <si>
    <t>7UP NS STRAWBERRY LEMON325ML CAN4XMP_104</t>
  </si>
  <si>
    <t>MIRINDA BB ORANGE 345ML PET 12X_192</t>
  </si>
  <si>
    <t>MIRINDA BB ORANGE 440ML PET 24X_72</t>
  </si>
  <si>
    <t>MIRINDA APPLE KIWI 440ML PET 24X_72</t>
  </si>
  <si>
    <t>PEPSI COLA LOW CAL 1.45L PET 4X_120 r</t>
  </si>
  <si>
    <t>STING Strawberry 250ML PET 12X_224</t>
  </si>
  <si>
    <t>STING Strawberry 250ML PET 24X_105</t>
  </si>
  <si>
    <t>7UP NS LEMON SODA 325ML CAN 24X_104_EXP</t>
  </si>
  <si>
    <t>STING STRAWBERRY 245ML SMP</t>
  </si>
  <si>
    <t>PEPSI COLA LOW CAL 1L PET12X_70 R</t>
  </si>
  <si>
    <t>PEPSI NO SUGAR CLEAR 345ML PET12X_192</t>
  </si>
  <si>
    <t>PEPSI NO SUGAR CLEAR 1.45L PET 12X_48</t>
  </si>
  <si>
    <t>PEPSI COLA MID CAL295MLPET24XSTH10B_119R</t>
  </si>
  <si>
    <t>PEPSI COLA MID CAL 300MLPET24X POP_119 R</t>
  </si>
  <si>
    <t>PEPSI COLA LOWCAL 1.25L PET 12X_48 R</t>
  </si>
  <si>
    <t>PEPSI COLA LOW CAL PET999ML 12X_80 NP R</t>
  </si>
  <si>
    <t>MIRINDA STRAW KOREA 330ML PET 24X_98 NP</t>
  </si>
  <si>
    <t>MIRINDA STRAW KOREA 345ML PET12X 10B_192</t>
  </si>
  <si>
    <t>MIRINDA STRAW KOREA 1.45L PET 12X_48</t>
  </si>
  <si>
    <t>PEPSI NO SUGAR CLEAR 330ML PET24X_98</t>
  </si>
  <si>
    <t>TEA PLUS NO SUGAR 500ML 4XMP_70_rPET_C</t>
  </si>
  <si>
    <t>BOSS YUZU BLACK 250ML PET 24X_96 COBO</t>
  </si>
  <si>
    <t>PEPSI LOW CAL 1.26L PET12X POP_48</t>
  </si>
  <si>
    <t>PEPSI COLA MID CAL 250ML PET 24X POP_105</t>
  </si>
  <si>
    <t>LIPTON ZA LEMON 345ML PET 12X 180</t>
  </si>
  <si>
    <t>STING Original Boost 250ML PET 12X_224</t>
  </si>
  <si>
    <t>STING ORIGINAL BOOST 245MLPET12X_224SMP</t>
  </si>
  <si>
    <t>PEPSI LOW CAL 1.24L PET12X STH POP_48 R</t>
  </si>
  <si>
    <t>PEPSI LOW CAL 1.26L PET12X POP_48 R</t>
  </si>
  <si>
    <t>PEPSI NO SUGAR 5L BIB 1X_64</t>
  </si>
  <si>
    <t>PEPSI COLA MID CAL 640ML PET 12X _110 R</t>
  </si>
  <si>
    <t>PEPSI MID CAL BIB 10L HIGH YIELD 1X_48</t>
  </si>
  <si>
    <t>TEA PLUS TASTY 375ML 12X_150</t>
  </si>
  <si>
    <t>TEA PLUS HONEY LEMON 375ML 12X_150</t>
  </si>
  <si>
    <t>PEPSI COLA MID CAL 300ML PET24X _119 R</t>
  </si>
  <si>
    <t>PEPSI NS STRAW CREAM 345 ML PET 12X_180</t>
  </si>
  <si>
    <t>PEPSI NS STRAW CREAM 440 ML PET 24X_72</t>
  </si>
  <si>
    <t>PEPSI NS STRAW CREAM 325 ML CAN4X MP_104</t>
  </si>
  <si>
    <t>PEPSI COLA LOW CAL 1.74L PET 12X1</t>
  </si>
  <si>
    <t>SUNTORY HY_YUZU_570ML_PET_1X12</t>
  </si>
  <si>
    <t>TEA PLUS HONEY LEMON 375ML 12X_150_2.0</t>
  </si>
  <si>
    <t>7UP NS STRAW LEMON 1.45L PET 12X_48</t>
  </si>
  <si>
    <t>PEPSI COLA MID CAL 300ML PET24X _119 V</t>
  </si>
  <si>
    <t>BOSS DB ESPRESSO 220ML PET24X108SMP_COBO</t>
  </si>
  <si>
    <t>02.03.2026</t>
  </si>
  <si>
    <t>BOSS AMERICANO 230ML PET 4X_108 COBO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</si>
</sst>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[$-409]d\-mmm\-yy;@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3" fontId="2" fillId="2" borderId="0" xfId="1" applyNumberFormat="1" applyFont="1" applyFill="1"/>
    <xf numFmtId="164" fontId="2" fillId="2" borderId="0" xfId="1" applyNumberFormat="1" applyFont="1" applyFill="1"/>
    <xf numFmtId="165" fontId="3" fillId="0" borderId="0" xfId="1" applyNumberFormat="1" applyFont="1"/>
    <xf numFmtId="49" fontId="2" fillId="0" borderId="0" xfId="1" applyNumberFormat="1" applyFont="1"/>
    <xf numFmtId="0" fontId="2" fillId="0" borderId="0" xfId="1" applyFont="1"/>
    <xf numFmtId="3" fontId="2" fillId="0" borderId="0" xfId="1" applyNumberFormat="1" applyFont="1"/>
    <xf numFmtId="3" fontId="4" fillId="3" borderId="1" xfId="1" applyNumberFormat="1" applyFont="1" applyFill="1" applyBorder="1" applyAlignment="1">
      <alignment horizontal="left"/>
    </xf>
    <xf numFmtId="164" fontId="4" fillId="3" borderId="1" xfId="1" applyNumberFormat="1" applyFont="1" applyFill="1" applyBorder="1" applyAlignment="1">
      <alignment horizontal="left"/>
    </xf>
    <xf numFmtId="3" fontId="4" fillId="3" borderId="1" xfId="1" applyNumberFormat="1" applyFont="1" applyFill="1" applyBorder="1"/>
    <xf numFmtId="165" fontId="5" fillId="0" borderId="0" xfId="1" applyNumberFormat="1" applyFont="1"/>
    <xf numFmtId="0" fontId="4" fillId="0" borderId="0" xfId="1" applyFont="1"/>
    <xf numFmtId="3" fontId="4" fillId="0" borderId="0" xfId="1" applyNumberFormat="1" applyFont="1"/>
    <xf numFmtId="164" fontId="4" fillId="0" borderId="0" xfId="1" applyNumberFormat="1" applyFont="1"/>
    <xf numFmtId="165" fontId="4" fillId="0" borderId="0" xfId="1" applyNumberFormat="1" applyFont="1"/>
  </cellXfs>
  <cellStyles count="2">
    <cellStyle name="Normal" xfId="0" builtinId="0"/>
    <cellStyle name="Normal 2 2" xfId="1" xr:uid="{EA9C790D-86DA-4767-9F07-CF9E3568F1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59" Type="http://schemas.openxmlformats.org/officeDocument/2006/relationships/externalLink" Target="externalLinks/externalLink158.xml"/><Relationship Id="rId170" Type="http://schemas.openxmlformats.org/officeDocument/2006/relationships/externalLink" Target="externalLinks/externalLink169.xml"/><Relationship Id="rId191" Type="http://schemas.openxmlformats.org/officeDocument/2006/relationships/externalLink" Target="externalLinks/externalLink190.xml"/><Relationship Id="rId205" Type="http://schemas.openxmlformats.org/officeDocument/2006/relationships/externalLink" Target="externalLinks/externalLink204.xml"/><Relationship Id="rId226" Type="http://schemas.openxmlformats.org/officeDocument/2006/relationships/externalLink" Target="externalLinks/externalLink22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149" Type="http://schemas.openxmlformats.org/officeDocument/2006/relationships/externalLink" Target="externalLinks/externalLink148.xml"/><Relationship Id="rId5" Type="http://schemas.openxmlformats.org/officeDocument/2006/relationships/externalLink" Target="externalLinks/externalLink4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181" Type="http://schemas.openxmlformats.org/officeDocument/2006/relationships/externalLink" Target="externalLinks/externalLink180.xml"/><Relationship Id="rId216" Type="http://schemas.openxmlformats.org/officeDocument/2006/relationships/externalLink" Target="externalLinks/externalLink215.xml"/><Relationship Id="rId237" Type="http://schemas.openxmlformats.org/officeDocument/2006/relationships/calcChain" Target="calcChain.xml"/><Relationship Id="rId22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Relationship Id="rId139" Type="http://schemas.openxmlformats.org/officeDocument/2006/relationships/externalLink" Target="externalLinks/externalLink138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71" Type="http://schemas.openxmlformats.org/officeDocument/2006/relationships/externalLink" Target="externalLinks/externalLink170.xml"/><Relationship Id="rId192" Type="http://schemas.openxmlformats.org/officeDocument/2006/relationships/externalLink" Target="externalLinks/externalLink191.xml"/><Relationship Id="rId206" Type="http://schemas.openxmlformats.org/officeDocument/2006/relationships/externalLink" Target="externalLinks/externalLink205.xml"/><Relationship Id="rId227" Type="http://schemas.openxmlformats.org/officeDocument/2006/relationships/externalLink" Target="externalLinks/externalLink226.xml"/><Relationship Id="rId12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32.xml"/><Relationship Id="rId108" Type="http://schemas.openxmlformats.org/officeDocument/2006/relationships/externalLink" Target="externalLinks/externalLink107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74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61" Type="http://schemas.openxmlformats.org/officeDocument/2006/relationships/externalLink" Target="externalLinks/externalLink160.xml"/><Relationship Id="rId182" Type="http://schemas.openxmlformats.org/officeDocument/2006/relationships/externalLink" Target="externalLinks/externalLink181.xml"/><Relationship Id="rId217" Type="http://schemas.openxmlformats.org/officeDocument/2006/relationships/externalLink" Target="externalLinks/externalLink216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5" Type="http://schemas.openxmlformats.org/officeDocument/2006/relationships/externalLink" Target="externalLinks/externalLink64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50.xml"/><Relationship Id="rId172" Type="http://schemas.openxmlformats.org/officeDocument/2006/relationships/externalLink" Target="externalLinks/externalLink171.xml"/><Relationship Id="rId193" Type="http://schemas.openxmlformats.org/officeDocument/2006/relationships/externalLink" Target="externalLinks/externalLink192.xml"/><Relationship Id="rId207" Type="http://schemas.openxmlformats.org/officeDocument/2006/relationships/externalLink" Target="externalLinks/externalLink206.xml"/><Relationship Id="rId228" Type="http://schemas.openxmlformats.org/officeDocument/2006/relationships/externalLink" Target="externalLinks/externalLink227.xml"/><Relationship Id="rId13" Type="http://schemas.openxmlformats.org/officeDocument/2006/relationships/externalLink" Target="externalLinks/externalLink12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20" Type="http://schemas.openxmlformats.org/officeDocument/2006/relationships/externalLink" Target="externalLinks/externalLink119.xml"/><Relationship Id="rId141" Type="http://schemas.openxmlformats.org/officeDocument/2006/relationships/externalLink" Target="externalLinks/externalLink140.xml"/><Relationship Id="rId7" Type="http://schemas.openxmlformats.org/officeDocument/2006/relationships/externalLink" Target="externalLinks/externalLink6.xml"/><Relationship Id="rId162" Type="http://schemas.openxmlformats.org/officeDocument/2006/relationships/externalLink" Target="externalLinks/externalLink161.xml"/><Relationship Id="rId183" Type="http://schemas.openxmlformats.org/officeDocument/2006/relationships/externalLink" Target="externalLinks/externalLink182.xml"/><Relationship Id="rId218" Type="http://schemas.openxmlformats.org/officeDocument/2006/relationships/externalLink" Target="externalLinks/externalLink217.xml"/><Relationship Id="rId24" Type="http://schemas.openxmlformats.org/officeDocument/2006/relationships/externalLink" Target="externalLinks/externalLink23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31" Type="http://schemas.openxmlformats.org/officeDocument/2006/relationships/externalLink" Target="externalLinks/externalLink130.xml"/><Relationship Id="rId152" Type="http://schemas.openxmlformats.org/officeDocument/2006/relationships/externalLink" Target="externalLinks/externalLink151.xml"/><Relationship Id="rId173" Type="http://schemas.openxmlformats.org/officeDocument/2006/relationships/externalLink" Target="externalLinks/externalLink172.xml"/><Relationship Id="rId194" Type="http://schemas.openxmlformats.org/officeDocument/2006/relationships/externalLink" Target="externalLinks/externalLink193.xml"/><Relationship Id="rId208" Type="http://schemas.openxmlformats.org/officeDocument/2006/relationships/externalLink" Target="externalLinks/externalLink207.xml"/><Relationship Id="rId229" Type="http://schemas.openxmlformats.org/officeDocument/2006/relationships/externalLink" Target="externalLinks/externalLink228.xml"/><Relationship Id="rId14" Type="http://schemas.openxmlformats.org/officeDocument/2006/relationships/externalLink" Target="externalLinks/externalLink13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8" Type="http://schemas.openxmlformats.org/officeDocument/2006/relationships/externalLink" Target="externalLinks/externalLink7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163" Type="http://schemas.openxmlformats.org/officeDocument/2006/relationships/externalLink" Target="externalLinks/externalLink162.xml"/><Relationship Id="rId184" Type="http://schemas.openxmlformats.org/officeDocument/2006/relationships/externalLink" Target="externalLinks/externalLink183.xml"/><Relationship Id="rId219" Type="http://schemas.openxmlformats.org/officeDocument/2006/relationships/externalLink" Target="externalLinks/externalLink218.xml"/><Relationship Id="rId230" Type="http://schemas.openxmlformats.org/officeDocument/2006/relationships/externalLink" Target="externalLinks/externalLink229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52.xml"/><Relationship Id="rId174" Type="http://schemas.openxmlformats.org/officeDocument/2006/relationships/externalLink" Target="externalLinks/externalLink173.xml"/><Relationship Id="rId195" Type="http://schemas.openxmlformats.org/officeDocument/2006/relationships/externalLink" Target="externalLinks/externalLink194.xml"/><Relationship Id="rId209" Type="http://schemas.openxmlformats.org/officeDocument/2006/relationships/externalLink" Target="externalLinks/externalLink208.xml"/><Relationship Id="rId190" Type="http://schemas.openxmlformats.org/officeDocument/2006/relationships/externalLink" Target="externalLinks/externalLink189.xml"/><Relationship Id="rId204" Type="http://schemas.openxmlformats.org/officeDocument/2006/relationships/externalLink" Target="externalLinks/externalLink203.xml"/><Relationship Id="rId220" Type="http://schemas.openxmlformats.org/officeDocument/2006/relationships/externalLink" Target="externalLinks/externalLink219.xml"/><Relationship Id="rId225" Type="http://schemas.openxmlformats.org/officeDocument/2006/relationships/externalLink" Target="externalLinks/externalLink224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48" Type="http://schemas.openxmlformats.org/officeDocument/2006/relationships/externalLink" Target="externalLinks/externalLink147.xml"/><Relationship Id="rId164" Type="http://schemas.openxmlformats.org/officeDocument/2006/relationships/externalLink" Target="externalLinks/externalLink163.xml"/><Relationship Id="rId169" Type="http://schemas.openxmlformats.org/officeDocument/2006/relationships/externalLink" Target="externalLinks/externalLink168.xml"/><Relationship Id="rId185" Type="http://schemas.openxmlformats.org/officeDocument/2006/relationships/externalLink" Target="externalLinks/externalLink184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80" Type="http://schemas.openxmlformats.org/officeDocument/2006/relationships/externalLink" Target="externalLinks/externalLink179.xml"/><Relationship Id="rId210" Type="http://schemas.openxmlformats.org/officeDocument/2006/relationships/externalLink" Target="externalLinks/externalLink209.xml"/><Relationship Id="rId215" Type="http://schemas.openxmlformats.org/officeDocument/2006/relationships/externalLink" Target="externalLinks/externalLink214.xml"/><Relationship Id="rId236" Type="http://schemas.openxmlformats.org/officeDocument/2006/relationships/sharedStrings" Target="sharedStrings.xml"/><Relationship Id="rId26" Type="http://schemas.openxmlformats.org/officeDocument/2006/relationships/externalLink" Target="externalLinks/externalLink25.xml"/><Relationship Id="rId231" Type="http://schemas.openxmlformats.org/officeDocument/2006/relationships/externalLink" Target="externalLinks/externalLink230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75" Type="http://schemas.openxmlformats.org/officeDocument/2006/relationships/externalLink" Target="externalLinks/externalLink174.xml"/><Relationship Id="rId196" Type="http://schemas.openxmlformats.org/officeDocument/2006/relationships/externalLink" Target="externalLinks/externalLink195.xml"/><Relationship Id="rId200" Type="http://schemas.openxmlformats.org/officeDocument/2006/relationships/externalLink" Target="externalLinks/externalLink199.xml"/><Relationship Id="rId16" Type="http://schemas.openxmlformats.org/officeDocument/2006/relationships/externalLink" Target="externalLinks/externalLink15.xml"/><Relationship Id="rId221" Type="http://schemas.openxmlformats.org/officeDocument/2006/relationships/externalLink" Target="externalLinks/externalLink220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Relationship Id="rId165" Type="http://schemas.openxmlformats.org/officeDocument/2006/relationships/externalLink" Target="externalLinks/externalLink164.xml"/><Relationship Id="rId186" Type="http://schemas.openxmlformats.org/officeDocument/2006/relationships/externalLink" Target="externalLinks/externalLink185.xml"/><Relationship Id="rId211" Type="http://schemas.openxmlformats.org/officeDocument/2006/relationships/externalLink" Target="externalLinks/externalLink210.xml"/><Relationship Id="rId232" Type="http://schemas.openxmlformats.org/officeDocument/2006/relationships/externalLink" Target="externalLinks/externalLink231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Relationship Id="rId176" Type="http://schemas.openxmlformats.org/officeDocument/2006/relationships/externalLink" Target="externalLinks/externalLink175.xml"/><Relationship Id="rId197" Type="http://schemas.openxmlformats.org/officeDocument/2006/relationships/externalLink" Target="externalLinks/externalLink196.xml"/><Relationship Id="rId201" Type="http://schemas.openxmlformats.org/officeDocument/2006/relationships/externalLink" Target="externalLinks/externalLink200.xml"/><Relationship Id="rId222" Type="http://schemas.openxmlformats.org/officeDocument/2006/relationships/externalLink" Target="externalLinks/externalLink221.xml"/><Relationship Id="rId17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24" Type="http://schemas.openxmlformats.org/officeDocument/2006/relationships/externalLink" Target="externalLinks/externalLink123.xml"/><Relationship Id="rId70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90.xml"/><Relationship Id="rId145" Type="http://schemas.openxmlformats.org/officeDocument/2006/relationships/externalLink" Target="externalLinks/externalLink144.xml"/><Relationship Id="rId166" Type="http://schemas.openxmlformats.org/officeDocument/2006/relationships/externalLink" Target="externalLinks/externalLink165.xml"/><Relationship Id="rId187" Type="http://schemas.openxmlformats.org/officeDocument/2006/relationships/externalLink" Target="externalLinks/externalLink186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11.xml"/><Relationship Id="rId233" Type="http://schemas.openxmlformats.org/officeDocument/2006/relationships/externalLink" Target="externalLinks/externalLink23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60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80.xml"/><Relationship Id="rId135" Type="http://schemas.openxmlformats.org/officeDocument/2006/relationships/externalLink" Target="externalLinks/externalLink134.xml"/><Relationship Id="rId156" Type="http://schemas.openxmlformats.org/officeDocument/2006/relationships/externalLink" Target="externalLinks/externalLink155.xml"/><Relationship Id="rId177" Type="http://schemas.openxmlformats.org/officeDocument/2006/relationships/externalLink" Target="externalLinks/externalLink176.xml"/><Relationship Id="rId198" Type="http://schemas.openxmlformats.org/officeDocument/2006/relationships/externalLink" Target="externalLinks/externalLink197.xml"/><Relationship Id="rId202" Type="http://schemas.openxmlformats.org/officeDocument/2006/relationships/externalLink" Target="externalLinks/externalLink201.xml"/><Relationship Id="rId223" Type="http://schemas.openxmlformats.org/officeDocument/2006/relationships/externalLink" Target="externalLinks/externalLink22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50" Type="http://schemas.openxmlformats.org/officeDocument/2006/relationships/externalLink" Target="externalLinks/externalLink49.xml"/><Relationship Id="rId104" Type="http://schemas.openxmlformats.org/officeDocument/2006/relationships/externalLink" Target="externalLinks/externalLink103.xml"/><Relationship Id="rId125" Type="http://schemas.openxmlformats.org/officeDocument/2006/relationships/externalLink" Target="externalLinks/externalLink124.xml"/><Relationship Id="rId146" Type="http://schemas.openxmlformats.org/officeDocument/2006/relationships/externalLink" Target="externalLinks/externalLink145.xml"/><Relationship Id="rId167" Type="http://schemas.openxmlformats.org/officeDocument/2006/relationships/externalLink" Target="externalLinks/externalLink166.xml"/><Relationship Id="rId188" Type="http://schemas.openxmlformats.org/officeDocument/2006/relationships/externalLink" Target="externalLinks/externalLink187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13" Type="http://schemas.openxmlformats.org/officeDocument/2006/relationships/externalLink" Target="externalLinks/externalLink212.xml"/><Relationship Id="rId234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9.xml"/><Relationship Id="rId115" Type="http://schemas.openxmlformats.org/officeDocument/2006/relationships/externalLink" Target="externalLinks/externalLink114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178" Type="http://schemas.openxmlformats.org/officeDocument/2006/relationships/externalLink" Target="externalLinks/externalLink177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9" Type="http://schemas.openxmlformats.org/officeDocument/2006/relationships/externalLink" Target="externalLinks/externalLink198.xml"/><Relationship Id="rId203" Type="http://schemas.openxmlformats.org/officeDocument/2006/relationships/externalLink" Target="externalLinks/externalLink202.xml"/><Relationship Id="rId19" Type="http://schemas.openxmlformats.org/officeDocument/2006/relationships/externalLink" Target="externalLinks/externalLink18.xml"/><Relationship Id="rId224" Type="http://schemas.openxmlformats.org/officeDocument/2006/relationships/externalLink" Target="externalLinks/externalLink223.xml"/><Relationship Id="rId30" Type="http://schemas.openxmlformats.org/officeDocument/2006/relationships/externalLink" Target="externalLinks/externalLink2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168" Type="http://schemas.openxmlformats.org/officeDocument/2006/relationships/externalLink" Target="externalLinks/externalLink16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189" Type="http://schemas.openxmlformats.org/officeDocument/2006/relationships/externalLink" Target="externalLinks/externalLink188.xml"/><Relationship Id="rId3" Type="http://schemas.openxmlformats.org/officeDocument/2006/relationships/externalLink" Target="externalLinks/externalLink2.xml"/><Relationship Id="rId214" Type="http://schemas.openxmlformats.org/officeDocument/2006/relationships/externalLink" Target="externalLinks/externalLink213.xml"/><Relationship Id="rId235" Type="http://schemas.openxmlformats.org/officeDocument/2006/relationships/styles" Target="styles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179" Type="http://schemas.openxmlformats.org/officeDocument/2006/relationships/externalLink" Target="externalLinks/externalLink17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data\OPEX%20REPORTS\OPEX%20plan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P_SNACKS\USERS\RAMAN\EXCEL\96BOY.XLW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kkro-fs\shared\WINDOWS\TEMP\97PHILSD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phasak\e\My%20Documents\wanchai\closing\report\pl-9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Users\40177213\AppData\Local\Microsoft\Windows\Temporary%20Internet%20Files\Content.Outlook\1VSZSJVW\Documents%20and%20Settings\amueller01\Local%20Settings\Temp\AOP05%20V1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BKKSHARE01\Plan$\DATA\My%20Documents\STRAT99\STRAT99\CAPEXES\volum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HDWYER\SPRDSHTS\Bonus\LTIP%20Scores\Division%20Variable%20Scores%20Forecastv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Documents%20and%20Settings\amueller01\Local%20Settings\Temp\AOP05%20V1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2006\Vol2006\Jan_06\Lotus_Jan%20(spending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_mad_som\c\TEMP\DecSC-Chart-Data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microsoft.com/office/2019/04/relationships/externalLinkLongPath" Target="https://suntorygroup-my.sharepoint.com/Users/40177213/AppData/Local/Microsoft/Windows/Temporary%20Internet%20Files/Content.Outlook/1VSZSJVW/My%20Pepsi/2011%20-%20Planning/IGP/IGP%202011/19-01-2011/HDWYER/SPRDSHTS/Bonus/LTIP%20Scores/Division%20Variable%20Scores%20Forecastv2.xls?60B1DC7A" TargetMode="External"/><Relationship Id="rId1" Type="http://schemas.openxmlformats.org/officeDocument/2006/relationships/externalLinkPath" Target="file:///\\60B1DC7A\Division%20Variable%20Scores%20Forecastv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KBAHAMON\Forecast%20Models\P3\fcst%20modelP3'02_q1%20fcst%20v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98-AOP\Presentation\MUPRDR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mwap0042\inf\TRABAJO\PLANEACI\MODELS\1999Q3\SALEPLE4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CONTRO~1\FINRPTNG\TAX\RSCHILLE\EXCEL\FDCMISC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WINDOWS\TEMP\97PHILSD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chittima\NOAF\2009\&#3588;&#3656;&#3634;&#3611;&#3619;&#3633;&#3610;CDA_Peesawa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Finance\Finance%2007\Monthly\07%20-%20July%2007\July%202007%20TB%20Consolidated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Finance\Finance%2007\Monthly\12%20-%20Dec%2007\Financials\Hyp\SAP%20Linking%20Dec%2007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mwap0042\inf\Performance%20Review\6.%20Conf%20Call%20MW%20Feb%209-05\Bra_Suppor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KARUNA\SCORE200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Data\2002\2002Fcst\March%20Fcst\2002%20March%20Fcs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Documents%20and%20Settings\amueller01\Local%20Settings\Temp\AOP05%20V1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Planning\BEVERAGES%20PLANNING\2010\HFM%20test\05.PL%2001%20(tie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Documents%20and%20Settings\fjaffar\Desktop\MBR%20July%20201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FINANCE\2010\Monthly%20Performance\Cash%20Flow%20Process\Nov\6%20Box%20HFM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Users\40177213\AppData\Local\Microsoft\Windows\Temporary%20Internet%20Files\Content.Outlook\1VSZSJVW\My%20Pepsi\HFM%20Parallel%20Run\2010%20August%20Forecast%20-%20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GNTP6\Groups\Data\2002\2002Fcst\March%20Fcst\2002%20March%20Fcs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BKKSHARE01\Plan$\My%20Documents\Forecast\Fcst_02\Fcst02_Jun\Depr\Existing%20bal%200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mpote\G\00_AOP%202005_Sales\AOP%202005_Sale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howdb4\SnacksReporting\Documents%20and%20Settings\simran\Local%20Settings\Temporary%20Internet%20Files\OLKAE\November%20BSR%20(2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mdillon\Local%20Settings\Temp\Merger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DATA\useful%20tools\JV-COC%2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AAA%20Report\2006%20AOP\Phase%202\Exec%20Summary\Exec%20Summary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AAA%20Report\PBR\Templates\KC1_Excel%20Base_forPBR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My%20Documents\PBI\EIP\2002\2002%20EIP%20Mode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data\2002AOP\PhaseII\2002%20AOP%20calendarization%20phaseII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Documents%20and%20Settings\MOhammed.SSFL\My%20Documents\Backup-AK\HYP_Mapping\2006%20AOP%20(Phase%202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Documents%20and%20Settings\MOhammed.SSFL\My%20Documents\Backup-AK\HYP_Mapping\2006%20AOP%20(Phase%202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ata\APBU\Briefing%20Note\2002\Jan\Feb%2019%20APBU%20Jan%20BN%20Outlook%20Support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windows\TEMP\DOLE\ANNY\CANKU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KBAHAMON\Forecast%20Models\P3\fcst%20modelP3'02_q1%20fcst%20v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TEMP\new2\personal\ssb\Standalone98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Data\Lala%20in%20Pepsi\Projects\General\Network%20Analysis%20Nov%2005\CBU05MPr02_20-1%20results%20(2007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Planning\AOP2005\CCR\CCR%20Templates\CCRexec_05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CIFER\Shared\Documents%20and%20Settings\gouzound\My%20Documents\Polish%20operations%20review\Cost%20of%20Production%20200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mwap0042\inf\DBR%20Q1-04\Brazil%20PBR%20Template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197.19.179\excel\Documents%20and%20Settings\simran\Desktop\Excel\BSR08\BSR_AUG08\BSR-Aug-2008(R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EXCEL\WWR-2002\WWR-MAY0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Data\PET%20Line%20RFQ%20Generato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USERS\AOP\aop%202000\3%20Years%20Model\SAUD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LAR\01aop\AOP%2001-03\Data%20Warehouse%20Resubmission\Countries\Lar\Sab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BKKSHARE01\Plan$\TEMP\Standard%20Report%20Input%20Sheet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MY%20DOCUMENTS\pepsico\FORECAST\Junio\COCSEPT%20FCST%2001%20-%20AOP0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\97PHILSD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Finance\Finance%2007\Monthly\07%20-%20July%2007\Financials\Financials%20-%202007%20GAAP%20-%20CONS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Documents%20and%20Settings\vcarranza\My%20Documents\planning\FCST\2003\2003FCSTQ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P_Planning\2008\2008%20Outlook%20Forecast\Jun%20Fcst\RHQ\2008%20June%20Fcst_RHQ%20for%20Hyp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CIFER\Shared\Logistyka\Dystrybucja\Reports2\AOP%202005\2005%20EEBU%20Supply%20Plan%2011_10_04%20stre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PI_BKK\40217900\Documents\Project\2nd%20Plant\Financials%20Model\98-AOP\Presentation\MUPRDR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MY%20DOCUMENTS\pepsico\FORECAST\Junio\COCSEPT%20FCST%2001%20-%20AOP0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Documents%20and%20Settings\wellsji\Desktop\Gatorade\Strat%20Plan\614update\outputs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My%20Pepsi\Monthly%20Business%20Review\November%202010\Final%20Nov%202010\water%20fall%20data%20vs%20Plan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Planning\BEVERAGES%20PLANNING\2007\Interim%20Outlook\0207_Feb\Beverage%20PL%20IO%20Feb07%20(Thailand)_22%20Jan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Documents%20and%20Settings\RICHARDM\Local%20Settings\Temporary%20Internet%20Files\OLKEC\Email%20%20NT%20Upgrade%20Plan%20Final%20-%20Concentrate%20(2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howdc2\mashraf\ashraf%20data\Salary%20Information\February%202008\MIP%202008%20Working%20-%20Feb%2008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Group\LOGISTIC\Dashboard\Dashboard2000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Users\40177213\AppData\Local\Microsoft\Windows\Temporary%20Internet%20Files\Content.Outlook\1VSZSJVW\Reports\Reports%20Pepsi\Alldata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Reports%20Pepsi\Alldata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TEMP\Backorder2001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CIFER\Shared\Logistyka\Dystrybucja\Reports1\Supply\Fcsts\335fcsts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PI_BKK\40217900\Documents\Project\2nd%20Plant\Financials%20Model\Manufacturing\MOH2005-Center\R3-Sep20-04\CCRptprd_05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TEMP\Backorder2002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CP_Share\Corporate%20Planning\2009\2009%20AOP%20Ph1\Rolling%20Hedging%20Tracker%20AOP%20at%2031%20oct%202008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HDWYER\SPRDSHTS\Bonus\LTIP%20Scores\Division%20Variable%20Scores%20Forecastv2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PEPSI\MTHSALES\k05cs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fin-acct\Consolidations\Accounts\2004\P13\MD&amp;A%20Template%20P13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Documents%20and%20Settings\fmaaytah\My%20Documents\AOP%202005\Phase%20II\Model%20&amp;%20Excell%20Scenarios\2005%20Plan%20financials-first%20Scenario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40177212\My%20Documents\!%20Beverage\AOP%20-%20SBP\SBP%202014\IPP%20Cap%20Thai%20Bev%20SBP%202014_Kook%20upd%202014-04-21%20v1.xlsm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98-AOP\Presentation\Puerto%20Rico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Finance%20Accounting\PI%202005\LC&amp;AS\Databases\Forex\May%202004%20Forecast%20Template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_mad_som\c\WINDOWS\TEMP\SCbase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lanning_2000\Forecast\Financial\FINANCIAL_FCST_P5%20(3)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Lee\PI%20Decks\Mike%20White%20Projects\Mike%20WSJ%20Sep%2014\Mike%20WSJ%20Data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fin-acct\Consolidations\Md&amp;a\2004\Q4%20md&amp;a\FLNA%20MD&amp;A%20FINAL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fin-acct\Consolidations\Md&amp;a\2004\Q4%20md&amp;a\FLNA%20MD&amp;A%20FINAL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User\COMMON\AAA%20Report\Business%20Review\Mar00_review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User\COMMON\AAA%20Report\Business%20Review\1999%20YE%20Business%20Review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NRossit.SMITHS\Local%20Settings\Temporary%20Internet%20Files\OLK1C\man_mgrs\Capital\2007%20Capital%20Plan\Capex%20Plan%202007%20Updated%20Feb13_FINAL!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WINNT\Profiles\mward4\Local%20Settings\Temporary%20Internet%20Files\OLKC2\Raw%20MD&amp;A%20Data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BKKSHARE01\Plan$\WORKING\planning\02%20Plan\AOP'03-05\Required%20templates\COCMUThai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howdc2\simran\Yum%20Tracking\KATS%202003%202002\CDC%202002%202003%20YTD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GNTP6\Groups\Documents%20and%20Settings\rwong\Local%20Settings\Temporary%20Internet%20Files\OLK170\YUM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gntp6\groups\CBU_Planning\2008\Forecast\Jun\2008%20Jun%20Fcst%20Model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99Actual\August\COC_Plan\coc_plan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2004\2004%20AOP%20Phase%201\2004%20Test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rmo\China%202004%20Strat%20Plan%20-%20NCB\2004%20Strat%20Plan%20Model\April%202%20COT%20--%20for%20JD%20and%20Gatorade%20only\China%20NCB%20Master%20Model%20v6.6%20SMALL%20(TEA_JD%20ONLY)_april%202%20test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TEMP\Backorder%202000.xls.bak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mwap0042\inf\Documents%20and%20Settings\cortie\Local%20Settings\Temporary%20Internet%20Files\OLK4D\Dom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8.Finance\Planning\2015%20AOP\Volume\DA_Template_Working_Aug25%20(325ml).xlsx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PI_BKK\40217900\Documents\Project\2nd%20Plant\Financials%20Model\Febmeeting\Can%20Line%20RFQ%20Generator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PI_Bkk\Beverage\Bev%20Performance%20Update\LF%202009%20Bev\LF2009_Bev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Documents%20and%20Settings\wellsji\Desktop\Propel\p102004snapshot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Finance%2004\Monthly\5%20-%20May%2004\Financial%20Support%20&amp;%20Schedule\Balance%20Sheet\Balance%20Sheet%20Review%20Saudi%20P06%20-%20Final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Group\LOGISTIC\Dashboard\Dashboard2001LoadAcc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Group\LOGISTIC\Dashboard\OpRvw2002LoadAcc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Group\LOGISTIC\Dashboard\OpRvw2001TruckUsage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PR_Review\Financial%20Models%20-%202000\2008-2010%20Strat%20Plan\Capex\3%20year%20capex%20plan%202008-2010%20as%20at%20May%2018%20(2)%20(3)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CIFER\Shared\DBP\DBP03\TAB%20Test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99Actual\September\M_REPORT\Sotm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Beverages%20Finance\2012%20AOP%20Ph%20II\CCR\AOP_2011%20CCR_Sales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fin-acct\Consolidations\MD&amp;A\2002\Q4_02\TEST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PI_BKK\40217900\Documents\Project\2nd%20Plant\Financials%20Model\Temp\Lipton%20Project%20-%20Distribution%20Model_Scenario%20I-Summary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99Fcst\March\Analysis\Seasonals\Volume%20Seasonals%20-%20RRs%20-%20Fcst%20version%202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Common_F\AAA%20Report\2005%20AOP\Phase%201\Instructions\From%20NY%20to%20Region\Last%20Year%20Functional%20Templates\2004%20AOP%20Snacks%20Data%20Model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BKKSHARE01\Plan$\My%20Documents\AOP%2001\Depr\DEPR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KBAHAMON\Forecast%20Models\P3\fcst%20modelP3'02_q1%20fcst%20v2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phasak\c\My%20Documents\Agro%20AOP\2002-8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jongsir\c\hyp4\Retrieve\cocytd2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PI_BKK\40217900\Documents\Project\2nd%20Plant\Financials%20Model\Pornlada_Data\O%20pornlada\Budget\Tech%20AOP%20Presentation%202005\TSS%20Proj%20Fact%20Sht%202004%2015-08-07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98-AOP\Presentation\MUPRDR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98-AOP\Presentation\Puerto%20Rico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PDSEPT-2000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PI_BKK\40217900\Documents\Project\2nd%20Plant\Financials%20Model\CBU_Planning\2003\Book1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USERS\AOP\AOP1999\FINAL_TE\centerdt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BKKSHARE01\Plan$\My%20Documents\Forecast\Fcst_02\Fcst02_Jun\Depr\JF02_DEPR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gntp6\groups\Data\2002AOP\PhaseII\2002%20AOP%20calendarization%20phaseII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howdc2\simran\AP_Planning\2008\2008%20Outlook%20Forecast\Q3\August%2012\2008%20AFS_Asia%20Pac%20Region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Documents%20and%20Settings\wellsji\Desktop\Gatorade\Strat%20Plan\505update3\skus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mwap0042\inf\Period%20Calls%20LAR\P08-2005\Bra_P8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BKKDATA02\PLAN$\PLANNING\AOP2002\Expenses\Exp-FNHO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ENg\Local%20Settings\Temp\BJ0412CSD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CIFER\Shared\Operations%20Planning\Operations\2007\AOP\Templates\AOP07_Template_Ops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alaby\JF%20Uploaded%20Hyp\Copy%20of%20Mar%20Fcst%20Model%20@%20AOP%20Curve%20Rates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Adi_FLT\Beverage\FullGoods\Account%20Planning%20-%20Full%20Goods\FullGoods_LF2007_MasterFile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TEMP\new2\personal\ssb\diversified_4Q00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BKKSHARE01\Plan$\WORKING\planning\02%20Plan\AOP'03-05\Required%20templates\COCMUThai-back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DOCUME~1\MARKA~1.GRE\LOCALS~1\Temp\rate%20sheeets1220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EXCEL\Month%20Reporting\VISION%20CLOSING%202001\PDSEPT-2001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temp\Temporary%20Directory%202%20for%20SAP%20FCST_Commentary_Germany_Jan.ZIP\SAP%20FCST_Commentary_Germany_Jan%20(2)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PCI_PLANNING\Asadi\Monthly%20Business%20Review\Template%20&amp;%20Reports\PBI%20BR%20Finl%20Templates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FINANCE\2008\2009AOP%20Phase%201\Presentations\Phase%201\Region%20to%20SC\AOP%20Review%20(Andy)%20-%20Deck%20Backup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2007\2008%20AOP\Phase%201\Presentations\Region%20to%20SC\Workings\AOP%20Review%20-%20Source%20Data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WINNT\Profiles\rtownse2\Desktop\FLNA%20Consol%20BFY%20&amp;%20Platform%20DESKTOP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Documents%20and%20Settings\ranour\Local%20Settings\Temporary%20Internet%20Files\OLK7\BOY%20Saudi%20Snacks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TEMP\Standard%20Report%20Input%20Sheet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AAA%20Report\Mgmt%20Reports\Business%20Review\P3_PI_LARBEV_BUSREVIEW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Documents%20and%20Settings\wmnie\Local%20Settings\Temporary%20Internet%20Files\OLK3\HF%20Line%20RFQ%20Generator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howdc2\simran\AP_Planning\2004\2004%20Strat%20Plan\June%2028%20SP%20submission\Ron's%20ppt%20backup_0628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H\finance\CF%20-%20wkst%202002(b)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PR_Review\Financial%20Models%20-%202000\2008-2010%20Strat%20Plan\Capex\3%20year%20capex%2018-5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rvpg01\SYS\ECORTINAS\-%20D%20O%20C%20U%20M%20E%20N%20T%20S%20-\-%20F%20R%20I%20T%20O%20-%20%20L%20A%20Y%20-\2%200%200%203\--=R%20E%20P%20O%20R%20T%20S=--\-%20QUARTERLY\FORECAST\REGIONQ2\Sep%202003%20Forecast%20Template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sabir.lilla\Desktop\Release%20Report-21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howdb4\SnacksReporting\Groups\Insight\PROD\Insight%202001\INSIGHT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Group\LOGISTIC\Replacements\Repl2000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Group\LOGISTIC\Replacements\DCDmg2002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-fp01\users\DATA\91-97ACT\DATA\FIN-PLAN\97-RPRT\97-HT&amp;M4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2001\Africa\P9F\template_pl_P9F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Documents%20and%20Settings\tempadmin\Local%20Settings\Temporary%20Internet%20Files\OLK39\Chipsy%20BSR%20Template%20-%20May%202007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kfiegcaifnp01\FPnA$\Documents%20and%20Settings\imoneim\Local%20Settings\Temporary%20Internet%20Files\OLK90\2004%20SRF%20Country%20PnLs_cakes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TEMP\Standard%20Report%20Input%20Sheet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Altamash%20Qaisrani\Official\Balance%20Sheet%20Review\Ammended%20BSR%20by%20Altamash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Finance%20Accounting\PI%202004\Strat%20Plan\Functional%20Templates\2003%20-%202006%20FLI%20Strat%20Plan\SP%20Data%20Model%20Master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FAITH\MIKE\SOBREVS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197.91.33\planeacion\SOPHIA\Copy%20of%20SOPHIA\QOAI\Royalty\BALSHT12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gntp6\groups\data\2000%20AOP\Internal%20deck\2000P&amp;L(9.17)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%20FG\1.5%20AQF%20Water\Label%20new%20design.xlsx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Users\40177213\AppData\Local\Microsoft\Windows\Temporary%20Internet%20Files\Content.Outlook\1VSZSJVW\Data\PI%20Hyperion\Reporting%20entities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TEMP\Financial%20Summary2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BKKSHARE01\Plan$\TEMP\Financial%20Summary2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Finance%20Accounting\PI%202008\Reporting\December\Blue_Reports_Dec_2008_adj%20for%20Iberia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PCI_PLANNING\Cohn\Standard%20Reports\Financial%20Summary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CBU_Planning\JV%20report\02JV%20financials\EJV%20Fin%20Dec%2002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Documents%20and%20Settings\nttvi\Local%20Settings\Temporary%20Internet%20Files\OLK23\VN_COCH_REVISED%20vs%20CAPEX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2002FCST\P6F\Analysis\PLDB_Databases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ersonal%20Luisa\Misc\05FxActual%20(2)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ct%20Dark%20Green%20Model_Smiths_v6%20-%20Assumptions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Finance%202003\Strat%20Plan%2004-06\Country%20Submissions\Walkers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lanning_1999\FL_Forecast\Q2%20Forecast_98\Coffee%20Mting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howdc2\nbutt\PAKISTAN\AOPStrat\Ashley%20on%20Pool%20Laptop%20(XP%20Dell)%20(165.197.19.210)\PAKISTAN\AOPStrat\Finance%202003\Strat%20Plan%2004-06\Country%20Submissions\Walkers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Documents%20and%20Settings\bbeck0\Local%20Settings\Temporary%20Internet%20Files\OLKD\04FxActual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PI_BKK\40217900\Documents\Project\2nd%20Plant\Financials%20Model\98-AOP\Presentation\Puerto%20Rico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Data\2000\1FQT\OpexFQ1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MOH2004-Center\MOH04-R1-Sep09'03\CCRptpp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OH2004-Center\MOH04-R1-Sep09'03\CCRptpp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Finance%20Accounting\PI%202004\Strat%20Plan\Functional%20Templates\2003%20-%202006%20FLI%20Strat%20Plan\SP%20Data%20Model%20Master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PCI_PLANNING\Asadi\Cashflow\Pre-Tax%20Cashflow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pdt$\PLANNING\2003\Cost\Cost_stru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FLI%20Move\Fin%20Analysis\Liliana\Results\LAR%20Snacks%20Reports\LAR%202003%20Period%20Results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RFQ\AUTOMATED%20RFQ'S\Current\HF%20Line%20RFQ%20Generator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Planning\AOP2005PCI\FinStat\PepsiPL1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\Common\AAA%20Report\Briefing%20Note\Build-Draw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gntp6\groups\data\2000%20AOP\Internal%20deck\2000AOP(1.2)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P_SNACKS\USERS\ACCTS\JP\BOYBUP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1998\112498\Finance%20Staff%20Meet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Finance\Finance%2007\Monthly\07%20-%20July%2007\Financials\Financials%20-%202007%20GAAP%20-%20CONS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mwap0042\inf\Performance%20Review\10.%20Conf%20Call%20MW%20Oct%2019-05\PBRSlides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Planning\PI-Asia\Mnthly%20Business%20Rvw\December\PI-BsRvw-dec%2003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TEMP\Financial%20Summary2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howdc2\simran\AP_Planning\IT\Data%20for%20David's%20review%2021%20Sep%2005(v2)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Finance%20Accounting\PI%20PLANNING\King\Productivity\Strat%20Plan%20FX%20&amp;%20Inflation%20Rates\Forex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Pepsi\Financial%20Planning\Aop\Aop%20Phase%20II\Aop%20target%20templates\AOP2002\AOP-Local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Documents%20and%20Settings\imoneim\Desktop\New%20Planning%20Files%20-%20JF\Financial%20Reports%20-%20Summary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howdc2\simran\AP_Planning\2008\2008%20Outlook%20Forecast\Jun%20Fcst\Validation\RHQ%20Val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kfiegcaifnp01\users$\kgohary\Karam\OB%20&amp;%20SRF\OB\05OB\Presentation\OB05%20BSCF%20slides%20To%20Inas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Finance_05\Overlap\Period%201\FINAL%20FCST%20Grocery%202005%20P1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My%20Documents\My%20Documents\02.Food\01.Planning%20Financial%20Model\OL07\Jul07\JulFcst_Foods%20P&amp;L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P_Planning\2009\2009%20AOP\PH%20I\RHQ\2009%20AOP-RHQ%20for%20Hyperion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howdc2\simran\Documents%20and%20Settings\mshafique.LAHOPROD\Local%20Settings\Temporary%20Internet%20Files\OLK5B\Copy%20of%20Agro_Worksheet_Pakistan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Planning\AOP2005\CCR\CCR%20Templates\SD\CCRsatm_05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data\Business%20Development\2004\Shenyang\SYcpxv%20041123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PLANNING\AOP2003\iop2003\CCR\CCRptprd-Kanish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mwap0042\inf\Performance%20Review\6.%20Conf%20Call%20MW%20Feb%209-05\Gam_Support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howdc2\simran\AP_Planning\2008\2008%20Outlook%20Forecast\Q3\August%2012\2008%20AFS%20VAL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Planning\BEVERAGES%20PLANNING\2009%20AOP%20PhII\BU%20Submission\Hyperion%20Post-Rollover\2009%20AOP%20(Phase%202)_PB647THIFO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Planning\2005\Stratplan%2006-08\APBU%20Submission\May23\CSD\TH_CSD_2005%20JFS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Documents%20and%20Settings\ychen6\Local%20Settings\Temporary%20Internet%20Files\OLK364\2009%20AOP%20Beverages%20R&amp;D%20Data%20Request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Documents%20and%20Settings\ranour\My%20Documents\Region%20Planning\2008\2008%20AOP%20Phase%202\HQ\HQ%20Reserves\HQ%20Hyperion\2008%20AOP%20Dubai%20HQ%20(40801)_Task_Flex_No%20Bev%20Vol%20&amp;%20A&amp;M%20Flex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Documents%20and%20Settings\MMERCHAN\Local%20Settings\Temp\2005%20JFS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P_Planning\2008\2009-11%20SP\Validation\AFBU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Documents%20and%20Settings\nkijsamrit\Local%20Settings\Temporary%20Internet%20Files\OLKDE\kaii\2009True%20up\2009%20Special%20not%20yet%20invoice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gntp6\groups\CBU_Planning\2006\Forecast\March%20Fcst\JV%20Submission-Raw\06Mar_Fcst_GZ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TEMP\Speed97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Users\40177054\AppData\Local\Temp\Rar$DI06.300\BSR%20template%20-%20Comm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mwap0042\inf\Performance%20Review\6.%20Conf%20Call%20MW%20Feb%209-05\Carib_Support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Finance%20Accounting\PI%202004\2005%20AOP\2005%20AOP%20Functional%20Templates\Last%20Year%20Functional%20Templates\2004%20AOP%20Snacks%20Data%20Model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x5065pk1.cww.pep.pvt\planningsnacks\data\APBU\Briefing%20Note\2002\Jan\Feb%2019%20APBU%20Jan%20BN%20Outlook%20Supports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AA%20Report\2006%20AOP\Phase%202\Exec%20Summary\Exec%20Summary.xls" TargetMode="External"/></Relationships>
</file>

<file path=xl/externalLinks/_rels/externalLink229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1.29.34.10\Users\40177213\AppData\Local\Microsoft\Windows\Temporary%20Internet%20Files\Content.Outlook\1VSZSJVW\nmunir\Nouman\Planning\2010-11\Mar%20Fcst%202011\Documents%20and%20Settings\mmehdi\Desktop\Files\BSR\feb-bsr\February%202008.xls?084DE8B7" TargetMode="External"/><Relationship Id="rId1" Type="http://schemas.openxmlformats.org/officeDocument/2006/relationships/externalLinkPath" Target="file:///\\084DE8B7\February%202008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GNTP6\Groups\&#32654;&#26041;&#36164;&#26009;\&#32654;&#24335;&#25253;&#34920;\20report\20-5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29.34.10\rpa\Documents%20and%20Settings\lywang\Local%20Settings\Temp\&#30334;&#20107;&#25253;&#34920;02-04.xls" TargetMode="External"/></Relationships>
</file>

<file path=xl/externalLinks/_rels/externalLink2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PBT09217069\Desktop\D%20data\1%20FG\1.1%20Report\1%20Inventory%20Daily%20Report\Inventory%20Daily%20Report%20-%202026.03.01.xlsx" TargetMode="External"/><Relationship Id="rId1" Type="http://schemas.openxmlformats.org/officeDocument/2006/relationships/externalLinkPath" Target="/Users/SPBT09217069/Desktop/D%20data/1%20FG/1.1%20Report/1%20Inventory%20Daily%20Report/Inventory%20Daily%20Report%20-%202026.03.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RESUMEN"/>
      <sheetName val="OPEXPLAN"/>
      <sheetName val="OPEXA"/>
      <sheetName val="OPEXCS"/>
      <sheetName val="OPEXF"/>
      <sheetName val="OPEXHR"/>
      <sheetName val="OPEXMAIN"/>
      <sheetName val="OPEXMANUF"/>
      <sheetName val="OPEXMAT"/>
      <sheetName val="OPEXMIS"/>
      <sheetName val="OPEXQ&amp;TS"/>
      <sheetName val="W604LC"/>
      <sheetName val="W604"/>
      <sheetName val="W503A"/>
      <sheetName val="W503CSER"/>
      <sheetName val="W503LAB"/>
      <sheetName val="W503M"/>
      <sheetName val="W503MIS"/>
      <sheetName val="W503P"/>
      <sheetName val="W503MAT"/>
      <sheetName val="W503F"/>
      <sheetName val="W503HR"/>
      <sheetName val="CTA6YA"/>
      <sheetName val="CTA6PA"/>
      <sheetName val="W503CONS"/>
      <sheetName val="Jan Volume"/>
      <sheetName val="Datascore"/>
      <sheetName val="Reference"/>
      <sheetName val="Graph input"/>
      <sheetName val="Bev Vol"/>
      <sheetName val="Useful Life Policy"/>
      <sheetName val="Master Information"/>
      <sheetName val="definition"/>
      <sheetName val="Jan_Volume"/>
      <sheetName val="Graph_input"/>
      <sheetName val="Bev_Vol"/>
      <sheetName val="Useful_Life_Policy"/>
      <sheetName val="Master_Information"/>
      <sheetName val="Jan_Volume1"/>
      <sheetName val="Graph_input1"/>
      <sheetName val="Bev_Vol1"/>
      <sheetName val="Useful_Life_Policy1"/>
      <sheetName val="Master_Information1"/>
      <sheetName val="Jan_Volume2"/>
      <sheetName val="Graph_input2"/>
      <sheetName val="Bev_Vol2"/>
      <sheetName val="Useful_Life_Policy2"/>
      <sheetName val="Master_Informatio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MOH"/>
      <sheetName val="Sheet1"/>
      <sheetName val="VMOH-SS "/>
      <sheetName val="Macro Market Trends"/>
      <sheetName val="PMX index"/>
      <sheetName val="2012 AOP Spain"/>
      <sheetName val="2012 AOP Alvalle"/>
      <sheetName val="2010 AOP PhII Spain"/>
      <sheetName val="AU_MasterData"/>
      <sheetName val="Customer List"/>
      <sheetName val="2008"/>
      <sheetName val="Lookups &amp; Rules"/>
      <sheetName val="Ref sheet 1"/>
      <sheetName val="GLMaster"/>
      <sheetName val="Seaoning "/>
      <sheetName val="PC 9"/>
      <sheetName val="PC 10A"/>
      <sheetName val="PC 10B"/>
      <sheetName val="PC 21"/>
      <sheetName val="PC 32"/>
      <sheetName val="VMOH-SS_1"/>
      <sheetName val="Macro_Market_Trends1"/>
      <sheetName val="2012_AOP_Spain1"/>
      <sheetName val="2012_AOP_Alvalle1"/>
      <sheetName val="2010_AOP_PhII_Spain1"/>
      <sheetName val="PMX_index1"/>
      <sheetName val="Lookups_&amp;_Rules1"/>
      <sheetName val="Customer_List1"/>
      <sheetName val="Ref_sheet_11"/>
      <sheetName val="VMOH-SS_"/>
      <sheetName val="Macro_Market_Trends"/>
      <sheetName val="2012_AOP_Spain"/>
      <sheetName val="2012_AOP_Alvalle"/>
      <sheetName val="2010_AOP_PhII_Spain"/>
      <sheetName val="PMX_index"/>
      <sheetName val="Lookups_&amp;_Rules"/>
      <sheetName val="Customer_List"/>
      <sheetName val="Ref_sheet_1"/>
      <sheetName val="VMOH-SS_2"/>
      <sheetName val="Macro_Market_Trends2"/>
      <sheetName val="2012_AOP_Spain2"/>
      <sheetName val="2012_AOP_Alvalle2"/>
      <sheetName val="2010_AOP_PhII_Spain2"/>
      <sheetName val="PMX_index2"/>
      <sheetName val="Lookups_&amp;_Rules2"/>
      <sheetName val="Customer_List2"/>
      <sheetName val="Ref_sheet_12"/>
      <sheetName val="VMOH-SS_3"/>
      <sheetName val="Macro_Market_Trends3"/>
      <sheetName val="2012_AOP_Spain3"/>
      <sheetName val="2012_AOP_Alvalle3"/>
      <sheetName val="2010_AOP_PhII_Spain3"/>
      <sheetName val="PMX_index3"/>
      <sheetName val="Lookups_&amp;_Rules3"/>
      <sheetName val="Customer_List3"/>
      <sheetName val="Ref_sheet_13"/>
      <sheetName val="VMOH-SS_4"/>
      <sheetName val="Macro_Market_Trends4"/>
      <sheetName val="2012_AOP_Spain4"/>
      <sheetName val="2012_AOP_Alvalle4"/>
      <sheetName val="2010_AOP_PhII_Spain4"/>
      <sheetName val="PMX_index4"/>
      <sheetName val="Lookups_&amp;_Rules4"/>
      <sheetName val="Customer_List4"/>
      <sheetName val="Ref_sheet_14"/>
      <sheetName val="Seaoning_"/>
      <sheetName val="PC_9"/>
      <sheetName val="PC_10A"/>
      <sheetName val="PC_10B"/>
      <sheetName val="PC_21"/>
      <sheetName val="PC_32"/>
      <sheetName val="VMOH-SS_6"/>
      <sheetName val="Macro_Market_Trends6"/>
      <sheetName val="2012_AOP_Spain6"/>
      <sheetName val="2012_AOP_Alvalle6"/>
      <sheetName val="2010_AOP_PhII_Spain6"/>
      <sheetName val="PMX_index6"/>
      <sheetName val="Lookups_&amp;_Rules6"/>
      <sheetName val="Customer_List6"/>
      <sheetName val="Ref_sheet_16"/>
      <sheetName val="VMOH-SS_5"/>
      <sheetName val="Macro_Market_Trends5"/>
      <sheetName val="2012_AOP_Spain5"/>
      <sheetName val="2012_AOP_Alvalle5"/>
      <sheetName val="2010_AOP_PhII_Spain5"/>
      <sheetName val="PMX_index5"/>
      <sheetName val="Lookups_&amp;_Rules5"/>
      <sheetName val="Customer_List5"/>
      <sheetName val="Ref_sheet_15"/>
      <sheetName val="VMOH-SS_7"/>
      <sheetName val="Macro_Market_Trends7"/>
      <sheetName val="PMX_index7"/>
      <sheetName val="2012_AOP_Spain7"/>
      <sheetName val="2012_AOP_Alvalle7"/>
      <sheetName val="2010_AOP_PhII_Spain7"/>
      <sheetName val="Customer_List7"/>
      <sheetName val="Lookups_&amp;_Rules7"/>
      <sheetName val="Ref_sheet_17"/>
      <sheetName val="Seaoning_1"/>
      <sheetName val="PC_91"/>
      <sheetName val="PC_10A1"/>
      <sheetName val="PC_10B1"/>
      <sheetName val="PC_211"/>
      <sheetName val="PC_321"/>
      <sheetName val="VMOH-SS_8"/>
      <sheetName val="Macro_Market_Trends8"/>
      <sheetName val="PMX_index8"/>
      <sheetName val="2012_AOP_Spain8"/>
      <sheetName val="2012_AOP_Alvalle8"/>
      <sheetName val="2010_AOP_PhII_Spain8"/>
      <sheetName val="Customer_List8"/>
      <sheetName val="Lookups_&amp;_Rules8"/>
      <sheetName val="Ref_sheet_18"/>
      <sheetName val="Seaoning_2"/>
      <sheetName val="PC_92"/>
      <sheetName val="PC_10A2"/>
      <sheetName val="PC_10B2"/>
      <sheetName val="PC_212"/>
      <sheetName val="PC_322"/>
      <sheetName val="VMOH-SS_9"/>
      <sheetName val="Macro_Market_Trends9"/>
      <sheetName val="PMX_index9"/>
      <sheetName val="2012_AOP_Spain9"/>
      <sheetName val="2012_AOP_Alvalle9"/>
      <sheetName val="2010_AOP_PhII_Spain9"/>
      <sheetName val="Customer_List9"/>
      <sheetName val="Lookups_&amp;_Rules9"/>
      <sheetName val="Ref_sheet_19"/>
      <sheetName val="Seaoning_3"/>
      <sheetName val="PC_93"/>
      <sheetName val="PC_10A3"/>
      <sheetName val="PC_10B3"/>
      <sheetName val="PC_213"/>
      <sheetName val="PC_3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PHIL"/>
      <sheetName val="P&amp;L"/>
      <sheetName val="QTRSUM"/>
      <sheetName val="Sheet4"/>
      <sheetName val="Sheet2"/>
      <sheetName val="Philippines"/>
      <sheetName val="Summary"/>
      <sheetName val="Sheet1"/>
      <sheetName val="P_L"/>
      <sheetName val="97PHILSD"/>
      <sheetName val="Macro Market Trends"/>
      <sheetName val="Macro_Market_Trends"/>
      <sheetName val="Macro_Market_Trends1"/>
      <sheetName val="Macro_Market_Trend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"/>
      <sheetName val="Sum"/>
      <sheetName val="Sum (2)"/>
      <sheetName val="Sum-Tim"/>
      <sheetName val="FPC Vol"/>
      <sheetName val="Q2F-GAP"/>
      <sheetName val="A&amp;M"/>
      <sheetName val="A&amp;M (2)"/>
      <sheetName val="AM-CURVE"/>
      <sheetName val="coch vs. Q2F"/>
      <sheetName val="coch vs. Q2F (2)"/>
      <sheetName val="COCH"/>
      <sheetName val="Sheet1"/>
      <sheetName val="Sheet2"/>
      <sheetName val="PL_IOP"/>
      <sheetName val="PL_TIM"/>
      <sheetName val="PL_AOPII"/>
      <sheetName val="DcRmTb"/>
      <sheetName val="Anal"/>
      <sheetName val="Anal2"/>
      <sheetName val="Break"/>
      <sheetName val="Mat"/>
      <sheetName val="Oil1"/>
      <sheetName val="Oil2"/>
      <sheetName val="Seas"/>
      <sheetName val="Seas2"/>
      <sheetName val="Seas3"/>
      <sheetName val="Film"/>
      <sheetName val="Cart"/>
      <sheetName val="OPP"/>
      <sheetName val="PPB"/>
      <sheetName val="Other"/>
      <sheetName val="PC_LB"/>
      <sheetName val="PG_LB"/>
      <sheetName val="Sales"/>
      <sheetName val="AOP99"/>
      <sheetName val="VOL98"/>
      <sheetName val="Module1"/>
      <sheetName val="Q2F-BK1"/>
      <sheetName val="Master"/>
      <sheetName val="Sum_(2)"/>
      <sheetName val="FPC_Vol"/>
      <sheetName val="A&amp;M_(2)"/>
      <sheetName val="coch_vs__Q2F"/>
      <sheetName val="coch_vs__Q2F_(2)"/>
      <sheetName val="Sum_(2)1"/>
      <sheetName val="FPC_Vol1"/>
      <sheetName val="A&amp;M_(2)1"/>
      <sheetName val="coch_vs__Q2F1"/>
      <sheetName val="coch_vs__Q2F_(2)1"/>
      <sheetName val="Sum_(2)2"/>
      <sheetName val="FPC_Vol2"/>
      <sheetName val="A&amp;M_(2)2"/>
      <sheetName val="coch_vs__Q2F2"/>
      <sheetName val="coch_vs__Q2F_(2)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"/>
      <sheetName val="ITA"/>
      <sheetName val="SumaryOpex"/>
      <sheetName val="IT SUMMARY"/>
      <sheetName val="PLANopex"/>
      <sheetName val="NOMINA"/>
      <sheetName val="NOMINAA"/>
      <sheetName val="Depreciacion"/>
      <sheetName val="286 HR"/>
      <sheetName val="Telephone"/>
      <sheetName val="SCH50"/>
      <sheetName val="SCH102"/>
      <sheetName val="COST ADAYT 30"/>
      <sheetName val="30's-Components"/>
      <sheetName val="ANALISYS"/>
      <sheetName val="GCDKPI-Finance"/>
      <sheetName val="Assumptions"/>
      <sheetName val="Summary 0"/>
      <sheetName val="Summary1"/>
      <sheetName val="Summary2"/>
      <sheetName val="Summary3"/>
      <sheetName val="sch500 plant"/>
      <sheetName val="Expense"/>
      <sheetName val="Headcount"/>
      <sheetName val="VolumeDetail 1"/>
      <sheetName val="HISTORIC VOLUME"/>
      <sheetName val="VolumeDetail 2"/>
      <sheetName val="COGS1_SCH102"/>
      <sheetName val="COGS2_COCSUMMARY"/>
      <sheetName val="COGS3_SCH140"/>
      <sheetName val="SCH200"/>
      <sheetName val="COGS5_SCH201"/>
      <sheetName val="COGS1A"/>
      <sheetName val="OPEX1A_SUMMARY"/>
      <sheetName val="OPEX1B_SUMMARY "/>
      <sheetName val="OPEXSUMMARY-A"/>
      <sheetName val="OPEXSUMMARY-B"/>
      <sheetName val="OPEX3A_SCH500"/>
      <sheetName val="OPEX3B_SCH500"/>
      <sheetName val="OPEX4A_COCSCH502"/>
      <sheetName val="OPEX4B_COCSCH502"/>
      <sheetName val="OPEX5_KEYBUCKETS"/>
      <sheetName val="configuracion"/>
      <sheetName val="OPEX6_HC"/>
      <sheetName val="DIST1_SCH300"/>
      <sheetName val="CAPITAL"/>
      <sheetName val="2005"/>
      <sheetName val="PRODUCTIVITY"/>
      <sheetName val="PRODUCTIVITYSUMMARY"/>
      <sheetName val="Spreadsheet 2004"/>
      <sheetName val="RO"/>
      <sheetName val="FOREX_SCH50"/>
      <sheetName val="CPU"/>
      <sheetName val="OPEX BREAKDOWN TRENDS &amp; KPI's"/>
      <sheetName val="OPEX CONTROL"/>
      <sheetName val="CAPITAL VS. DEPRECIATION"/>
      <sheetName val="SAVINGS"/>
      <sheetName val="Revenue_Constant Currency"/>
      <sheetName val="Revenue_Core USD"/>
      <sheetName val="NOPBT_Constant Currency"/>
      <sheetName val="NOPBT_Core USD"/>
      <sheetName val="Lookup"/>
      <sheetName val="Sheet1"/>
      <sheetName val="IT_SUMMARY"/>
      <sheetName val="286_HR"/>
      <sheetName val="COST_ADAYT_30"/>
      <sheetName val="Summary_0"/>
      <sheetName val="sch500_plant"/>
      <sheetName val="VolumeDetail_1"/>
      <sheetName val="HISTORIC_VOLUME"/>
      <sheetName val="VolumeDetail_2"/>
      <sheetName val="OPEX1B_SUMMARY_"/>
      <sheetName val="Spreadsheet_2004"/>
      <sheetName val="OPEX_BREAKDOWN_TRENDS_&amp;_KPI's"/>
      <sheetName val="OPEX_CONTROL"/>
      <sheetName val="CAPITAL_VS__DEPRECIATION"/>
      <sheetName val="Revenue_Constant_Currency"/>
      <sheetName val="Revenue_Core_USD"/>
      <sheetName val="NOPBT_Constant_Currency"/>
      <sheetName val="NOPBT_Core_USD"/>
      <sheetName val="IT_SUMMARY1"/>
      <sheetName val="286_HR1"/>
      <sheetName val="COST_ADAYT_301"/>
      <sheetName val="Summary_01"/>
      <sheetName val="sch500_plant1"/>
      <sheetName val="VolumeDetail_11"/>
      <sheetName val="HISTORIC_VOLUME1"/>
      <sheetName val="VolumeDetail_21"/>
      <sheetName val="OPEX1B_SUMMARY_1"/>
      <sheetName val="Spreadsheet_20041"/>
      <sheetName val="OPEX_BREAKDOWN_TRENDS_&amp;_KPI's1"/>
      <sheetName val="OPEX_CONTROL1"/>
      <sheetName val="CAPITAL_VS__DEPRECIATION1"/>
      <sheetName val="Revenue_Constant_Currency1"/>
      <sheetName val="Revenue_Core_USD1"/>
      <sheetName val="NOPBT_Constant_Currency1"/>
      <sheetName val="NOPBT_Core_USD1"/>
      <sheetName val="IT_SUMMARY2"/>
      <sheetName val="286_HR2"/>
      <sheetName val="COST_ADAYT_302"/>
      <sheetName val="Summary_02"/>
      <sheetName val="sch500_plant2"/>
      <sheetName val="VolumeDetail_12"/>
      <sheetName val="HISTORIC_VOLUME2"/>
      <sheetName val="VolumeDetail_22"/>
      <sheetName val="OPEX1B_SUMMARY_2"/>
      <sheetName val="Spreadsheet_20042"/>
      <sheetName val="OPEX_BREAKDOWN_TRENDS_&amp;_KPI's2"/>
      <sheetName val="OPEX_CONTROL2"/>
      <sheetName val="CAPITAL_VS__DEPRECIATION2"/>
      <sheetName val="Revenue_Constant_Currency2"/>
      <sheetName val="Revenue_Core_USD2"/>
      <sheetName val="NOPBT_Constant_Currency2"/>
      <sheetName val="NOPBT_Core_USD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 sum"/>
      <sheetName val="adj sum"/>
      <sheetName val="OCF wtg"/>
      <sheetName val="LTIP"/>
      <sheetName val="Consol"/>
      <sheetName val="Detail"/>
      <sheetName val="Historical"/>
      <sheetName val="Consol with Adjustments  (2)"/>
      <sheetName val="Sheet5"/>
      <sheetName val="Readout"/>
      <sheetName val="Lookup"/>
      <sheetName val="Summary-P11"/>
      <sheetName val="Natural Gas retrieve"/>
      <sheetName val="Reconciliation"/>
      <sheetName val="S&amp;D Reclass"/>
      <sheetName val="P11 Act vs LE"/>
      <sheetName val="Other Elim"/>
      <sheetName val="Offline Total"/>
      <sheetName val="Elim by Material"/>
      <sheetName val="SC P&amp;L"/>
      <sheetName val="Sheet1"/>
      <sheetName val="P11 Cork"/>
      <sheetName val="Sheet3"/>
      <sheetName val="C '09 Elim Schedule"/>
      <sheetName val="C '09 Elim Schedule-P11"/>
      <sheetName val="Ess P11"/>
      <sheetName val="Ess AOP"/>
      <sheetName val="Volume Impact by Function"/>
      <sheetName val="Volume"/>
      <sheetName val="SLCD"/>
      <sheetName val="BExRepositorySheet"/>
      <sheetName val="Datascore"/>
      <sheetName val="Instructions"/>
      <sheetName val="Hyperion"/>
      <sheetName val="objective 1"/>
      <sheetName val="objective 2"/>
      <sheetName val="Title"/>
      <sheetName val="Objective"/>
      <sheetName val="Objective (2)"/>
      <sheetName val="Exec Sum Cover"/>
      <sheetName val="BAICWATCH OUTs"/>
      <sheetName val="BSWatch Outs"/>
      <sheetName val="Reserve Summary"/>
      <sheetName val="BIWatchOuts"/>
      <sheetName val="process review tracking"/>
      <sheetName val="Audit"/>
      <sheetName val="Audit(2)"/>
      <sheetName val="P&amp;L"/>
      <sheetName val="SumBS"/>
      <sheetName val="Cash Flows"/>
      <sheetName val="Detail Cover"/>
      <sheetName val="Hyp Structure "/>
      <sheetName val="Audit (2)"/>
      <sheetName val="CC&amp;STInv"/>
      <sheetName val="Trade Receivables"/>
      <sheetName val="Rx-MT-Wh"/>
      <sheetName val="FOBO's AR"/>
      <sheetName val="DTS-DSD"/>
      <sheetName val="N&amp;OAR"/>
      <sheetName val="Inventories"/>
      <sheetName val="Inventories_CSD"/>
      <sheetName val="Inventories_AGING"/>
      <sheetName val="Agro"/>
      <sheetName val="agro tables"/>
      <sheetName val="PP&amp;OtherA"/>
      <sheetName val="Capex&amp;FA"/>
      <sheetName val="GW&amp;OtherInt"/>
      <sheetName val="Intercompany"/>
      <sheetName val="PepsiCo Affiliated Balances"/>
      <sheetName val="Acct Payable"/>
      <sheetName val="AL&amp;OLTL"/>
      <sheetName val="Accruals details"/>
      <sheetName val="fobo marketing accruals"/>
      <sheetName val="tax"/>
      <sheetName val="Debt &amp; Equity"/>
      <sheetName val="NAB ROIC"/>
      <sheetName val="Guidance"/>
      <sheetName val="KPI Input"/>
      <sheetName val="KPI's P8 actual"/>
      <sheetName val="KPI's P13 prior1"/>
      <sheetName val="KPI's P8 prior1"/>
      <sheetName val="KPI definitions"/>
      <sheetName val="OFCF definitions"/>
      <sheetName val="SABU P&amp;L"/>
      <sheetName val="C98 Plan"/>
      <sheetName val="2003 Frcst"/>
      <sheetName val=""/>
      <sheetName val="basic_sum"/>
      <sheetName val="adj_sum"/>
      <sheetName val="OCF_wtg"/>
      <sheetName val="Consol_with_Adjustments__(2)"/>
      <sheetName val="Natural_Gas_retrieve"/>
      <sheetName val="S&amp;D_Reclass"/>
      <sheetName val="P11_Act_vs_LE"/>
      <sheetName val="Other_Elim"/>
      <sheetName val="Offline_Total"/>
      <sheetName val="Elim_by_Material"/>
      <sheetName val="SC_P&amp;L"/>
      <sheetName val="P11_Cork"/>
      <sheetName val="C_'09_Elim_Schedule"/>
      <sheetName val="C_'09_Elim_Schedule-P11"/>
      <sheetName val="Ess_P11"/>
      <sheetName val="Ess_AOP"/>
      <sheetName val="Volume_Impact_by_Function"/>
      <sheetName val="objective_1"/>
      <sheetName val="objective_2"/>
      <sheetName val="Objective_(2)"/>
      <sheetName val="Exec_Sum_Cover"/>
      <sheetName val="BAICWATCH_OUTs"/>
      <sheetName val="BSWatch_Outs"/>
      <sheetName val="Reserve_Summary"/>
      <sheetName val="process_review_tracking"/>
      <sheetName val="Cash_Flows"/>
      <sheetName val="Detail_Cover"/>
      <sheetName val="Hyp_Structure_"/>
      <sheetName val="Audit_(2)"/>
      <sheetName val="Trade_Receivables"/>
      <sheetName val="FOBO's_AR"/>
      <sheetName val="agro_tables"/>
      <sheetName val="PepsiCo_Affiliated_Balances"/>
      <sheetName val="Acct_Payable"/>
      <sheetName val="Accruals_details"/>
      <sheetName val="fobo_marketing_accruals"/>
      <sheetName val="Debt_&amp;_Equity"/>
      <sheetName val="NAB_ROIC"/>
      <sheetName val="KPI_Input"/>
      <sheetName val="KPI's_P8_actual"/>
      <sheetName val="KPI's_P13_prior1"/>
      <sheetName val="KPI's_P8_prior1"/>
      <sheetName val="KPI_definitions"/>
      <sheetName val="OFCF_definitions"/>
      <sheetName val="SABU_P&amp;L"/>
      <sheetName val="C98_Plan"/>
      <sheetName val="2003_Frcst"/>
      <sheetName val="driver"/>
      <sheetName val="OCF Change"/>
      <sheetName val="Sheet2"/>
      <sheetName val="basic_sum1"/>
      <sheetName val="adj_sum1"/>
      <sheetName val="OCF_wtg1"/>
      <sheetName val="Consol_with_Adjustments__(2)1"/>
      <sheetName val="Natural_Gas_retrieve1"/>
      <sheetName val="S&amp;D_Reclass1"/>
      <sheetName val="P11_Act_vs_LE1"/>
      <sheetName val="Other_Elim1"/>
      <sheetName val="Offline_Total1"/>
      <sheetName val="Elim_by_Material1"/>
      <sheetName val="SC_P&amp;L1"/>
      <sheetName val="P11_Cork1"/>
      <sheetName val="C_'09_Elim_Schedule1"/>
      <sheetName val="C_'09_Elim_Schedule-P111"/>
      <sheetName val="Ess_P111"/>
      <sheetName val="Ess_AOP1"/>
      <sheetName val="Volume_Impact_by_Function1"/>
      <sheetName val="objective_11"/>
      <sheetName val="objective_21"/>
      <sheetName val="Objective_(2)1"/>
      <sheetName val="Exec_Sum_Cover1"/>
      <sheetName val="BAICWATCH_OUTs1"/>
      <sheetName val="BSWatch_Outs1"/>
      <sheetName val="Reserve_Summary1"/>
      <sheetName val="process_review_tracking1"/>
      <sheetName val="Cash_Flows1"/>
      <sheetName val="Detail_Cover1"/>
      <sheetName val="Hyp_Structure_1"/>
      <sheetName val="Audit_(2)1"/>
      <sheetName val="Trade_Receivables1"/>
      <sheetName val="FOBO's_AR1"/>
      <sheetName val="agro_tables1"/>
      <sheetName val="PepsiCo_Affiliated_Balances1"/>
      <sheetName val="Acct_Payable1"/>
      <sheetName val="Accruals_details1"/>
      <sheetName val="fobo_marketing_accruals1"/>
      <sheetName val="Debt_&amp;_Equity1"/>
      <sheetName val="NAB_ROIC1"/>
      <sheetName val="KPI_Input1"/>
      <sheetName val="KPI's_P8_actual1"/>
      <sheetName val="KPI's_P13_prior11"/>
      <sheetName val="KPI's_P8_prior11"/>
      <sheetName val="KPI_definitions1"/>
      <sheetName val="OFCF_definitions1"/>
      <sheetName val="SABU_P&amp;L1"/>
      <sheetName val="C98_Plan1"/>
      <sheetName val="2003_Frcst1"/>
      <sheetName val="OCF_Change"/>
      <sheetName val="basic_sum2"/>
      <sheetName val="adj_sum2"/>
      <sheetName val="OCF_wtg2"/>
      <sheetName val="Consol_with_Adjustments__(2)2"/>
      <sheetName val="Natural_Gas_retrieve2"/>
      <sheetName val="S&amp;D_Reclass2"/>
      <sheetName val="P11_Act_vs_LE2"/>
      <sheetName val="Other_Elim2"/>
      <sheetName val="Offline_Total2"/>
      <sheetName val="Elim_by_Material2"/>
      <sheetName val="SC_P&amp;L2"/>
      <sheetName val="P11_Cork2"/>
      <sheetName val="C_'09_Elim_Schedule2"/>
      <sheetName val="C_'09_Elim_Schedule-P112"/>
      <sheetName val="Ess_P112"/>
      <sheetName val="Ess_AOP2"/>
      <sheetName val="Volume_Impact_by_Function2"/>
      <sheetName val="objective_12"/>
      <sheetName val="objective_22"/>
      <sheetName val="Objective_(2)2"/>
      <sheetName val="Exec_Sum_Cover2"/>
      <sheetName val="BAICWATCH_OUTs2"/>
      <sheetName val="BSWatch_Outs2"/>
      <sheetName val="Reserve_Summary2"/>
      <sheetName val="process_review_tracking2"/>
      <sheetName val="Cash_Flows2"/>
      <sheetName val="Detail_Cover2"/>
      <sheetName val="Hyp_Structure_2"/>
      <sheetName val="Audit_(2)2"/>
      <sheetName val="Trade_Receivables2"/>
      <sheetName val="FOBO's_AR2"/>
      <sheetName val="agro_tables2"/>
      <sheetName val="PepsiCo_Affiliated_Balances2"/>
      <sheetName val="Acct_Payable2"/>
      <sheetName val="Accruals_details2"/>
      <sheetName val="fobo_marketing_accruals2"/>
      <sheetName val="Debt_&amp;_Equity2"/>
      <sheetName val="NAB_ROIC2"/>
      <sheetName val="KPI_Input2"/>
      <sheetName val="KPI's_P8_actual2"/>
      <sheetName val="KPI's_P13_prior12"/>
      <sheetName val="KPI's_P8_prior12"/>
      <sheetName val="KPI_definitions2"/>
      <sheetName val="OFCF_definitions2"/>
      <sheetName val="SABU_P&amp;L2"/>
      <sheetName val="C98_Plan2"/>
      <sheetName val="2003_Frcst2"/>
      <sheetName val="OCF_Change1"/>
      <sheetName val="basic_sum3"/>
      <sheetName val="adj_sum3"/>
      <sheetName val="OCF_wtg3"/>
      <sheetName val="Consol_with_Adjustments__(2)3"/>
      <sheetName val="Natural_Gas_retrieve3"/>
      <sheetName val="S&amp;D_Reclass3"/>
      <sheetName val="P11_Act_vs_LE3"/>
      <sheetName val="Other_Elim3"/>
      <sheetName val="Offline_Total3"/>
      <sheetName val="Elim_by_Material3"/>
      <sheetName val="SC_P&amp;L3"/>
      <sheetName val="P11_Cork3"/>
      <sheetName val="C_'09_Elim_Schedule3"/>
      <sheetName val="C_'09_Elim_Schedule-P113"/>
      <sheetName val="Ess_P113"/>
      <sheetName val="Ess_AOP3"/>
      <sheetName val="Volume_Impact_by_Function3"/>
      <sheetName val="objective_13"/>
      <sheetName val="objective_23"/>
      <sheetName val="Objective_(2)3"/>
      <sheetName val="Exec_Sum_Cover3"/>
      <sheetName val="BAICWATCH_OUTs3"/>
      <sheetName val="BSWatch_Outs3"/>
      <sheetName val="Reserve_Summary3"/>
      <sheetName val="process_review_tracking3"/>
      <sheetName val="Cash_Flows3"/>
      <sheetName val="Detail_Cover3"/>
      <sheetName val="Hyp_Structure_3"/>
      <sheetName val="Audit_(2)3"/>
      <sheetName val="Trade_Receivables3"/>
      <sheetName val="FOBO's_AR3"/>
      <sheetName val="agro_tables3"/>
      <sheetName val="PepsiCo_Affiliated_Balances3"/>
      <sheetName val="Acct_Payable3"/>
      <sheetName val="Accruals_details3"/>
      <sheetName val="fobo_marketing_accruals3"/>
      <sheetName val="Debt_&amp;_Equity3"/>
      <sheetName val="NAB_ROIC3"/>
      <sheetName val="KPI_Input3"/>
      <sheetName val="KPI's_P8_actual3"/>
      <sheetName val="KPI's_P13_prior13"/>
      <sheetName val="KPI's_P8_prior13"/>
      <sheetName val="KPI_definitions3"/>
      <sheetName val="OFCF_definitions3"/>
      <sheetName val="SABU_P&amp;L3"/>
      <sheetName val="C98_Plan3"/>
      <sheetName val="2003_Frcst3"/>
      <sheetName val="OCF_Change2"/>
      <sheetName val="basic_sum4"/>
      <sheetName val="adj_sum4"/>
      <sheetName val="OCF_wtg4"/>
      <sheetName val="Consol_with_Adjustments__(2)4"/>
      <sheetName val="Natural_Gas_retrieve4"/>
      <sheetName val="S&amp;D_Reclass4"/>
      <sheetName val="P11_Act_vs_LE4"/>
      <sheetName val="Other_Elim4"/>
      <sheetName val="Offline_Total4"/>
      <sheetName val="Elim_by_Material4"/>
      <sheetName val="SC_P&amp;L4"/>
      <sheetName val="P11_Cork4"/>
      <sheetName val="C_'09_Elim_Schedule4"/>
      <sheetName val="C_'09_Elim_Schedule-P114"/>
      <sheetName val="Ess_P114"/>
      <sheetName val="Ess_AOP4"/>
      <sheetName val="Volume_Impact_by_Function4"/>
      <sheetName val="objective_14"/>
      <sheetName val="objective_24"/>
      <sheetName val="Objective_(2)4"/>
      <sheetName val="Exec_Sum_Cover4"/>
      <sheetName val="BAICWATCH_OUTs4"/>
      <sheetName val="BSWatch_Outs4"/>
      <sheetName val="Reserve_Summary4"/>
      <sheetName val="process_review_tracking4"/>
      <sheetName val="Cash_Flows4"/>
      <sheetName val="Detail_Cover4"/>
      <sheetName val="Hyp_Structure_4"/>
      <sheetName val="Audit_(2)4"/>
      <sheetName val="Trade_Receivables4"/>
      <sheetName val="FOBO's_AR4"/>
      <sheetName val="agro_tables4"/>
      <sheetName val="PepsiCo_Affiliated_Balances4"/>
      <sheetName val="Acct_Payable4"/>
      <sheetName val="Accruals_details4"/>
      <sheetName val="fobo_marketing_accruals4"/>
      <sheetName val="Debt_&amp;_Equity4"/>
      <sheetName val="NAB_ROIC4"/>
      <sheetName val="KPI_Input4"/>
      <sheetName val="KPI's_P8_actual4"/>
      <sheetName val="KPI's_P13_prior14"/>
      <sheetName val="KPI's_P8_prior14"/>
      <sheetName val="KPI_definitions4"/>
      <sheetName val="OFCF_definitions4"/>
      <sheetName val="SABU_P&amp;L4"/>
      <sheetName val="C98_Plan4"/>
      <sheetName val="2003_Frcst4"/>
      <sheetName val="OCF_Change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"/>
      <sheetName val="ITA"/>
      <sheetName val="SumaryOpex"/>
      <sheetName val="IT SUMMARY"/>
      <sheetName val="PLANopex"/>
      <sheetName val="NOMINA"/>
      <sheetName val="NOMINAA"/>
      <sheetName val="Depreciacion"/>
      <sheetName val="286 HR"/>
      <sheetName val="Telephone"/>
      <sheetName val="SCH50"/>
      <sheetName val="SCH102"/>
      <sheetName val="COST ADAYT 30"/>
      <sheetName val="30's-Components"/>
      <sheetName val="ANALISYS"/>
      <sheetName val="GCDKPI-Finance"/>
      <sheetName val="Assumptions"/>
      <sheetName val="Summary 0"/>
      <sheetName val="Summary1"/>
      <sheetName val="Summary2"/>
      <sheetName val="Summary3"/>
      <sheetName val="sch500 plant"/>
      <sheetName val="Expense"/>
      <sheetName val="Headcount"/>
      <sheetName val="VolumeDetail 1"/>
      <sheetName val="HISTORIC VOLUME"/>
      <sheetName val="VolumeDetail 2"/>
      <sheetName val="COGS1_SCH102"/>
      <sheetName val="COGS2_COCSUMMARY"/>
      <sheetName val="COGS3_SCH140"/>
      <sheetName val="SCH200"/>
      <sheetName val="COGS5_SCH201"/>
      <sheetName val="COGS1A"/>
      <sheetName val="OPEX1A_SUMMARY"/>
      <sheetName val="OPEX1B_SUMMARY "/>
      <sheetName val="OPEXSUMMARY-A"/>
      <sheetName val="OPEXSUMMARY-B"/>
      <sheetName val="OPEX3A_SCH500"/>
      <sheetName val="OPEX3B_SCH500"/>
      <sheetName val="OPEX4A_COCSCH502"/>
      <sheetName val="OPEX4B_COCSCH502"/>
      <sheetName val="OPEX5_KEYBUCKETS"/>
      <sheetName val="configuracion"/>
      <sheetName val="OPEX6_HC"/>
      <sheetName val="DIST1_SCH300"/>
      <sheetName val="CAPITAL"/>
      <sheetName val="2005"/>
      <sheetName val="PRODUCTIVITY"/>
      <sheetName val="PRODUCTIVITYSUMMARY"/>
      <sheetName val="Spreadsheet 2004"/>
      <sheetName val="RO"/>
      <sheetName val="FOREX_SCH50"/>
      <sheetName val="CPU"/>
      <sheetName val="OPEX BREAKDOWN TRENDS &amp; KPI's"/>
      <sheetName val="OPEX CONTROL"/>
      <sheetName val="CAPITAL VS. DEPRECIATION"/>
      <sheetName val="SAVINGS"/>
      <sheetName val="Revenue_Constant Currency"/>
      <sheetName val="Revenue_Core USD"/>
      <sheetName val="NOPBT_Constant Currency"/>
      <sheetName val="NOPBT_Core USD"/>
      <sheetName val="Lookup"/>
      <sheetName val="#REF"/>
      <sheetName val="Sheet2"/>
      <sheetName val="Blue Sheet"/>
      <sheetName val="2011 Rates"/>
      <sheetName val="2012 Rates"/>
      <sheetName val="2013 Rates"/>
      <sheetName val="TRIAL_BAL"/>
      <sheetName val="INPUT"/>
      <sheetName val="Price_Act13"/>
      <sheetName val="Cover"/>
      <sheetName val="2011 FCST Spain"/>
      <sheetName val="2012 AOP Spain"/>
      <sheetName val="IT_SUMMARY"/>
      <sheetName val="286_HR"/>
      <sheetName val="COST_ADAYT_30"/>
      <sheetName val="Summary_0"/>
      <sheetName val="sch500_plant"/>
      <sheetName val="VolumeDetail_1"/>
      <sheetName val="HISTORIC_VOLUME"/>
      <sheetName val="VolumeDetail_2"/>
      <sheetName val="OPEX1B_SUMMARY_"/>
      <sheetName val="Spreadsheet_2004"/>
      <sheetName val="OPEX_BREAKDOWN_TRENDS_&amp;_KPI's"/>
      <sheetName val="OPEX_CONTROL"/>
      <sheetName val="CAPITAL_VS__DEPRECIATION"/>
      <sheetName val="Revenue_Constant_Currency"/>
      <sheetName val="Revenue_Core_USD"/>
      <sheetName val="NOPBT_Constant_Currency"/>
      <sheetName val="NOPBT_Core_USD"/>
      <sheetName val="Blue_Sheet"/>
      <sheetName val="2011_Rates"/>
      <sheetName val="2012_Rates"/>
      <sheetName val="2013_Rates"/>
      <sheetName val="P&amp;L"/>
      <sheetName val="PLPHIL"/>
      <sheetName val="Validation Rules"/>
      <sheetName val="Control"/>
      <sheetName val="Ref"/>
      <sheetName val="P&amp;L(S1)"/>
      <sheetName val="South"/>
      <sheetName val="input data"/>
      <sheetName val="2002P-BU"/>
      <sheetName val="RMB"/>
      <sheetName val="Sum"/>
      <sheetName val="Sheet1"/>
      <sheetName val="AOP05 V1A"/>
      <sheetName val="Local"/>
      <sheetName val="Exp type list"/>
      <sheetName val="IT_SUMMARY1"/>
      <sheetName val="286_HR1"/>
      <sheetName val="COST_ADAYT_301"/>
      <sheetName val="Summary_01"/>
      <sheetName val="sch500_plant1"/>
      <sheetName val="VolumeDetail_11"/>
      <sheetName val="HISTORIC_VOLUME1"/>
      <sheetName val="VolumeDetail_21"/>
      <sheetName val="OPEX1B_SUMMARY_1"/>
      <sheetName val="Spreadsheet_20041"/>
      <sheetName val="OPEX_BREAKDOWN_TRENDS_&amp;_KPI's1"/>
      <sheetName val="OPEX_CONTROL1"/>
      <sheetName val="CAPITAL_VS__DEPRECIATION1"/>
      <sheetName val="Revenue_Constant_Currency1"/>
      <sheetName val="Revenue_Core_USD1"/>
      <sheetName val="NOPBT_Constant_Currency1"/>
      <sheetName val="NOPBT_Core_USD1"/>
      <sheetName val="Blue_Sheet1"/>
      <sheetName val="2011_Rates1"/>
      <sheetName val="2012_Rates1"/>
      <sheetName val="2013_Rates1"/>
      <sheetName val="2011_FCST_Spain"/>
      <sheetName val="2012_AOP_Spain"/>
      <sheetName val="Validation_Rules"/>
      <sheetName val="input_data"/>
      <sheetName val="AOP05_V1A"/>
      <sheetName val="Exp_type_list"/>
      <sheetName val="IT_SUMMARY2"/>
      <sheetName val="286_HR2"/>
      <sheetName val="COST_ADAYT_302"/>
      <sheetName val="Summary_02"/>
      <sheetName val="sch500_plant2"/>
      <sheetName val="VolumeDetail_12"/>
      <sheetName val="HISTORIC_VOLUME2"/>
      <sheetName val="VolumeDetail_22"/>
      <sheetName val="OPEX1B_SUMMARY_2"/>
      <sheetName val="Spreadsheet_20042"/>
      <sheetName val="OPEX_BREAKDOWN_TRENDS_&amp;_KPI's2"/>
      <sheetName val="OPEX_CONTROL2"/>
      <sheetName val="CAPITAL_VS__DEPRECIATION2"/>
      <sheetName val="Revenue_Constant_Currency2"/>
      <sheetName val="Revenue_Core_USD2"/>
      <sheetName val="NOPBT_Constant_Currency2"/>
      <sheetName val="NOPBT_Core_USD2"/>
      <sheetName val="Blue_Sheet2"/>
      <sheetName val="2011_Rates2"/>
      <sheetName val="2012_Rates2"/>
      <sheetName val="2013_Rates2"/>
      <sheetName val="2011_FCST_Spain1"/>
      <sheetName val="2012_AOP_Spain1"/>
      <sheetName val="Validation_Rules1"/>
      <sheetName val="input_data1"/>
      <sheetName val="AOP05_V1A1"/>
      <sheetName val="Exp_type_list1"/>
      <sheetName val="IT_SUMMARY3"/>
      <sheetName val="286_HR3"/>
      <sheetName val="COST_ADAYT_303"/>
      <sheetName val="Summary_03"/>
      <sheetName val="sch500_plant3"/>
      <sheetName val="VolumeDetail_13"/>
      <sheetName val="HISTORIC_VOLUME3"/>
      <sheetName val="VolumeDetail_23"/>
      <sheetName val="OPEX1B_SUMMARY_3"/>
      <sheetName val="Spreadsheet_20043"/>
      <sheetName val="OPEX_BREAKDOWN_TRENDS_&amp;_KPI's3"/>
      <sheetName val="OPEX_CONTROL3"/>
      <sheetName val="CAPITAL_VS__DEPRECIATION3"/>
      <sheetName val="Revenue_Constant_Currency3"/>
      <sheetName val="Revenue_Core_USD3"/>
      <sheetName val="NOPBT_Constant_Currency3"/>
      <sheetName val="NOPBT_Core_USD3"/>
      <sheetName val="Blue_Sheet3"/>
      <sheetName val="2011_Rates3"/>
      <sheetName val="2012_Rates3"/>
      <sheetName val="2013_Rates3"/>
      <sheetName val="2011_FCST_Spain2"/>
      <sheetName val="2012_AOP_Spain2"/>
      <sheetName val="Validation_Rules2"/>
      <sheetName val="input_data2"/>
      <sheetName val="AOP05_V1A2"/>
      <sheetName val="Exp_type_list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"/>
      <sheetName val="JanTesco_NCSD"/>
      <sheetName val="JanTesco_CSD"/>
      <sheetName val="Vol_Lotus"/>
      <sheetName val="Inv list"/>
      <sheetName val="Inv_list"/>
      <sheetName val="Inv_list1"/>
      <sheetName val="Inv_list2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 Actual YTD"/>
      <sheetName val="Bev Vol"/>
      <sheetName val="New MC"/>
      <sheetName val="Direct Labor Matrix"/>
      <sheetName val="2013 Brisk PSRA data"/>
      <sheetName val="Trop Team Fcst"/>
      <sheetName val="2013 PL PSRA data"/>
      <sheetName val="PL AOP"/>
      <sheetName val="AOP build"/>
      <sheetName val="Admin"/>
      <sheetName val="06A_06P"/>
      <sheetName val="P&amp;L"/>
      <sheetName val="Screen 5-6"/>
      <sheetName val="COC vs YAG Iberia Foods"/>
      <sheetName val="2016_OneOffs"/>
      <sheetName val="Mapping"/>
      <sheetName val="MEX"/>
      <sheetName val="2031131 as 18 Feb"/>
      <sheetName val="Charts"/>
      <sheetName val="MICAP"/>
      <sheetName val="graph"/>
      <sheetName val="RTE"/>
      <sheetName val="СГП"/>
      <sheetName val="HP_Actual_YTD"/>
      <sheetName val="Bev_Vol"/>
      <sheetName val="New_MC"/>
      <sheetName val="Direct_Labor_Matrix"/>
      <sheetName val="2013_Brisk_PSRA_data"/>
      <sheetName val="Trop_Team_Fcst"/>
      <sheetName val="2013_PL_PSRA_data"/>
      <sheetName val="PL_AOP"/>
      <sheetName val="AOP_build"/>
      <sheetName val="Screen_5-6"/>
      <sheetName val="COC_vs_YAG_Iberia_Foods"/>
      <sheetName val="2031131_as_18_Feb"/>
      <sheetName val="HP_Actual_YTD1"/>
      <sheetName val="Bev_Vol1"/>
      <sheetName val="New_MC1"/>
      <sheetName val="Direct_Labor_Matrix1"/>
      <sheetName val="2013_Brisk_PSRA_data1"/>
      <sheetName val="Trop_Team_Fcst1"/>
      <sheetName val="2013_PL_PSRA_data1"/>
      <sheetName val="PL_AOP1"/>
      <sheetName val="AOP_build1"/>
      <sheetName val="Screen_5-61"/>
      <sheetName val="COC_vs_YAG_Iberia_Foods1"/>
      <sheetName val="2031131_as_18_Feb1"/>
      <sheetName val="2012 AOP Spain"/>
      <sheetName val="2012 AOP Alvalle"/>
      <sheetName val="2010 AOP PhII Spain"/>
      <sheetName val="HP_Actual_YTD2"/>
      <sheetName val="Bev_Vol2"/>
      <sheetName val="New_MC2"/>
      <sheetName val="Direct_Labor_Matrix2"/>
      <sheetName val="2013_Brisk_PSRA_data2"/>
      <sheetName val="Trop_Team_Fcst2"/>
      <sheetName val="2013_PL_PSRA_data2"/>
      <sheetName val="PL_AOP2"/>
      <sheetName val="AOP_build2"/>
      <sheetName val="Screen_5-62"/>
      <sheetName val="COC_vs_YAG_Iberia_Foods2"/>
      <sheetName val="2031131_as_18_Feb2"/>
      <sheetName val="2012_AOP_Spain"/>
      <sheetName val="2012_AOP_Alvalle"/>
      <sheetName val="2010_AOP_PhII_Sp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 sum"/>
      <sheetName val="adj sum"/>
      <sheetName val="OCF wtg"/>
      <sheetName val="LTIP"/>
      <sheetName val="Consol"/>
      <sheetName val="Detail"/>
      <sheetName val="Historical"/>
      <sheetName val="Consol with Adjustments  (2)"/>
      <sheetName val="Sheet5"/>
      <sheetName val="basic_sum"/>
      <sheetName val="adj_sum"/>
      <sheetName val="OCF_wtg"/>
      <sheetName val="Consol_with_Adjustments__(2)"/>
      <sheetName val="basic_sum1"/>
      <sheetName val="adj_sum1"/>
      <sheetName val="OCF_wtg1"/>
      <sheetName val="Consol_with_Adjustments_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 nfcst_py"/>
      <sheetName val="vfcst_ py"/>
      <sheetName val="rfcst_py"/>
      <sheetName val="afcst_py "/>
      <sheetName val=" nfcst_pln"/>
      <sheetName val="vfcst_pln"/>
      <sheetName val="rfcst_pln"/>
      <sheetName val="afcst_pln"/>
      <sheetName val="cfcst_pln"/>
      <sheetName val="sfcst"/>
      <sheetName val="div"/>
      <sheetName val="_nfcst_py"/>
      <sheetName val="Internal"/>
      <sheetName val="Comp data"/>
      <sheetName val="HP Actual YTD"/>
      <sheetName val="Sheet1 (2)"/>
      <sheetName val="RTE"/>
      <sheetName val="Assumptions"/>
      <sheetName val="Proj Definition Report"/>
      <sheetName val="Oil"/>
      <sheetName val="Roll-up"/>
      <sheetName val="B"/>
      <sheetName val="Ratios"/>
      <sheetName val="C"/>
      <sheetName val="Opt Model"/>
      <sheetName val="195ml"/>
      <sheetName val="SIT Data"/>
      <sheetName val="Puerto Rico"/>
      <sheetName val="vfcst__py"/>
      <sheetName val="afcst_py_"/>
      <sheetName val="_nfcst_pln"/>
      <sheetName val="Screen 5-6"/>
      <sheetName val="stat local"/>
      <sheetName val="drop list"/>
      <sheetName val="P&amp;L"/>
      <sheetName val="1201"/>
      <sheetName val="Unit Displays"/>
      <sheetName val="Lemonade Formula"/>
      <sheetName val="ATF Inventory"/>
      <sheetName val="OCF wtg"/>
      <sheetName val="Detail"/>
      <sheetName val="Historical"/>
      <sheetName val="Sheet5"/>
      <sheetName val="Consol with Adjustments  (2)"/>
      <sheetName val="LTIP"/>
      <sheetName val="Consol"/>
      <sheetName val="_nfcst_py1"/>
      <sheetName val="vfcst__py1"/>
      <sheetName val="afcst_py_1"/>
      <sheetName val="_nfcst_pln1"/>
      <sheetName val="Comp_data"/>
      <sheetName val="HP_Actual_YTD"/>
      <sheetName val="Sheet1_(2)"/>
      <sheetName val="Proj_Definition_Report"/>
      <sheetName val="Opt_Model"/>
      <sheetName val="SIT_Data"/>
      <sheetName val="Puerto_Rico"/>
      <sheetName val="Screen_5-6"/>
      <sheetName val="stat_local"/>
      <sheetName val="drop_list"/>
      <sheetName val="Unit_Displays"/>
      <sheetName val="Lemonade_Formula"/>
      <sheetName val="ATF_Inventory"/>
      <sheetName val="OCF_wtg"/>
      <sheetName val="Consol_with_Adjustments__(2)"/>
      <sheetName val="_nfcst_py2"/>
      <sheetName val="vfcst__py2"/>
      <sheetName val="afcst_py_2"/>
      <sheetName val="_nfcst_pln2"/>
      <sheetName val="Comp_data1"/>
      <sheetName val="HP_Actual_YTD1"/>
      <sheetName val="Sheet1_(2)1"/>
      <sheetName val="Proj_Definition_Report1"/>
      <sheetName val="Opt_Model1"/>
      <sheetName val="SIT_Data1"/>
      <sheetName val="Puerto_Rico1"/>
      <sheetName val="Screen_5-61"/>
      <sheetName val="stat_local1"/>
      <sheetName val="drop_list1"/>
      <sheetName val="Unit_Displays1"/>
      <sheetName val="Lemonade_Formula1"/>
      <sheetName val="ATF_Inventory1"/>
      <sheetName val="OCF_wtg1"/>
      <sheetName val="Consol_with_Adjustments__(2)1"/>
      <sheetName val="_nfcst_py3"/>
      <sheetName val="vfcst__py3"/>
      <sheetName val="afcst_py_3"/>
      <sheetName val="_nfcst_pln3"/>
      <sheetName val="Comp_data2"/>
      <sheetName val="HP_Actual_YTD2"/>
      <sheetName val="Sheet1_(2)2"/>
      <sheetName val="Proj_Definition_Report2"/>
      <sheetName val="Opt_Model2"/>
      <sheetName val="SIT_Data2"/>
      <sheetName val="Puerto_Rico2"/>
      <sheetName val="Screen_5-62"/>
      <sheetName val="stat_local2"/>
      <sheetName val="drop_list2"/>
      <sheetName val="Unit_Displays2"/>
      <sheetName val="Lemonade_Formula2"/>
      <sheetName val="ATF_Inventory2"/>
      <sheetName val="OCF_wtg2"/>
      <sheetName val="Consol_with_Adjustments__(2)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erto Rico"/>
      <sheetName val="Cashflow"/>
      <sheetName val="MUPRDR P&amp;L"/>
      <sheetName val="Dom Rep"/>
      <sheetName val="P&amp;L MONTH $"/>
      <sheetName val="Cost Chart"/>
      <sheetName val="Detail"/>
      <sheetName val=" nfcst_py"/>
      <sheetName val="Sldos"/>
      <sheetName val="START"/>
      <sheetName val="Scen"/>
      <sheetName val="Ctrls"/>
      <sheetName val="Orig Target"/>
      <sheetName val="2005 EX Grodzisk by platform"/>
      <sheetName val="Cover"/>
      <sheetName val="P&amp;L Chart II"/>
      <sheetName val="OFCF Chart"/>
      <sheetName val="COC"/>
      <sheetName val="PCI EPU &amp; LOB PER"/>
      <sheetName val="PCI EPU &amp; LOB YTD"/>
      <sheetName val="PERvsAOP"/>
      <sheetName val="PERvsYago"/>
      <sheetName val="Yago"/>
      <sheetName val="npln"/>
      <sheetName val="Puerto_Rico"/>
      <sheetName val="MUPRDR_P&amp;L"/>
      <sheetName val="Dom_Rep"/>
      <sheetName val="P&amp;L_MONTH_$"/>
      <sheetName val="Reference"/>
      <sheetName val="Balance_Sheet"/>
      <sheetName val="ATF Inventory"/>
      <sheetName val="Demand Planner Forecasts"/>
      <sheetName val="July-05"/>
      <sheetName val="Macro Market Trends"/>
      <sheetName val="Puerto_Rico1"/>
      <sheetName val="MUPRDR_P&amp;L1"/>
      <sheetName val="Dom_Rep1"/>
      <sheetName val="P&amp;L_MONTH_$1"/>
      <sheetName val="Cost_Chart"/>
      <sheetName val="_nfcst_py"/>
      <sheetName val="Orig_Target"/>
      <sheetName val="2005_EX_Grodzisk_by_platform"/>
      <sheetName val="P&amp;L_Chart_II"/>
      <sheetName val="OFCF_Chart"/>
      <sheetName val="PCI_EPU_&amp;_LOB_PER"/>
      <sheetName val="PCI_EPU_&amp;_LOB_YTD"/>
      <sheetName val="ATF_Inventory"/>
      <sheetName val="Demand_Planner_Forecasts"/>
      <sheetName val="Macro_Market_Trends"/>
      <sheetName val="Puerto_Rico2"/>
      <sheetName val="MUPRDR_P&amp;L2"/>
      <sheetName val="Dom_Rep2"/>
      <sheetName val="P&amp;L_MONTH_$2"/>
      <sheetName val="Cost_Chart1"/>
      <sheetName val="_nfcst_py1"/>
      <sheetName val="Orig_Target1"/>
      <sheetName val="2005_EX_Grodzisk_by_platform1"/>
      <sheetName val="P&amp;L_Chart_II1"/>
      <sheetName val="OFCF_Chart1"/>
      <sheetName val="PCI_EPU_&amp;_LOB_PER1"/>
      <sheetName val="PCI_EPU_&amp;_LOB_YTD1"/>
      <sheetName val="ATF_Inventory1"/>
      <sheetName val="Demand_Planner_Forecasts1"/>
      <sheetName val="Macro_Market_Trends1"/>
      <sheetName val="Puerto_Rico3"/>
      <sheetName val="MUPRDR_P&amp;L3"/>
      <sheetName val="Dom_Rep3"/>
      <sheetName val="P&amp;L_MONTH_$3"/>
      <sheetName val="Cost_Chart2"/>
      <sheetName val="_nfcst_py2"/>
      <sheetName val="Orig_Target2"/>
      <sheetName val="2005_EX_Grodzisk_by_platform2"/>
      <sheetName val="P&amp;L_Chart_II2"/>
      <sheetName val="OFCF_Chart2"/>
      <sheetName val="PCI_EPU_&amp;_LOB_PER2"/>
      <sheetName val="PCI_EPU_&amp;_LOB_YTD2"/>
      <sheetName val="ATF_Inventory2"/>
      <sheetName val="Demand_Planner_Forecasts2"/>
      <sheetName val="Macro_Market_Trend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ueba"/>
      <sheetName val="UNITS"/>
      <sheetName val="KILOS"/>
      <sheetName val="malaysia"/>
      <sheetName val="2003 Act"/>
      <sheetName val="?????????? ???????"/>
      <sheetName val=" nfcst_py"/>
      <sheetName val="Printing"/>
      <sheetName val="QTG Annual"/>
      <sheetName val="Sheet1"/>
      <sheetName val="Sheet2"/>
      <sheetName val="graph"/>
      <sheetName val="Reference"/>
      <sheetName val="2003_Act"/>
      <sheetName val="??????????_???????"/>
      <sheetName val="_nfcst_py"/>
      <sheetName val="QTG_Annual"/>
      <sheetName val="OCF wtg"/>
      <sheetName val="2003_Act1"/>
      <sheetName val="??????????_???????1"/>
      <sheetName val="_nfcst_py1"/>
      <sheetName val="QTG_Annual1"/>
      <sheetName val="OCF_wtg"/>
      <sheetName val="2003_Act2"/>
      <sheetName val="??????????_???????2"/>
      <sheetName val="_nfcst_py2"/>
      <sheetName val="QTG_Annual2"/>
      <sheetName val="OCF_wtg1"/>
      <sheetName val="2003_Act3"/>
      <sheetName val="??????????_???????3"/>
      <sheetName val="_nfcst_py3"/>
      <sheetName val="QTG_Annual3"/>
      <sheetName val="OCF_wtg2"/>
      <sheetName val="MTP FCF for PP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10"/>
      <sheetName val="Instructions"/>
      <sheetName val="Detail Plan"/>
      <sheetName val="Funding Source"/>
      <sheetName val="WBS GL Acct Mapping"/>
      <sheetName val="PI IC Entity List"/>
      <sheetName val="Calculo IETU Mensual QMS"/>
      <sheetName val="PAG PROV ISR 2005"/>
      <sheetName val="Key"/>
      <sheetName val="Projects"/>
      <sheetName val="JE"/>
      <sheetName val="NASS"/>
      <sheetName val="Link"/>
      <sheetName val="Data entry"/>
      <sheetName val="Core IT Summary"/>
      <sheetName val="Drop Down Lists"/>
      <sheetName val="QEHS-FCOR CO2 calculator"/>
      <sheetName val="QEHS-FCOR CO2 Boilers"/>
      <sheetName val="prueba"/>
      <sheetName val="Detail_Plan"/>
      <sheetName val="Funding_Source"/>
      <sheetName val="WBS_GL_Acct_Mapping"/>
      <sheetName val="PI_IC_Entity_List"/>
      <sheetName val="Calculo_IETU_Mensual_QMS"/>
      <sheetName val="PAG_PROV_ISR_2005"/>
      <sheetName val="Data_entry"/>
      <sheetName val="Core_IT_Summary"/>
      <sheetName val="Drop_Down_Lists"/>
      <sheetName val="QEHS-FCOR_CO2_calculator"/>
      <sheetName val="QEHS-FCOR_CO2_Boilers"/>
      <sheetName val="Detail_Plan1"/>
      <sheetName val="Funding_Source1"/>
      <sheetName val="WBS_GL_Acct_Mapping1"/>
      <sheetName val="PI_IC_Entity_List1"/>
      <sheetName val="Calculo_IETU_Mensual_QMS1"/>
      <sheetName val="PAG_PROV_ISR_20051"/>
      <sheetName val="Data_entry1"/>
      <sheetName val="Core_IT_Summary1"/>
      <sheetName val="Drop_Down_Lists1"/>
      <sheetName val="QEHS-FCOR_CO2_calculator1"/>
      <sheetName val="QEHS-FCOR_CO2_Boilers1"/>
      <sheetName val="Detail_Plan2"/>
      <sheetName val="Funding_Source2"/>
      <sheetName val="WBS_GL_Acct_Mapping2"/>
      <sheetName val="PI_IC_Entity_List2"/>
      <sheetName val="Calculo_IETU_Mensual_QMS2"/>
      <sheetName val="PAG_PROV_ISR_20052"/>
      <sheetName val="Data_entry2"/>
      <sheetName val="Core_IT_Summary2"/>
      <sheetName val="Drop_Down_Lists2"/>
      <sheetName val="QEHS-FCOR_CO2_calculator2"/>
      <sheetName val="QEHS-FCOR_CO2_Boiler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PHIL"/>
      <sheetName val="P&amp;L"/>
      <sheetName val="QTRSUM"/>
      <sheetName val="Sheet4"/>
      <sheetName val="Sheet2"/>
      <sheetName val="Philippines"/>
      <sheetName val="Summary"/>
      <sheetName val="Sheet1"/>
      <sheetName val="P_L"/>
      <sheetName val="npln"/>
      <sheetName val="A1 Macro Trends"/>
      <sheetName val="Driver"/>
      <sheetName val="2003 Act"/>
      <sheetName val="Input Sheet"/>
      <sheetName val="OCF Change"/>
      <sheetName val="A1_Macro_Trends"/>
      <sheetName val="2003_Act"/>
      <sheetName val="Input_Sheet"/>
      <sheetName val="OCF_Change"/>
      <sheetName val="A1_Macro_Trends1"/>
      <sheetName val="2003_Act1"/>
      <sheetName val="Input_Sheet1"/>
      <sheetName val="OCF_Change1"/>
      <sheetName val="A1_Macro_Trends2"/>
      <sheetName val="2003_Act2"/>
      <sheetName val="Input_Sheet2"/>
      <sheetName val="OCF_Chang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Jap - Sep"/>
      <sheetName val="Oct"/>
      <sheetName val="Lipton"/>
      <sheetName val="Twister"/>
      <sheetName val="2008_Lipton"/>
      <sheetName val="2008_Twister"/>
      <sheetName val="accrued 2008"/>
      <sheetName val="Jap_-_Sep"/>
      <sheetName val="accrued_2008"/>
      <sheetName val="Jap_-_Sep1"/>
      <sheetName val="accrued_20081"/>
      <sheetName val="Jap_-_Sep2"/>
      <sheetName val="accrued_2008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act"/>
      <sheetName val="UAE"/>
      <sheetName val="Jul TB"/>
      <sheetName val="Pre"/>
      <sheetName val="Accrual"/>
      <sheetName val="July"/>
      <sheetName val="BS"/>
      <sheetName val="SL GL Status"/>
      <sheetName val="TB0106"/>
      <sheetName val="$M"/>
      <sheetName val="June"/>
      <sheetName val="Financial Forms"/>
      <sheetName val="tp exchange"/>
      <sheetName val="Total"/>
      <sheetName val="Jul_TB"/>
      <sheetName val="SL_GL_Status"/>
      <sheetName val="Financial_Forms"/>
      <sheetName val="tp_exchange"/>
      <sheetName val="Jul_TB1"/>
      <sheetName val="SL_GL_Status1"/>
      <sheetName val="Financial_Forms1"/>
      <sheetName val="tp_exchange1"/>
      <sheetName val="Jul_TB2"/>
      <sheetName val="SL_GL_Status2"/>
      <sheetName val="Financial_Forms2"/>
      <sheetName val="tp_exchang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TB"/>
      <sheetName val="Supports-GAAP"/>
      <sheetName val="Pivot"/>
      <sheetName val="P&amp;L Data"/>
      <sheetName val="BS Data"/>
      <sheetName val="Index"/>
      <sheetName val="P&amp;L_Data"/>
      <sheetName val="BS_Data"/>
      <sheetName val="P&amp;L_Data1"/>
      <sheetName val="BS_Data1"/>
      <sheetName val="P&amp;L_Data2"/>
      <sheetName val="BS_Dat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argins"/>
      <sheetName val="Vol_1"/>
      <sheetName val="Vol_2"/>
      <sheetName val="P&amp;L_LC"/>
      <sheetName val="Sales"/>
      <sheetName val="Innov_1"/>
      <sheetName val="Value"/>
      <sheetName val="PC Plan"/>
      <sheetName val="SOM"/>
      <sheetName val="P&amp;L_US"/>
      <sheetName val="Q1_Outlook"/>
      <sheetName val="COCH_YAG"/>
      <sheetName val="COCH_AOP"/>
      <sheetName val="INPUT"/>
      <sheetName val="Data LC"/>
      <sheetName val="Data US"/>
      <sheetName val="Brand"/>
      <sheetName val="Pepsi Tanks"/>
      <sheetName val="Key Inputs"/>
      <sheetName val="Assumptions"/>
      <sheetName val="Pivot Table"/>
      <sheetName val="health_ind"/>
      <sheetName val="Current Offerings - cs 4-15"/>
      <sheetName val="P&amp;L"/>
      <sheetName val="PLPHIL"/>
      <sheetName val="W210"/>
      <sheetName val="I2. Masters"/>
      <sheetName val="OP"/>
      <sheetName val="feb march dump"/>
      <sheetName val="PC_Plan"/>
      <sheetName val="Data_LC"/>
      <sheetName val="Data_US"/>
      <sheetName val="Pepsi_Tanks"/>
      <sheetName val="Key_Inputs"/>
      <sheetName val="Pivot_Table"/>
      <sheetName val="Current_Offerings_-_cs_4-15"/>
      <sheetName val="I2__Masters"/>
      <sheetName val="feb_march_dump"/>
      <sheetName val="PC_Plan1"/>
      <sheetName val="Data_LC1"/>
      <sheetName val="Data_US1"/>
      <sheetName val="Pepsi_Tanks1"/>
      <sheetName val="Key_Inputs1"/>
      <sheetName val="Pivot_Table1"/>
      <sheetName val="Current_Offerings_-_cs_4-151"/>
      <sheetName val="I2__Masters1"/>
      <sheetName val="feb_march_dump1"/>
      <sheetName val="PC_Plan2"/>
      <sheetName val="Data_LC2"/>
      <sheetName val="Data_US2"/>
      <sheetName val="Pepsi_Tanks2"/>
      <sheetName val="Key_Inputs2"/>
      <sheetName val="Pivot_Table2"/>
      <sheetName val="Current_Offerings_-_cs_4-152"/>
      <sheetName val="I2__Masters2"/>
      <sheetName val="feb_march_dump2"/>
      <sheetName val="F07"/>
      <sheetName val="Detalle"/>
      <sheetName val="CATASTRO FUNCIONARIO"/>
      <sheetName val="Proposta"/>
      <sheetName val="Filtrado"/>
      <sheetName val="Hoja1"/>
      <sheetName val="PROYEC. DE VENTAS"/>
      <sheetName val="P&amp;L Chart II"/>
      <sheetName val="OFCF Chart"/>
      <sheetName val="COC"/>
      <sheetName val="PCI EPU &amp; LOB PER"/>
      <sheetName val="PCI EPU &amp; LOB YTD"/>
      <sheetName val="PERvsAOP"/>
      <sheetName val="PERvsYago"/>
      <sheetName val="Menu"/>
      <sheetName val="ExtraA"/>
      <sheetName val="ExtraB"/>
      <sheetName val="Resumen"/>
      <sheetName val="dados"/>
      <sheetName val="Dolares"/>
      <sheetName val="OCF wtg"/>
      <sheetName val="96MO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7">
          <cell r="D7" t="str">
            <v>Brazil</v>
          </cell>
        </row>
        <row r="9">
          <cell r="D9" t="str">
            <v>FQT0500T</v>
          </cell>
        </row>
        <row r="10">
          <cell r="D10" t="str">
            <v>FQT0500F</v>
          </cell>
        </row>
        <row r="17">
          <cell r="D17" t="str">
            <v>M Tons / MM</v>
          </cell>
          <cell r="E17">
            <v>1000000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Sheet1"/>
      <sheetName val="Domestic"/>
      <sheetName val="Overseas"/>
      <sheetName val="Vech_Runing"/>
      <sheetName val="Vech_Rent"/>
      <sheetName val="Communication"/>
      <sheetName val="Insurance"/>
      <sheetName val="Third party SPC"/>
      <sheetName val="Domestic."/>
      <sheetName val="Business meeting"/>
      <sheetName val="Postage"/>
      <sheetName val="Office suply "/>
      <sheetName val="Stationary"/>
      <sheetName val="Audit fee"/>
      <sheetName val="Account service"/>
      <sheetName val="Bank charge"/>
      <sheetName val="Due Membership"/>
      <sheetName val="Film "/>
      <sheetName val="Rental"/>
      <sheetName val="Legal"/>
      <sheetName val="Member"/>
      <sheetName val="Instruc."/>
      <sheetName val="Capex"/>
      <sheetName val="Depre"/>
      <sheetName val="Waste-remove"/>
      <sheetName val="Bill Collection"/>
      <sheetName val="Other Service"/>
      <sheetName val="Domestic1"/>
      <sheetName val="Oversea1"/>
      <sheetName val="Veh-running"/>
      <sheetName val="Vehicle-running"/>
      <sheetName val="Vehicle-Rental"/>
      <sheetName val="Entertain"/>
      <sheetName val="Bus Meeting"/>
      <sheetName val="Tel-Fax"/>
      <sheetName val="Sliceblade"/>
      <sheetName val="Backup-sliceblade"/>
      <sheetName val="Supplies-Cleaning"/>
      <sheetName val="Backup-cleaning"/>
      <sheetName val="Supplies-Safety"/>
      <sheetName val="Backing-Safety"/>
      <sheetName val="Supplies-Office"/>
      <sheetName val="Rental-MC."/>
      <sheetName val="Stationery"/>
      <sheetName val="Prining Form"/>
      <sheetName val="Backup-printing"/>
      <sheetName val="Sample"/>
      <sheetName val="Variable"/>
      <sheetName val="Elec-Var-72"/>
      <sheetName val="Elec-Fixed-54"/>
      <sheetName val="LPG"/>
      <sheetName val="Water"/>
      <sheetName val="Fuel&amp;Diesel(1)"/>
      <sheetName val="Fuel&amp;Diesel(2)"/>
      <sheetName val="N2-kg"/>
      <sheetName val="N2-Bag"/>
      <sheetName val="FG Bag"/>
      <sheetName val="Backup-foil"/>
      <sheetName val="R&amp;M EQ"/>
      <sheetName val="Forklift-D5"/>
      <sheetName val="EQ-Tool-Instrument"/>
      <sheetName val="R&amp;M Land"/>
      <sheetName val="Land &amp; Bldg"/>
      <sheetName val="R&amp;M computer"/>
      <sheetName val="R&amp;M Plant mc"/>
      <sheetName val="DATA"/>
      <sheetName val="FORMULATION"/>
      <sheetName val="RESULT"/>
      <sheetName val="film"/>
      <sheetName val="performance (2)"/>
      <sheetName val="FG waste"/>
      <sheetName val="pelletyield"/>
      <sheetName val="Third_party_SPC"/>
      <sheetName val="Domestic_"/>
      <sheetName val="Business_meeting"/>
      <sheetName val="Office_suply_"/>
      <sheetName val="Audit_fee"/>
      <sheetName val="Account_service"/>
      <sheetName val="Bank_charge"/>
      <sheetName val="Due_Membership"/>
      <sheetName val="Film_"/>
      <sheetName val="Instruc_"/>
      <sheetName val="Bill_Collection"/>
      <sheetName val="Other_Service"/>
      <sheetName val="Bus_Meeting"/>
      <sheetName val="Rental-MC_"/>
      <sheetName val="Prining_Form"/>
      <sheetName val="FG_Bag"/>
      <sheetName val="R&amp;M_EQ"/>
      <sheetName val="R&amp;M_Land"/>
      <sheetName val="Land_&amp;_Bldg"/>
      <sheetName val="R&amp;M_computer"/>
      <sheetName val="R&amp;M_Plant_mc"/>
      <sheetName val="performance_(2)"/>
      <sheetName val="FG_waste"/>
      <sheetName val="Sheet2 (2)"/>
      <sheetName val="Puerto Rico"/>
      <sheetName val="Sheet2"/>
      <sheetName val="Disease&amp;Insect"/>
      <sheetName val="Third_party_SPC1"/>
      <sheetName val="Domestic_1"/>
      <sheetName val="Business_meeting1"/>
      <sheetName val="Office_suply_1"/>
      <sheetName val="Audit_fee1"/>
      <sheetName val="Account_service1"/>
      <sheetName val="Bank_charge1"/>
      <sheetName val="Due_Membership1"/>
      <sheetName val="Film_1"/>
      <sheetName val="Instruc_1"/>
      <sheetName val="Bill_Collection1"/>
      <sheetName val="Other_Service1"/>
      <sheetName val="Bus_Meeting1"/>
      <sheetName val="Rental-MC_1"/>
      <sheetName val="Prining_Form1"/>
      <sheetName val="FG_Bag1"/>
      <sheetName val="R&amp;M_EQ1"/>
      <sheetName val="R&amp;M_Land1"/>
      <sheetName val="Land_&amp;_Bldg1"/>
      <sheetName val="R&amp;M_computer1"/>
      <sheetName val="R&amp;M_Plant_mc1"/>
      <sheetName val="performance_(2)1"/>
      <sheetName val="FG_waste1"/>
      <sheetName val="Sheet2_(2)"/>
      <sheetName val="Puerto_Rico"/>
      <sheetName val="REASON"/>
      <sheetName val="Excel_act"/>
      <sheetName val="Legend"/>
      <sheetName val="Third_party_SPC2"/>
      <sheetName val="Domestic_2"/>
      <sheetName val="Business_meeting2"/>
      <sheetName val="Office_suply_2"/>
      <sheetName val="Audit_fee2"/>
      <sheetName val="Account_service2"/>
      <sheetName val="Bank_charge2"/>
      <sheetName val="Due_Membership2"/>
      <sheetName val="Film_2"/>
      <sheetName val="Instruc_2"/>
      <sheetName val="Bill_Collection2"/>
      <sheetName val="Other_Service2"/>
      <sheetName val="Bus_Meeting2"/>
      <sheetName val="Rental-MC_2"/>
      <sheetName val="Prining_Form2"/>
      <sheetName val="FG_Bag2"/>
      <sheetName val="R&amp;M_EQ2"/>
      <sheetName val="R&amp;M_Land2"/>
      <sheetName val="Land_&amp;_Bldg2"/>
      <sheetName val="R&amp;M_computer2"/>
      <sheetName val="R&amp;M_Plant_mc2"/>
      <sheetName val="performance_(2)2"/>
      <sheetName val="FG_waste2"/>
      <sheetName val="Sheet2_(2)1"/>
      <sheetName val="Puerto_Rico1"/>
      <sheetName val="Third_party_SPC3"/>
      <sheetName val="Domestic_3"/>
      <sheetName val="Business_meeting3"/>
      <sheetName val="Office_suply_3"/>
      <sheetName val="Audit_fee3"/>
      <sheetName val="Account_service3"/>
      <sheetName val="Bank_charge3"/>
      <sheetName val="Due_Membership3"/>
      <sheetName val="Film_3"/>
      <sheetName val="Instruc_3"/>
      <sheetName val="Bill_Collection3"/>
      <sheetName val="Other_Service3"/>
      <sheetName val="Bus_Meeting3"/>
      <sheetName val="Rental-MC_3"/>
      <sheetName val="Prining_Form3"/>
      <sheetName val="FG_Bag3"/>
      <sheetName val="R&amp;M_EQ3"/>
      <sheetName val="R&amp;M_Land3"/>
      <sheetName val="Land_&amp;_Bldg3"/>
      <sheetName val="R&amp;M_computer3"/>
      <sheetName val="R&amp;M_Plant_mc3"/>
      <sheetName val="performance_(2)3"/>
      <sheetName val="FG_waste3"/>
      <sheetName val="Sheet2_(2)2"/>
      <sheetName val="Puerto_Rico2"/>
      <sheetName val="Third_party_SPC4"/>
      <sheetName val="Domestic_4"/>
      <sheetName val="Business_meeting4"/>
      <sheetName val="Office_suply_4"/>
      <sheetName val="Audit_fee4"/>
      <sheetName val="Account_service4"/>
      <sheetName val="Bank_charge4"/>
      <sheetName val="Due_Membership4"/>
      <sheetName val="Film_4"/>
      <sheetName val="Instruc_4"/>
      <sheetName val="Bill_Collection4"/>
      <sheetName val="Other_Service4"/>
      <sheetName val="Bus_Meeting4"/>
      <sheetName val="Rental-MC_4"/>
      <sheetName val="Prining_Form4"/>
      <sheetName val="FG_Bag4"/>
      <sheetName val="R&amp;M_EQ4"/>
      <sheetName val="R&amp;M_Land4"/>
      <sheetName val="Land_&amp;_Bldg4"/>
      <sheetName val="R&amp;M_computer4"/>
      <sheetName val="R&amp;M_Plant_mc4"/>
      <sheetName val="performance_(2)4"/>
      <sheetName val="FG_waste4"/>
      <sheetName val="Sheet2_(2)3"/>
      <sheetName val="Puerto_Rico3"/>
      <sheetName val="Third_party_SPC5"/>
      <sheetName val="Domestic_5"/>
      <sheetName val="Business_meeting5"/>
      <sheetName val="Office_suply_5"/>
      <sheetName val="Audit_fee5"/>
      <sheetName val="Account_service5"/>
      <sheetName val="Bank_charge5"/>
      <sheetName val="Due_Membership5"/>
      <sheetName val="Film_5"/>
      <sheetName val="Instruc_5"/>
      <sheetName val="Bill_Collection5"/>
      <sheetName val="Other_Service5"/>
      <sheetName val="Bus_Meeting5"/>
      <sheetName val="Rental-MC_5"/>
      <sheetName val="Prining_Form5"/>
      <sheetName val="FG_Bag5"/>
      <sheetName val="R&amp;M_EQ5"/>
      <sheetName val="R&amp;M_Land5"/>
      <sheetName val="Land_&amp;_Bldg5"/>
      <sheetName val="R&amp;M_computer5"/>
      <sheetName val="R&amp;M_Plant_mc5"/>
      <sheetName val="performance_(2)5"/>
      <sheetName val="FG_waste5"/>
      <sheetName val="Sheet2_(2)4"/>
      <sheetName val="Puerto_Rico4"/>
      <sheetName val="Third_party_SPC6"/>
      <sheetName val="Domestic_6"/>
      <sheetName val="Business_meeting6"/>
      <sheetName val="Office_suply_6"/>
      <sheetName val="Audit_fee6"/>
      <sheetName val="Account_service6"/>
      <sheetName val="Bank_charge6"/>
      <sheetName val="Due_Membership6"/>
      <sheetName val="Film_6"/>
      <sheetName val="Instruc_6"/>
      <sheetName val="Bill_Collection6"/>
      <sheetName val="Other_Service6"/>
      <sheetName val="Bus_Meeting6"/>
      <sheetName val="Rental-MC_6"/>
      <sheetName val="Prining_Form6"/>
      <sheetName val="FG_Bag6"/>
      <sheetName val="R&amp;M_EQ6"/>
      <sheetName val="R&amp;M_Land6"/>
      <sheetName val="Land_&amp;_Bldg6"/>
      <sheetName val="R&amp;M_computer6"/>
      <sheetName val="R&amp;M_Plant_mc6"/>
      <sheetName val="performance_(2)6"/>
      <sheetName val="FG_waste6"/>
      <sheetName val="Sheet2_(2)5"/>
      <sheetName val="Puerto_Rico5"/>
      <sheetName val="Third_party_SPC7"/>
      <sheetName val="Domestic_7"/>
      <sheetName val="Business_meeting7"/>
      <sheetName val="Office_suply_7"/>
      <sheetName val="Audit_fee7"/>
      <sheetName val="Account_service7"/>
      <sheetName val="Bank_charge7"/>
      <sheetName val="Due_Membership7"/>
      <sheetName val="Film_7"/>
      <sheetName val="Instruc_7"/>
      <sheetName val="Bill_Collection7"/>
      <sheetName val="Other_Service7"/>
      <sheetName val="Bus_Meeting7"/>
      <sheetName val="Rental-MC_7"/>
      <sheetName val="Prining_Form7"/>
      <sheetName val="FG_Bag7"/>
      <sheetName val="R&amp;M_EQ7"/>
      <sheetName val="R&amp;M_Land7"/>
      <sheetName val="Land_&amp;_Bldg7"/>
      <sheetName val="R&amp;M_computer7"/>
      <sheetName val="R&amp;M_Plant_mc7"/>
      <sheetName val="performance_(2)7"/>
      <sheetName val="FG_waste7"/>
      <sheetName val="Sheet2_(2)6"/>
      <sheetName val="Puerto_Rico6"/>
      <sheetName val="Third_party_SPC8"/>
      <sheetName val="Domestic_8"/>
      <sheetName val="Business_meeting8"/>
      <sheetName val="Office_suply_8"/>
      <sheetName val="Audit_fee8"/>
      <sheetName val="Account_service8"/>
      <sheetName val="Bank_charge8"/>
      <sheetName val="Due_Membership8"/>
      <sheetName val="Film_8"/>
      <sheetName val="Instruc_8"/>
      <sheetName val="Bill_Collection8"/>
      <sheetName val="Other_Service8"/>
      <sheetName val="Bus_Meeting8"/>
      <sheetName val="Rental-MC_8"/>
      <sheetName val="Prining_Form8"/>
      <sheetName val="FG_Bag8"/>
      <sheetName val="R&amp;M_EQ8"/>
      <sheetName val="R&amp;M_Land8"/>
      <sheetName val="Land_&amp;_Bldg8"/>
      <sheetName val="R&amp;M_computer8"/>
      <sheetName val="R&amp;M_Plant_mc8"/>
      <sheetName val="performance_(2)8"/>
      <sheetName val="FG_waste8"/>
      <sheetName val="Sheet2_(2)7"/>
      <sheetName val="Puerto_Rico7"/>
      <sheetName val="ACT2005"/>
      <sheetName val="ACT2006"/>
      <sheetName val="ASD"/>
      <sheetName val="AOP2006"/>
      <sheetName val="D&amp;A"/>
      <sheetName val="Makro"/>
      <sheetName val="Driver"/>
      <sheetName val="PL"/>
      <sheetName val="DC_Procure"/>
      <sheetName val="WS"/>
      <sheetName val="OCF wtg"/>
      <sheetName val="Volume"/>
      <sheetName val="Third_party_SPC9"/>
      <sheetName val="Domestic_9"/>
      <sheetName val="Business_meeting9"/>
      <sheetName val="Office_suply_9"/>
      <sheetName val="Audit_fee9"/>
      <sheetName val="Account_service9"/>
      <sheetName val="Bank_charge9"/>
      <sheetName val="Due_Membership9"/>
      <sheetName val="Film_9"/>
      <sheetName val="Instruc_9"/>
      <sheetName val="Bill_Collection9"/>
      <sheetName val="Other_Service9"/>
      <sheetName val="Bus_Meeting9"/>
      <sheetName val="Rental-MC_9"/>
      <sheetName val="Prining_Form9"/>
      <sheetName val="FG_Bag9"/>
      <sheetName val="R&amp;M_EQ9"/>
      <sheetName val="R&amp;M_Land9"/>
      <sheetName val="Land_&amp;_Bldg9"/>
      <sheetName val="R&amp;M_computer9"/>
      <sheetName val="R&amp;M_Plant_mc9"/>
      <sheetName val="performance_(2)9"/>
      <sheetName val="FG_waste9"/>
      <sheetName val="Sheet2_(2)8"/>
      <sheetName val="Puerto_Rico8"/>
      <sheetName val="OCF_wt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movement"/>
      <sheetName val="P&amp;L(S2)"/>
      <sheetName val="Vol(Qtr)"/>
      <sheetName val="Vol(BOY)"/>
      <sheetName val="vol(base)"/>
      <sheetName val="2002P-SC"/>
      <sheetName val="2002P-BU"/>
      <sheetName val="2001Avol"/>
      <sheetName val="2000vol"/>
      <sheetName val="P&amp;L(S1)"/>
      <sheetName val="2002result(PBI)"/>
      <sheetName val="2002result(CSD)"/>
      <sheetName val="2002result(FB)"/>
      <sheetName val="2002Mfcst(PBI)"/>
      <sheetName val="P&amp;L(S3)"/>
      <sheetName val="FB-sum"/>
      <sheetName val="P&amp;L(S4)"/>
      <sheetName val="2002Mfcst(CSD)"/>
      <sheetName val="2002Mfcst(FB)"/>
      <sheetName val="2002PPL(PBI)"/>
      <sheetName val="2002PPL(CSD)"/>
      <sheetName val="2002PPL(FB)"/>
      <sheetName val="2001APL(PBI)"/>
      <sheetName val="2001APL(CSD)"/>
      <sheetName val="2001APL(FB)"/>
      <sheetName val="A&amp;M"/>
      <sheetName val="uni"/>
      <sheetName val="JV (RMB)(Summary)"/>
      <sheetName val="JV income"/>
      <sheetName val="JV share $"/>
      <sheetName val="JV (RMB)02result "/>
      <sheetName val="JV (RMB)MFcst"/>
      <sheetName val="JV (RMB)Plan "/>
      <sheetName val="JV (RMB)2001A"/>
      <sheetName val="China JVs"/>
      <sheetName val="JV income(wks)"/>
      <sheetName val="Other i_o"/>
      <sheetName val="CAPEX"/>
      <sheetName val="JV infusion(result)"/>
      <sheetName val="JV infusion(MF)"/>
      <sheetName val="JV infusion (P)"/>
      <sheetName val="CF(direct)"/>
      <sheetName val="2002FCF (Summary)"/>
      <sheetName val="2002FCF (CSDSum)"/>
      <sheetName val="2002ACF(PBI)(check)"/>
      <sheetName val="2002ACF(wks)"/>
      <sheetName val="2002MfcstCF(PBI)"/>
      <sheetName val="2002ACF(CSD)"/>
      <sheetName val="2002MfcstCF(CSD)"/>
      <sheetName val="2002PCF(PBI)"/>
      <sheetName val="2002PCF(CSD)"/>
      <sheetName val="2002PCF(wks)"/>
      <sheetName val="2002PCF(FB)"/>
      <sheetName val="2001 ACF(PBI)"/>
      <sheetName val="2001ACF(CSD)"/>
      <sheetName val="Tax (2)"/>
      <sheetName val="PII"/>
      <sheetName val="Shipment"/>
      <sheetName val="Shipment (MF)"/>
      <sheetName val="Shipment (02P)"/>
      <sheetName val="Shipment(01A)"/>
      <sheetName val="PICL fee"/>
      <sheetName val="FB-COC"/>
      <sheetName val="COC_Plan_Month"/>
      <sheetName val="COC_Plan_Qtr"/>
      <sheetName val="COC_Plan_YTD"/>
      <sheetName val="COC_Prior_Month"/>
      <sheetName val="COC_Prior_Qtr"/>
      <sheetName val="COC_Prior_YTD"/>
      <sheetName val="BU Month vs Plan"/>
      <sheetName val="BU YTD vs Plan "/>
      <sheetName val="BU Month vs Prior"/>
      <sheetName val="BU YTD vs Prior"/>
      <sheetName val="02PlanNAB"/>
      <sheetName val="AOPBS"/>
      <sheetName val="02FcstNAB"/>
      <sheetName val="FcstBS"/>
      <sheetName val="JV_(RMB)(Summary)"/>
      <sheetName val="JV_income"/>
      <sheetName val="JV_share_$"/>
      <sheetName val="JV_(RMB)02result_"/>
      <sheetName val="JV_(RMB)MFcst"/>
      <sheetName val="JV_(RMB)Plan_"/>
      <sheetName val="JV_(RMB)2001A"/>
      <sheetName val="China_JVs"/>
      <sheetName val="JV_income(wks)"/>
      <sheetName val="Other_i_o"/>
      <sheetName val="JV_infusion(result)"/>
      <sheetName val="JV_infusion(MF)"/>
      <sheetName val="JV_infusion_(P)"/>
      <sheetName val="2002FCF_(Summary)"/>
      <sheetName val="2002FCF_(CSDSum)"/>
      <sheetName val="2001_ACF(PBI)"/>
      <sheetName val="Tax_(2)"/>
      <sheetName val="Shipment_(MF)"/>
      <sheetName val="Shipment_(02P)"/>
      <sheetName val="PICL_fee"/>
      <sheetName val="BU_Month_vs_Plan"/>
      <sheetName val="BU_YTD_vs_Plan_"/>
      <sheetName val="BU_Month_vs_Prior"/>
      <sheetName val="BU_YTD_vs_Prior"/>
      <sheetName val="JV_(RMB)(Summary)1"/>
      <sheetName val="JV_income1"/>
      <sheetName val="JV_share_$1"/>
      <sheetName val="JV_(RMB)02result_1"/>
      <sheetName val="JV_(RMB)MFcst1"/>
      <sheetName val="JV_(RMB)Plan_1"/>
      <sheetName val="JV_(RMB)2001A1"/>
      <sheetName val="China_JVs1"/>
      <sheetName val="JV_income(wks)1"/>
      <sheetName val="Other_i_o1"/>
      <sheetName val="JV_infusion(result)1"/>
      <sheetName val="JV_infusion(MF)1"/>
      <sheetName val="JV_infusion_(P)1"/>
      <sheetName val="2002FCF_(Summary)1"/>
      <sheetName val="2002FCF_(CSDSum)1"/>
      <sheetName val="2001_ACF(PBI)1"/>
      <sheetName val="Tax_(2)1"/>
      <sheetName val="Shipment_(MF)1"/>
      <sheetName val="Shipment_(02P)1"/>
      <sheetName val="PICL_fee1"/>
      <sheetName val="BU_Month_vs_Plan1"/>
      <sheetName val="BU_YTD_vs_Plan_1"/>
      <sheetName val="BU_Month_vs_Prior1"/>
      <sheetName val="BU_YTD_vs_Prior1"/>
      <sheetName val="JV_(RMB)(Summary)2"/>
      <sheetName val="JV_income2"/>
      <sheetName val="JV_share_$2"/>
      <sheetName val="JV_(RMB)02result_2"/>
      <sheetName val="JV_(RMB)MFcst2"/>
      <sheetName val="JV_(RMB)Plan_2"/>
      <sheetName val="JV_(RMB)2001A2"/>
      <sheetName val="China_JVs2"/>
      <sheetName val="JV_income(wks)2"/>
      <sheetName val="Other_i_o2"/>
      <sheetName val="JV_infusion(result)2"/>
      <sheetName val="JV_infusion(MF)2"/>
      <sheetName val="JV_infusion_(P)2"/>
      <sheetName val="2002FCF_(Summary)2"/>
      <sheetName val="2002FCF_(CSDSum)2"/>
      <sheetName val="2001_ACF(PBI)2"/>
      <sheetName val="Tax_(2)2"/>
      <sheetName val="Shipment_(MF)2"/>
      <sheetName val="Shipment_(02P)2"/>
      <sheetName val="PICL_fee2"/>
      <sheetName val="BU_Month_vs_Plan2"/>
      <sheetName val="BU_YTD_vs_Plan_2"/>
      <sheetName val="BU_Month_vs_Prior2"/>
      <sheetName val="BU_YTD_vs_Prio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"/>
      <sheetName val="ITA"/>
      <sheetName val="SumaryOpex"/>
      <sheetName val="IT SUMMARY"/>
      <sheetName val="PLANopex"/>
      <sheetName val="NOMINA"/>
      <sheetName val="NOMINAA"/>
      <sheetName val="Depreciacion"/>
      <sheetName val="286 HR"/>
      <sheetName val="Telephone"/>
      <sheetName val="SCH50"/>
      <sheetName val="SCH102"/>
      <sheetName val="COST ADAYT 30"/>
      <sheetName val="30's-Components"/>
      <sheetName val="ANALISYS"/>
      <sheetName val="GCDKPI-Finance"/>
      <sheetName val="Assumptions"/>
      <sheetName val="Summary 0"/>
      <sheetName val="Summary1"/>
      <sheetName val="Summary2"/>
      <sheetName val="Summary3"/>
      <sheetName val="sch500 plant"/>
      <sheetName val="Expense"/>
      <sheetName val="Headcount"/>
      <sheetName val="VolumeDetail 1"/>
      <sheetName val="HISTORIC VOLUME"/>
      <sheetName val="VolumeDetail 2"/>
      <sheetName val="COGS1_SCH102"/>
      <sheetName val="COGS2_COCSUMMARY"/>
      <sheetName val="COGS3_SCH140"/>
      <sheetName val="SCH200"/>
      <sheetName val="COGS5_SCH201"/>
      <sheetName val="COGS1A"/>
      <sheetName val="OPEX1A_SUMMARY"/>
      <sheetName val="OPEX1B_SUMMARY "/>
      <sheetName val="OPEXSUMMARY-A"/>
      <sheetName val="OPEXSUMMARY-B"/>
      <sheetName val="OPEX3A_SCH500"/>
      <sheetName val="OPEX3B_SCH500"/>
      <sheetName val="OPEX4A_COCSCH502"/>
      <sheetName val="OPEX4B_COCSCH502"/>
      <sheetName val="OPEX5_KEYBUCKETS"/>
      <sheetName val="configuracion"/>
      <sheetName val="OPEX6_HC"/>
      <sheetName val="DIST1_SCH300"/>
      <sheetName val="CAPITAL"/>
      <sheetName val="2005"/>
      <sheetName val="PRODUCTIVITY"/>
      <sheetName val="PRODUCTIVITYSUMMARY"/>
      <sheetName val="Spreadsheet 2004"/>
      <sheetName val="RO"/>
      <sheetName val="FOREX_SCH50"/>
      <sheetName val="CPU"/>
      <sheetName val="OPEX BREAKDOWN TRENDS &amp; KPI's"/>
      <sheetName val="OPEX CONTROL"/>
      <sheetName val="CAPITAL VS. DEPRECIATION"/>
      <sheetName val="SAVINGS"/>
      <sheetName val="Revenue_Constant Currency"/>
      <sheetName val="Revenue_Core USD"/>
      <sheetName val="NOPBT_Constant Currency"/>
      <sheetName val="NOPBT_Core USD"/>
      <sheetName val="Lookup"/>
      <sheetName val="#REF"/>
      <sheetName val="Sheet2"/>
      <sheetName val="Blue Sheet"/>
      <sheetName val="2011 Rates"/>
      <sheetName val="2012 Rates"/>
      <sheetName val="2013 Rates"/>
      <sheetName val="TRIAL_BAL"/>
      <sheetName val="INPUT"/>
      <sheetName val="IT_SUMMARY"/>
      <sheetName val="286_HR"/>
      <sheetName val="COST_ADAYT_30"/>
      <sheetName val="Summary_0"/>
      <sheetName val="sch500_plant"/>
      <sheetName val="VolumeDetail_1"/>
      <sheetName val="HISTORIC_VOLUME"/>
      <sheetName val="VolumeDetail_2"/>
      <sheetName val="OPEX1B_SUMMARY_"/>
      <sheetName val="Spreadsheet_2004"/>
      <sheetName val="OPEX_BREAKDOWN_TRENDS_&amp;_KPI's"/>
      <sheetName val="OPEX_CONTROL"/>
      <sheetName val="CAPITAL_VS__DEPRECIATION"/>
      <sheetName val="Revenue_Constant_Currency"/>
      <sheetName val="Revenue_Core_USD"/>
      <sheetName val="NOPBT_Constant_Currency"/>
      <sheetName val="NOPBT_Core_USD"/>
      <sheetName val="Blue_Sheet"/>
      <sheetName val="2011_Rates"/>
      <sheetName val="2012_Rates"/>
      <sheetName val="2013_Rates"/>
      <sheetName val="IT_SUMMARY1"/>
      <sheetName val="286_HR1"/>
      <sheetName val="COST_ADAYT_301"/>
      <sheetName val="Summary_01"/>
      <sheetName val="sch500_plant1"/>
      <sheetName val="VolumeDetail_11"/>
      <sheetName val="HISTORIC_VOLUME1"/>
      <sheetName val="VolumeDetail_21"/>
      <sheetName val="OPEX1B_SUMMARY_1"/>
      <sheetName val="Spreadsheet_20041"/>
      <sheetName val="OPEX_BREAKDOWN_TRENDS_&amp;_KPI's1"/>
      <sheetName val="OPEX_CONTROL1"/>
      <sheetName val="CAPITAL_VS__DEPRECIATION1"/>
      <sheetName val="Revenue_Constant_Currency1"/>
      <sheetName val="Revenue_Core_USD1"/>
      <sheetName val="NOPBT_Constant_Currency1"/>
      <sheetName val="NOPBT_Core_USD1"/>
      <sheetName val="Blue_Sheet1"/>
      <sheetName val="2011_Rates1"/>
      <sheetName val="2012_Rates1"/>
      <sheetName val="2013_Rates1"/>
      <sheetName val="IT_SUMMARY2"/>
      <sheetName val="286_HR2"/>
      <sheetName val="COST_ADAYT_302"/>
      <sheetName val="Summary_02"/>
      <sheetName val="sch500_plant2"/>
      <sheetName val="VolumeDetail_12"/>
      <sheetName val="HISTORIC_VOLUME2"/>
      <sheetName val="VolumeDetail_22"/>
      <sheetName val="OPEX1B_SUMMARY_2"/>
      <sheetName val="Spreadsheet_20042"/>
      <sheetName val="OPEX_BREAKDOWN_TRENDS_&amp;_KPI's2"/>
      <sheetName val="OPEX_CONTROL2"/>
      <sheetName val="CAPITAL_VS__DEPRECIATION2"/>
      <sheetName val="Revenue_Constant_Currency2"/>
      <sheetName val="Revenue_Core_USD2"/>
      <sheetName val="NOPBT_Constant_Currency2"/>
      <sheetName val="NOPBT_Core_USD2"/>
      <sheetName val="Blue_Sheet2"/>
      <sheetName val="2011_Rates2"/>
      <sheetName val="2012_Rates2"/>
      <sheetName val="2013_Rate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 and Loss"/>
      <sheetName val="POV"/>
      <sheetName val="Profit_and_Loss"/>
      <sheetName val="Profit_and_Loss1"/>
      <sheetName val="Profit_and_Loss2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Y (MFcst)"/>
      <sheetName val="BOY (JFcst)"/>
      <sheetName val="Volume Summary"/>
      <sheetName val="(W-2) CAPEX and Cashflow"/>
      <sheetName val="OCF"/>
      <sheetName val="Month and YTD"/>
      <sheetName val="Snk P&amp;L"/>
      <sheetName val="Pakis_S"/>
      <sheetName val="(W-3) COC"/>
      <sheetName val="Normalization working"/>
      <sheetName val="Q2 Outlook"/>
      <sheetName val="Actual, Plan &amp; PY(PTD)"/>
      <sheetName val="Actual, Plan &amp; PY(YTD)"/>
      <sheetName val="Actual, Plan &amp; PY(PTD vs JFcst)"/>
      <sheetName val="Actual, Plan &amp; PY(PTD vs Plan)"/>
      <sheetName val="Actual, Plan &amp; PY(May YTD)"/>
      <sheetName val="Actual, Plan &amp; PY(March 2011)"/>
      <sheetName val="Actual, Plan &amp; PY(March 11 YTD)"/>
      <sheetName val="BOQ"/>
      <sheetName val="Actual, Plan &amp; PY(FEB)"/>
      <sheetName val="Actual, Plan &amp; PY(FEB) YTD"/>
      <sheetName val="Actual, Plan &amp; PY(QTD)"/>
      <sheetName val="(W-2) CAPEX and Cashflow (Sep)"/>
      <sheetName val="Actual, Plan &amp; PY (Sep)"/>
      <sheetName val="Actual, Plan &amp; PY(JAN) (2)"/>
      <sheetName val="Actual, Plan &amp; PY(WO Quaker)"/>
      <sheetName val="Actual, Plan &amp; PY (YTD)"/>
      <sheetName val="Actual, Plan &amp; PY (Q4)"/>
      <sheetName val="Actual, Plan &amp; PY (YTD-Rs)"/>
      <sheetName val="Plan, Fcst and PY (Full Year)"/>
      <sheetName val="(W-1) Ex-Forex for YTD (Sep)"/>
      <sheetName val="Setup1"/>
      <sheetName val="(W-1) Ex-Forex for YTD"/>
      <sheetName val="Sheet1"/>
      <sheetName val="POV"/>
      <sheetName val="BOY_(MFcst)"/>
      <sheetName val="BOY_(JFcst)"/>
      <sheetName val="Volume_Summary"/>
      <sheetName val="(W-2)_CAPEX_and_Cashflow"/>
      <sheetName val="Month_and_YTD"/>
      <sheetName val="Snk_P&amp;L"/>
      <sheetName val="(W-3)_COC"/>
      <sheetName val="Normalization_working"/>
      <sheetName val="Q2_Outlook"/>
      <sheetName val="Actual,_Plan_&amp;_PY(PTD)"/>
      <sheetName val="Actual,_Plan_&amp;_PY(YTD)"/>
      <sheetName val="Actual,_Plan_&amp;_PY(PTD_vs_JFcst)"/>
      <sheetName val="Actual,_Plan_&amp;_PY(PTD_vs_Plan)"/>
      <sheetName val="Actual,_Plan_&amp;_PY(May_YTD)"/>
      <sheetName val="Actual,_Plan_&amp;_PY(March_2011)"/>
      <sheetName val="Actual,_Plan_&amp;_PY(March_11_YTD)"/>
      <sheetName val="Actual,_Plan_&amp;_PY(FEB)"/>
      <sheetName val="Actual,_Plan_&amp;_PY(FEB)_YTD"/>
      <sheetName val="Actual,_Plan_&amp;_PY(QTD)"/>
      <sheetName val="(W-2)_CAPEX_and_Cashflow_(Sep)"/>
      <sheetName val="Actual,_Plan_&amp;_PY_(Sep)"/>
      <sheetName val="Actual,_Plan_&amp;_PY(JAN)_(2)"/>
      <sheetName val="Actual,_Plan_&amp;_PY(WO_Quaker)"/>
      <sheetName val="Actual,_Plan_&amp;_PY_(YTD)"/>
      <sheetName val="Actual,_Plan_&amp;_PY_(Q4)"/>
      <sheetName val="Actual,_Plan_&amp;_PY_(YTD-Rs)"/>
      <sheetName val="Plan,_Fcst_and_PY_(Full_Year)"/>
      <sheetName val="(W-1)_Ex-Forex_for_YTD_(Sep)"/>
      <sheetName val="(W-1)_Ex-Forex_for_YTD"/>
      <sheetName val="BOY_(MFcst)1"/>
      <sheetName val="BOY_(JFcst)1"/>
      <sheetName val="Volume_Summary1"/>
      <sheetName val="(W-2)_CAPEX_and_Cashflow1"/>
      <sheetName val="Month_and_YTD1"/>
      <sheetName val="Snk_P&amp;L1"/>
      <sheetName val="(W-3)_COC1"/>
      <sheetName val="Normalization_working1"/>
      <sheetName val="Q2_Outlook1"/>
      <sheetName val="Actual,_Plan_&amp;_PY(PTD)1"/>
      <sheetName val="Actual,_Plan_&amp;_PY(YTD)1"/>
      <sheetName val="Actual,_Plan_&amp;_PY(PTD_vs_JFcst1"/>
      <sheetName val="Actual,_Plan_&amp;_PY(PTD_vs_Plan)1"/>
      <sheetName val="Actual,_Plan_&amp;_PY(May_YTD)1"/>
      <sheetName val="Actual,_Plan_&amp;_PY(March_2011)1"/>
      <sheetName val="Actual,_Plan_&amp;_PY(March_11_YTD1"/>
      <sheetName val="Actual,_Plan_&amp;_PY(FEB)1"/>
      <sheetName val="Actual,_Plan_&amp;_PY(FEB)_YTD1"/>
      <sheetName val="Actual,_Plan_&amp;_PY(QTD)1"/>
      <sheetName val="(W-2)_CAPEX_and_Cashflow_(Sep)1"/>
      <sheetName val="Actual,_Plan_&amp;_PY_(Sep)1"/>
      <sheetName val="Actual,_Plan_&amp;_PY(JAN)_(2)1"/>
      <sheetName val="Actual,_Plan_&amp;_PY(WO_Quaker)1"/>
      <sheetName val="Actual,_Plan_&amp;_PY_(YTD)1"/>
      <sheetName val="Actual,_Plan_&amp;_PY_(Q4)1"/>
      <sheetName val="Actual,_Plan_&amp;_PY_(YTD-Rs)1"/>
      <sheetName val="Plan,_Fcst_and_PY_(Full_Year)1"/>
      <sheetName val="(W-1)_Ex-Forex_for_YTD_(Sep)1"/>
      <sheetName val="(W-1)_Ex-Forex_for_YTD1"/>
      <sheetName val="BOY_(MFcst)2"/>
      <sheetName val="BOY_(JFcst)2"/>
      <sheetName val="Volume_Summary2"/>
      <sheetName val="(W-2)_CAPEX_and_Cashflow2"/>
      <sheetName val="Month_and_YTD2"/>
      <sheetName val="Snk_P&amp;L2"/>
      <sheetName val="(W-3)_COC2"/>
      <sheetName val="Normalization_working2"/>
      <sheetName val="Q2_Outlook2"/>
      <sheetName val="Actual,_Plan_&amp;_PY(PTD)2"/>
      <sheetName val="Actual,_Plan_&amp;_PY(YTD)2"/>
      <sheetName val="Actual,_Plan_&amp;_PY(PTD_vs_JFcst2"/>
      <sheetName val="Actual,_Plan_&amp;_PY(PTD_vs_Plan)2"/>
      <sheetName val="Actual,_Plan_&amp;_PY(May_YTD)2"/>
      <sheetName val="Actual,_Plan_&amp;_PY(March_2011)2"/>
      <sheetName val="Actual,_Plan_&amp;_PY(March_11_YTD2"/>
      <sheetName val="Actual,_Plan_&amp;_PY(FEB)2"/>
      <sheetName val="Actual,_Plan_&amp;_PY(FEB)_YTD2"/>
      <sheetName val="Actual,_Plan_&amp;_PY(QTD)2"/>
      <sheetName val="(W-2)_CAPEX_and_Cashflow_(Sep)2"/>
      <sheetName val="Actual,_Plan_&amp;_PY_(Sep)2"/>
      <sheetName val="Actual,_Plan_&amp;_PY(JAN)_(2)2"/>
      <sheetName val="Actual,_Plan_&amp;_PY(WO_Quaker)2"/>
      <sheetName val="Actual,_Plan_&amp;_PY_(YTD)2"/>
      <sheetName val="Actual,_Plan_&amp;_PY_(Q4)2"/>
      <sheetName val="Actual,_Plan_&amp;_PY_(YTD-Rs)2"/>
      <sheetName val="Plan,_Fcst_and_PY_(Full_Year)2"/>
      <sheetName val="(W-1)_Ex-Forex_for_YTD_(Sep)2"/>
      <sheetName val="(W-1)_Ex-Forex_for_YTD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EA Month"/>
      <sheetName val="POV"/>
      <sheetName val="Sheet2"/>
      <sheetName val="Sheet3"/>
      <sheetName val="AMEA_Month"/>
      <sheetName val="Sheet9"/>
      <sheetName val="AMEA_Month1"/>
      <sheetName val="AMEA_Month2"/>
      <sheetName val="AMEA_Month3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/>
      <sheetData sheetId="7"/>
      <sheetData sheetId="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CLEAR FC Link"/>
      <sheetName val="BEV FC Input"/>
      <sheetName val="BEV FC Link"/>
      <sheetName val="BEV Report"/>
      <sheetName val="SNK FC Input"/>
      <sheetName val="SNK FC Link"/>
      <sheetName val="SNK Report"/>
      <sheetName val="PL FC Input"/>
      <sheetName val="PL FC Link"/>
      <sheetName val="PL Report"/>
      <sheetName val="BS FC Input"/>
      <sheetName val="BS FC Link"/>
      <sheetName val="BS Report"/>
      <sheetName val="CF Report"/>
      <sheetName val="Forex Rates"/>
      <sheetName val="BS Validation"/>
      <sheetName val="Beverage Entities"/>
      <sheetName val="Snacks Entities"/>
      <sheetName val="HQ Entities"/>
      <sheetName val="POV"/>
      <sheetName val="Entity Validation"/>
      <sheetName val="Reference"/>
      <sheetName val="Control_Panel"/>
      <sheetName val="CLEAR_FC_Link"/>
      <sheetName val="BEV_FC_Input"/>
      <sheetName val="BEV_FC_Link"/>
      <sheetName val="BEV_Report"/>
      <sheetName val="SNK_FC_Input"/>
      <sheetName val="SNK_FC_Link"/>
      <sheetName val="SNK_Report"/>
      <sheetName val="PL_FC_Input"/>
      <sheetName val="PL_FC_Link"/>
      <sheetName val="PL_Report"/>
      <sheetName val="BS_FC_Input"/>
      <sheetName val="BS_FC_Link"/>
      <sheetName val="BS_Report"/>
      <sheetName val="CF_Report"/>
      <sheetName val="Forex_Rates"/>
      <sheetName val="BS_Validation"/>
      <sheetName val="Beverage_Entities"/>
      <sheetName val="Snacks_Entities"/>
      <sheetName val="HQ_Entities"/>
      <sheetName val="Entity_Validation"/>
      <sheetName val="Control_Panel1"/>
      <sheetName val="CLEAR_FC_Link1"/>
      <sheetName val="BEV_FC_Input1"/>
      <sheetName val="BEV_FC_Link1"/>
      <sheetName val="BEV_Report1"/>
      <sheetName val="SNK_FC_Input1"/>
      <sheetName val="SNK_FC_Link1"/>
      <sheetName val="SNK_Report1"/>
      <sheetName val="PL_FC_Input1"/>
      <sheetName val="PL_FC_Link1"/>
      <sheetName val="PL_Report1"/>
      <sheetName val="BS_FC_Input1"/>
      <sheetName val="BS_FC_Link1"/>
      <sheetName val="BS_Report1"/>
      <sheetName val="CF_Report1"/>
      <sheetName val="Forex_Rates1"/>
      <sheetName val="BS_Validation1"/>
      <sheetName val="Beverage_Entities1"/>
      <sheetName val="Snacks_Entities1"/>
      <sheetName val="HQ_Entities1"/>
      <sheetName val="Entity_Validation1"/>
      <sheetName val="Control_Panel2"/>
      <sheetName val="CLEAR_FC_Link2"/>
      <sheetName val="BEV_FC_Input2"/>
      <sheetName val="BEV_FC_Link2"/>
      <sheetName val="BEV_Report2"/>
      <sheetName val="SNK_FC_Input2"/>
      <sheetName val="SNK_FC_Link2"/>
      <sheetName val="SNK_Report2"/>
      <sheetName val="PL_FC_Input2"/>
      <sheetName val="PL_FC_Link2"/>
      <sheetName val="PL_Report2"/>
      <sheetName val="BS_FC_Input2"/>
      <sheetName val="BS_FC_Link2"/>
      <sheetName val="BS_Report2"/>
      <sheetName val="CF_Report2"/>
      <sheetName val="Forex_Rates2"/>
      <sheetName val="BS_Validation2"/>
      <sheetName val="Beverage_Entities2"/>
      <sheetName val="Snacks_Entities2"/>
      <sheetName val="HQ_Entities2"/>
      <sheetName val="Entity_Validatio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movement"/>
      <sheetName val="P&amp;L(S2)"/>
      <sheetName val="Vol(Qtr)"/>
      <sheetName val="Vol(BOY)"/>
      <sheetName val="vol(base)"/>
      <sheetName val="2002P-SC"/>
      <sheetName val="2002P-BU"/>
      <sheetName val="2001Avol"/>
      <sheetName val="2000vol"/>
      <sheetName val="P&amp;L(S1)"/>
      <sheetName val="2002result(PBI)"/>
      <sheetName val="2002result(CSD)"/>
      <sheetName val="2002result(FB)"/>
      <sheetName val="2002Mfcst(PBI)"/>
      <sheetName val="P&amp;L(S3)"/>
      <sheetName val="FB-sum"/>
      <sheetName val="P&amp;L(S4)"/>
      <sheetName val="2002Mfcst(CSD)"/>
      <sheetName val="2002Mfcst(FB)"/>
      <sheetName val="2002PPL(PBI)"/>
      <sheetName val="2002PPL(CSD)"/>
      <sheetName val="2002PPL(FB)"/>
      <sheetName val="2001APL(PBI)"/>
      <sheetName val="2001APL(CSD)"/>
      <sheetName val="2001APL(FB)"/>
      <sheetName val="A&amp;M"/>
      <sheetName val="uni"/>
      <sheetName val="JV (RMB)(Summary)"/>
      <sheetName val="JV income"/>
      <sheetName val="JV share $"/>
      <sheetName val="JV (RMB)02result "/>
      <sheetName val="JV (RMB)MFcst"/>
      <sheetName val="JV (RMB)Plan "/>
      <sheetName val="JV (RMB)2001A"/>
      <sheetName val="China JVs"/>
      <sheetName val="JV income(wks)"/>
      <sheetName val="Other i_o"/>
      <sheetName val="CAPEX"/>
      <sheetName val="JV infusion(result)"/>
      <sheetName val="JV infusion(MF)"/>
      <sheetName val="JV infusion (P)"/>
      <sheetName val="CF(direct)"/>
      <sheetName val="2002FCF (Summary)"/>
      <sheetName val="2002FCF (CSDSum)"/>
      <sheetName val="2002ACF(PBI)(check)"/>
      <sheetName val="2002ACF(wks)"/>
      <sheetName val="2002MfcstCF(PBI)"/>
      <sheetName val="2002ACF(CSD)"/>
      <sheetName val="2002MfcstCF(CSD)"/>
      <sheetName val="2002PCF(PBI)"/>
      <sheetName val="2002PCF(CSD)"/>
      <sheetName val="2002PCF(wks)"/>
      <sheetName val="2002PCF(FB)"/>
      <sheetName val="2001 ACF(PBI)"/>
      <sheetName val="2001ACF(CSD)"/>
      <sheetName val="Tax (2)"/>
      <sheetName val="PII"/>
      <sheetName val="Shipment"/>
      <sheetName val="Shipment (MF)"/>
      <sheetName val="Shipment (02P)"/>
      <sheetName val="Shipment(01A)"/>
      <sheetName val="PICL fee"/>
      <sheetName val="FB-COC"/>
      <sheetName val="COC_Plan_Month"/>
      <sheetName val="COC_Plan_Qtr"/>
      <sheetName val="COC_Plan_YTD"/>
      <sheetName val="COC_Prior_Month"/>
      <sheetName val="COC_Prior_Qtr"/>
      <sheetName val="COC_Prior_YTD"/>
      <sheetName val="BU Month vs Plan"/>
      <sheetName val="BU YTD vs Plan "/>
      <sheetName val="BU Month vs Prior"/>
      <sheetName val="BU YTD vs Prior"/>
      <sheetName val="02PlanNAB"/>
      <sheetName val="AOPBS"/>
      <sheetName val="02FcstNAB"/>
      <sheetName val="FcstBS"/>
      <sheetName val=""/>
      <sheetName val="list"/>
      <sheetName val="Inteco list"/>
      <sheetName val="FX"/>
      <sheetName val="1.0 LRB Vol"/>
      <sheetName val="jhcxl"/>
      <sheetName val="Puerto Rico"/>
      <sheetName val="Sheet1"/>
      <sheetName val="JV_(RMB)(Summary)"/>
      <sheetName val="JV_income"/>
      <sheetName val="JV_share_$"/>
      <sheetName val="JV_(RMB)02result_"/>
      <sheetName val="JV_(RMB)MFcst"/>
      <sheetName val="JV_(RMB)Plan_"/>
      <sheetName val="JV_(RMB)2001A"/>
      <sheetName val="China_JVs"/>
      <sheetName val="JV_income(wks)"/>
      <sheetName val="Other_i_o"/>
      <sheetName val="JV_infusion(result)"/>
      <sheetName val="JV_infusion(MF)"/>
      <sheetName val="JV_infusion_(P)"/>
      <sheetName val="2002FCF_(Summary)"/>
      <sheetName val="2002FCF_(CSDSum)"/>
      <sheetName val="2001_ACF(PBI)"/>
      <sheetName val="Tax_(2)"/>
      <sheetName val="Shipment_(MF)"/>
      <sheetName val="Shipment_(02P)"/>
      <sheetName val="PICL_fee"/>
      <sheetName val="BU_Month_vs_Plan"/>
      <sheetName val="BU_YTD_vs_Plan_"/>
      <sheetName val="BU_Month_vs_Prior"/>
      <sheetName val="BU_YTD_vs_Prior"/>
      <sheetName val="Inteco_list"/>
      <sheetName val="1_0_LRB_Vol"/>
      <sheetName val="Puerto_Rico"/>
      <sheetName val="JV_(RMB)(Summary)1"/>
      <sheetName val="JV_income1"/>
      <sheetName val="JV_share_$1"/>
      <sheetName val="JV_(RMB)02result_1"/>
      <sheetName val="JV_(RMB)MFcst1"/>
      <sheetName val="JV_(RMB)Plan_1"/>
      <sheetName val="JV_(RMB)2001A1"/>
      <sheetName val="China_JVs1"/>
      <sheetName val="JV_income(wks)1"/>
      <sheetName val="Other_i_o1"/>
      <sheetName val="JV_infusion(result)1"/>
      <sheetName val="JV_infusion(MF)1"/>
      <sheetName val="JV_infusion_(P)1"/>
      <sheetName val="2002FCF_(Summary)1"/>
      <sheetName val="2002FCF_(CSDSum)1"/>
      <sheetName val="2001_ACF(PBI)1"/>
      <sheetName val="Tax_(2)1"/>
      <sheetName val="Shipment_(MF)1"/>
      <sheetName val="Shipment_(02P)1"/>
      <sheetName val="PICL_fee1"/>
      <sheetName val="BU_Month_vs_Plan1"/>
      <sheetName val="BU_YTD_vs_Plan_1"/>
      <sheetName val="BU_Month_vs_Prior1"/>
      <sheetName val="BU_YTD_vs_Prior1"/>
      <sheetName val="Inteco_list1"/>
      <sheetName val="1_0_LRB_Vol1"/>
      <sheetName val="Puerto_Rico1"/>
      <sheetName val="GetData"/>
      <sheetName val="附件3-离职率对比"/>
      <sheetName val="#REF"/>
      <sheetName val="入库"/>
      <sheetName val="Input Sheet"/>
      <sheetName val="1-1长期未交易客户汇总"/>
      <sheetName val="合同原因"/>
      <sheetName val="6-3逾期账款趋势表"/>
      <sheetName val="CONTENTS"/>
      <sheetName val=" nfcst_py"/>
      <sheetName val="Sheet5"/>
      <sheetName val="会计科目代码"/>
      <sheetName val="品牌"/>
      <sheetName val="部门名称"/>
      <sheetName val="input data"/>
      <sheetName val="RMB"/>
      <sheetName val="Sum"/>
      <sheetName val="MAR-F"/>
      <sheetName val="South"/>
      <sheetName val="OCF Change"/>
      <sheetName val="Local"/>
      <sheetName val=" "/>
      <sheetName val="百饮损益当月"/>
      <sheetName val="普查库示例"/>
      <sheetName val="八 损益分析11月"/>
      <sheetName val="短信统计"/>
      <sheetName val="Entity list"/>
      <sheetName val="2002 March Fcst"/>
      <sheetName val="MT"/>
      <sheetName val="成都"/>
      <sheetName val="双流"/>
      <sheetName val="新都"/>
      <sheetName val="乐山"/>
      <sheetName val="绵阳"/>
      <sheetName val="南充"/>
      <sheetName val="内江"/>
      <sheetName val="达州"/>
      <sheetName val="Input_Sheet"/>
      <sheetName val="_nfcst_py"/>
      <sheetName val="input_data"/>
      <sheetName val="OCF_Change"/>
      <sheetName val="_"/>
      <sheetName val="原材料单价分析"/>
      <sheetName val="百事"/>
      <sheetName val="七喜"/>
      <sheetName val="美年达"/>
      <sheetName val="佳得乐"/>
      <sheetName val="果缤纷"/>
      <sheetName val="纯水乐"/>
      <sheetName val="源-各品项量"/>
      <sheetName val="1"/>
      <sheetName val="预算-by区域"/>
      <sheetName val="Narrative"/>
      <sheetName val="Database"/>
      <sheetName val="Variance"/>
      <sheetName val="Sheet1 _2_"/>
      <sheetName val="Total"/>
      <sheetName val="Input"/>
      <sheetName val="各所12月逾期占比趋势图"/>
      <sheetName val="湖南离职改善"/>
      <sheetName val="封面"/>
      <sheetName val="Setup"/>
      <sheetName val="生产入库04"/>
      <sheetName val="Coding"/>
      <sheetName val="SFS(ACTUAL)"/>
      <sheetName val="#REF!"/>
      <sheetName val="wsku_accuracy (2)"/>
      <sheetName val="区域"/>
      <sheetName val="Sheet2"/>
      <sheetName val="JV_(RMB)(Summary)2"/>
      <sheetName val="JV_income2"/>
      <sheetName val="JV_share_$2"/>
      <sheetName val="JV_(RMB)02result_2"/>
      <sheetName val="JV_(RMB)MFcst2"/>
      <sheetName val="JV_(RMB)Plan_2"/>
      <sheetName val="JV_(RMB)2001A2"/>
      <sheetName val="China_JVs2"/>
      <sheetName val="JV_income(wks)2"/>
      <sheetName val="Other_i_o2"/>
      <sheetName val="JV_infusion(result)2"/>
      <sheetName val="JV_infusion(MF)2"/>
      <sheetName val="JV_infusion_(P)2"/>
      <sheetName val="2002FCF_(Summary)2"/>
      <sheetName val="2002FCF_(CSDSum)2"/>
      <sheetName val="2001_ACF(PBI)2"/>
      <sheetName val="Tax_(2)2"/>
      <sheetName val="Shipment_(MF)2"/>
      <sheetName val="Shipment_(02P)2"/>
      <sheetName val="PICL_fee2"/>
      <sheetName val="BU_Month_vs_Plan2"/>
      <sheetName val="BU_YTD_vs_Plan_2"/>
      <sheetName val="BU_Month_vs_Prior2"/>
      <sheetName val="BU_YTD_vs_Prior2"/>
      <sheetName val="Inteco_list2"/>
      <sheetName val="1_0_LRB_Vol2"/>
      <sheetName val="Puerto_Rico2"/>
      <sheetName val="Input_Sheet1"/>
      <sheetName val="_nfcst_py1"/>
      <sheetName val="input_data1"/>
      <sheetName val="OCF_Change1"/>
      <sheetName val="_1"/>
      <sheetName val="八_损益分析11月"/>
      <sheetName val="Entity_list"/>
      <sheetName val="2002_March_Fcst"/>
      <sheetName val="Sheet1__2_"/>
      <sheetName val="wsku_accuracy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P"/>
      <sheetName val="Existing Bal"/>
      <sheetName val="Vision"/>
      <sheetName val="Dis_IBC"/>
      <sheetName val="Dep_Analysis"/>
      <sheetName val="Dis_Hanoi"/>
      <sheetName val="Dis_Danang"/>
      <sheetName val="Dis_Cantho"/>
      <sheetName val="Dis_LVS"/>
      <sheetName val="Dis_HCMP"/>
      <sheetName val="Dis_Kydong"/>
      <sheetName val="Dis_Hocmon"/>
      <sheetName val="Cpx_IBC"/>
      <sheetName val="Cpx_Hanoi"/>
      <sheetName val="Cpx_Danang"/>
      <sheetName val="Cpx_Cantho"/>
      <sheetName val="Cpx_LVS"/>
      <sheetName val="Cpx_HCMP"/>
      <sheetName val="Cpx_Hocmon"/>
      <sheetName val="Cpx_Kydong"/>
      <sheetName val="Dep_IBC"/>
      <sheetName val="Dep_Hanoi"/>
      <sheetName val="Dep_Danang"/>
      <sheetName val="Dep_Cantho"/>
      <sheetName val="Dep_LVS"/>
      <sheetName val="Dep_HCMP"/>
      <sheetName val="Dep_Kydong"/>
      <sheetName val="Dep_PLANOA"/>
      <sheetName val="Dep_Hocmon"/>
      <sheetName val="Pallet_Danang"/>
      <sheetName val="Pallet_Hocmon"/>
      <sheetName val="Summary 04"/>
      <sheetName val="Summary 05"/>
      <sheetName val="Summary 02C"/>
      <sheetName val="Summary 02F"/>
      <sheetName val="Summary 03"/>
      <sheetName val="Existing_Bal"/>
      <sheetName val="Summary_04"/>
      <sheetName val="Summary_05"/>
      <sheetName val="Summary_02C"/>
      <sheetName val="Summary_02F"/>
      <sheetName val="Summary_03"/>
      <sheetName val="Existing_Bal1"/>
      <sheetName val="Summary_041"/>
      <sheetName val="Summary_051"/>
      <sheetName val="Summary_02C1"/>
      <sheetName val="Summary_02F1"/>
      <sheetName val="Summary_031"/>
      <sheetName val="Existing_Bal2"/>
      <sheetName val="Summary_042"/>
      <sheetName val="Summary_052"/>
      <sheetName val="Summary_02C2"/>
      <sheetName val="Summary_02F2"/>
      <sheetName val="Summary_032"/>
    </sheetNames>
    <sheetDataSet>
      <sheetData sheetId="0" refreshError="1">
        <row r="11">
          <cell r="E11" t="str">
            <v>Machinery</v>
          </cell>
          <cell r="F11" t="str">
            <v>5-50-025</v>
          </cell>
          <cell r="G11">
            <v>10</v>
          </cell>
        </row>
        <row r="12">
          <cell r="E12" t="str">
            <v>Bottling equipment</v>
          </cell>
          <cell r="F12" t="str">
            <v>5-50-030</v>
          </cell>
          <cell r="G12">
            <v>7</v>
          </cell>
        </row>
        <row r="13">
          <cell r="E13" t="str">
            <v>Computer equipment</v>
          </cell>
          <cell r="F13" t="str">
            <v>5-50-035</v>
          </cell>
          <cell r="G13">
            <v>5</v>
          </cell>
        </row>
        <row r="14">
          <cell r="E14" t="str">
            <v>Printer</v>
          </cell>
          <cell r="F14" t="str">
            <v>5-50-036</v>
          </cell>
          <cell r="G14">
            <v>5</v>
          </cell>
        </row>
        <row r="15">
          <cell r="E15" t="str">
            <v>Other Computer equipment</v>
          </cell>
          <cell r="F15" t="str">
            <v>5-50-037</v>
          </cell>
          <cell r="G15">
            <v>5</v>
          </cell>
        </row>
        <row r="16">
          <cell r="E16" t="str">
            <v>Telephone equipment</v>
          </cell>
          <cell r="F16" t="str">
            <v>5-50-040</v>
          </cell>
          <cell r="G16">
            <v>5</v>
          </cell>
        </row>
        <row r="17">
          <cell r="E17" t="str">
            <v>Coolers</v>
          </cell>
          <cell r="F17" t="str">
            <v>5-50-045</v>
          </cell>
          <cell r="G17">
            <v>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ByAcct"/>
      <sheetName val="ByMth"/>
      <sheetName val="FLT"/>
      <sheetName val="Start"/>
      <sheetName val="OT"/>
      <sheetName val="TT"/>
      <sheetName val="End"/>
      <sheetName val="Start_TT"/>
      <sheetName val="WS"/>
      <sheetName val="Makro"/>
      <sheetName val="AS&amp;D"/>
      <sheetName val="End_TT"/>
      <sheetName val="Start_OT"/>
      <sheetName val="Hyper"/>
      <sheetName val="CVS"/>
      <sheetName val="SPM"/>
      <sheetName val="GAS"/>
      <sheetName val="ENT"/>
      <sheetName val="End_OT"/>
      <sheetName val="Start_Hyper"/>
      <sheetName val="Lotus"/>
      <sheetName val="BigC"/>
      <sheetName val="C4"/>
      <sheetName val="End_Hyper"/>
      <sheetName val="Start_CVS"/>
      <sheetName val="7-11"/>
      <sheetName val="SFM"/>
      <sheetName val="OtherCVS"/>
      <sheetName val="End_CVS"/>
      <sheetName val="Start_SPM"/>
      <sheetName val="Tops"/>
      <sheetName val="SmallSPM"/>
      <sheetName val="LCOT"/>
      <sheetName val="End_SPM"/>
      <sheetName val="Start_Gas"/>
      <sheetName val="Jiffy"/>
      <sheetName val="Esso"/>
      <sheetName val="Caltex"/>
      <sheetName val="OtherGas"/>
      <sheetName val="End_Gas"/>
      <sheetName val="Start_Ent"/>
      <sheetName val="Major"/>
      <sheetName val="SF"/>
      <sheetName val="End_Ent"/>
      <sheetName val="Start_ASD"/>
      <sheetName val="DTS"/>
      <sheetName val="ASD"/>
      <sheetName val="OtherASD"/>
      <sheetName val="End_ASD"/>
      <sheetName val="Start_WS"/>
      <sheetName val="Alpha"/>
      <sheetName val="Beta"/>
      <sheetName val="GmA"/>
      <sheetName val="WS-Others"/>
      <sheetName val="End_WS"/>
      <sheetName val="Vol"/>
      <sheetName val="Datascore"/>
      <sheetName val="FG waste"/>
      <sheetName val="08-09 Plan"/>
      <sheetName val="Reference"/>
      <sheetName val="PL AOP Input"/>
      <sheetName val="2002"/>
      <sheetName val="Transport Problem"/>
      <sheetName val="Code Supplier"/>
      <sheetName val="Set up &amp; Instructions"/>
      <sheetName val="2020 Eatery Tools"/>
      <sheetName val="TT ET Dashboard"/>
      <sheetName val="Eatery Target from Sales Conf"/>
      <sheetName val="2020 Target by Region"/>
      <sheetName val="Sales OBjective 2020"/>
      <sheetName val="2020 Target by Distributor "/>
      <sheetName val="2020 ET Vol"/>
      <sheetName val="2020  serviced outlets"/>
      <sheetName val="Exclusive summary "/>
      <sheetName val="2020 ET-SKU outlet"/>
      <sheetName val="2020 Share&amp; Dist"/>
      <sheetName val="2020 EPR"/>
      <sheetName val="2020 PMX "/>
      <sheetName val="2018-2019 ET vol (STD)"/>
      <sheetName val="PMX 2020- Non-buy "/>
      <sheetName val="Target new outelts by Force"/>
      <sheetName val="Outlet by ADCs"/>
      <sheetName val="Outlet by ADRs"/>
      <sheetName val="Outlet by CRs"/>
      <sheetName val="2019 Share &amp; Dist"/>
      <sheetName val="COLA Pack Size"/>
      <sheetName val="Flav+LL Pack Size"/>
      <sheetName val="Provision and TT Share"/>
      <sheetName val="2020 Event"/>
      <sheetName val="2020 Rout Model"/>
      <sheetName val="2020Route Model"/>
      <sheetName val="Rote Model Tracking"/>
      <sheetName val="2020 Market Visit"/>
      <sheetName val="# of New ET by Force "/>
      <sheetName val=" 2020 Master Not update"/>
      <sheetName val="FG_waste17"/>
      <sheetName val="08-09_Plan17"/>
      <sheetName val="PL_AOP_Input17"/>
      <sheetName val="Transport_Problem15"/>
      <sheetName val="FG_waste13"/>
      <sheetName val="08-09_Plan13"/>
      <sheetName val="PL_AOP_Input13"/>
      <sheetName val="Transport_Problem11"/>
      <sheetName val="FG_waste10"/>
      <sheetName val="08-09_Plan10"/>
      <sheetName val="PL_AOP_Input10"/>
      <sheetName val="Transport_Problem8"/>
      <sheetName val="FG_waste7"/>
      <sheetName val="08-09_Plan7"/>
      <sheetName val="PL_AOP_Input7"/>
      <sheetName val="Transport_Problem5"/>
      <sheetName val="FG_waste2"/>
      <sheetName val="08-09_Plan2"/>
      <sheetName val="PL_AOP_Input2"/>
      <sheetName val="Transport_Problem"/>
      <sheetName val="FG_waste1"/>
      <sheetName val="08-09_Plan1"/>
      <sheetName val="PL_AOP_Input1"/>
      <sheetName val="FG_waste"/>
      <sheetName val="08-09_Plan"/>
      <sheetName val="PL_AOP_Input"/>
      <sheetName val="FG_waste6"/>
      <sheetName val="08-09_Plan6"/>
      <sheetName val="PL_AOP_Input6"/>
      <sheetName val="Transport_Problem4"/>
      <sheetName val="FG_waste4"/>
      <sheetName val="08-09_Plan4"/>
      <sheetName val="PL_AOP_Input4"/>
      <sheetName val="Transport_Problem2"/>
      <sheetName val="FG_waste3"/>
      <sheetName val="08-09_Plan3"/>
      <sheetName val="PL_AOP_Input3"/>
      <sheetName val="Transport_Problem1"/>
      <sheetName val="FG_waste5"/>
      <sheetName val="08-09_Plan5"/>
      <sheetName val="PL_AOP_Input5"/>
      <sheetName val="Transport_Problem3"/>
      <sheetName val="FG_waste8"/>
      <sheetName val="08-09_Plan8"/>
      <sheetName val="PL_AOP_Input8"/>
      <sheetName val="Transport_Problem6"/>
      <sheetName val="FG_waste9"/>
      <sheetName val="08-09_Plan9"/>
      <sheetName val="PL_AOP_Input9"/>
      <sheetName val="Transport_Problem7"/>
      <sheetName val="FG_waste11"/>
      <sheetName val="08-09_Plan11"/>
      <sheetName val="PL_AOP_Input11"/>
      <sheetName val="Transport_Problem9"/>
      <sheetName val="Code_Supplier"/>
      <sheetName val="FG_waste12"/>
      <sheetName val="08-09_Plan12"/>
      <sheetName val="PL_AOP_Input12"/>
      <sheetName val="Transport_Problem10"/>
      <sheetName val="FG_waste14"/>
      <sheetName val="08-09_Plan14"/>
      <sheetName val="PL_AOP_Input14"/>
      <sheetName val="Transport_Problem12"/>
      <sheetName val="FG_waste15"/>
      <sheetName val="08-09_Plan15"/>
      <sheetName val="PL_AOP_Input15"/>
      <sheetName val="Transport_Problem13"/>
      <sheetName val="FG_waste16"/>
      <sheetName val="08-09_Plan16"/>
      <sheetName val="PL_AOP_Input16"/>
      <sheetName val="Transport_Problem14"/>
      <sheetName val="FG_waste18"/>
      <sheetName val="08-09_Plan18"/>
      <sheetName val="PL_AOP_Input18"/>
      <sheetName val="Transport_Problem16"/>
      <sheetName val="Code_Supplier1"/>
      <sheetName val="FG_waste19"/>
      <sheetName val="08-09_Plan19"/>
      <sheetName val="PL_AOP_Input19"/>
      <sheetName val="Transport_Problem17"/>
      <sheetName val="Code_Supplier2"/>
      <sheetName val="FG_waste20"/>
      <sheetName val="08-09_Plan20"/>
      <sheetName val="PL_AOP_Input20"/>
      <sheetName val="Transport_Problem18"/>
      <sheetName val="Code_Supplier3"/>
      <sheetName val="FG_waste24"/>
      <sheetName val="08-09_Plan24"/>
      <sheetName val="PL_AOP_Input24"/>
      <sheetName val="Transport_Problem22"/>
      <sheetName val="Code_Supplier7"/>
      <sheetName val="Set_up_&amp;_Instructions1"/>
      <sheetName val="2020_Eatery_Tools1"/>
      <sheetName val="TT_ET_Dashboard1"/>
      <sheetName val="Eatery_Target_from_Sales_Conf1"/>
      <sheetName val="2020_Target_by_Region1"/>
      <sheetName val="Sales_OBjective_20201"/>
      <sheetName val="2020_Target_by_Distributor_1"/>
      <sheetName val="2020_ET_Vol1"/>
      <sheetName val="2020__serviced_outlets1"/>
      <sheetName val="Exclusive_summary_1"/>
      <sheetName val="2020_ET-SKU_outlet1"/>
      <sheetName val="2020_Share&amp;_Dist1"/>
      <sheetName val="2020_EPR1"/>
      <sheetName val="2020_PMX_1"/>
      <sheetName val="2018-2019_ET_vol_(STD)1"/>
      <sheetName val="PMX_2020-_Non-buy_1"/>
      <sheetName val="Target_new_outelts_by_Force1"/>
      <sheetName val="Outlet_by_ADCs1"/>
      <sheetName val="Outlet_by_ADRs1"/>
      <sheetName val="Outlet_by_CRs1"/>
      <sheetName val="2019_Share_&amp;_Dist1"/>
      <sheetName val="COLA_Pack_Size1"/>
      <sheetName val="Flav+LL_Pack_Size1"/>
      <sheetName val="Provision_and_TT_Share1"/>
      <sheetName val="2020_Event1"/>
      <sheetName val="2020_Rout_Model1"/>
      <sheetName val="2020Route_Model1"/>
      <sheetName val="Rote_Model_Tracking1"/>
      <sheetName val="2020_Market_Visit1"/>
      <sheetName val="#_of_New_ET_by_Force_1"/>
      <sheetName val="_2020_Master_Not_update1"/>
      <sheetName val="FG_waste23"/>
      <sheetName val="08-09_Plan23"/>
      <sheetName val="PL_AOP_Input23"/>
      <sheetName val="Transport_Problem21"/>
      <sheetName val="Code_Supplier6"/>
      <sheetName val="FG_waste21"/>
      <sheetName val="08-09_Plan21"/>
      <sheetName val="PL_AOP_Input21"/>
      <sheetName val="Transport_Problem19"/>
      <sheetName val="Code_Supplier4"/>
      <sheetName val="Set_up_&amp;_Instructions"/>
      <sheetName val="2020_Eatery_Tools"/>
      <sheetName val="TT_ET_Dashboard"/>
      <sheetName val="Eatery_Target_from_Sales_Conf"/>
      <sheetName val="2020_Target_by_Region"/>
      <sheetName val="Sales_OBjective_2020"/>
      <sheetName val="2020_Target_by_Distributor_"/>
      <sheetName val="2020_ET_Vol"/>
      <sheetName val="2020__serviced_outlets"/>
      <sheetName val="Exclusive_summary_"/>
      <sheetName val="2020_ET-SKU_outlet"/>
      <sheetName val="2020_Share&amp;_Dist"/>
      <sheetName val="2020_EPR"/>
      <sheetName val="2020_PMX_"/>
      <sheetName val="2018-2019_ET_vol_(STD)"/>
      <sheetName val="PMX_2020-_Non-buy_"/>
      <sheetName val="Target_new_outelts_by_Force"/>
      <sheetName val="Outlet_by_ADCs"/>
      <sheetName val="Outlet_by_ADRs"/>
      <sheetName val="Outlet_by_CRs"/>
      <sheetName val="2019_Share_&amp;_Dist"/>
      <sheetName val="COLA_Pack_Size"/>
      <sheetName val="Flav+LL_Pack_Size"/>
      <sheetName val="Provision_and_TT_Share"/>
      <sheetName val="2020_Event"/>
      <sheetName val="2020_Rout_Model"/>
      <sheetName val="2020Route_Model"/>
      <sheetName val="Rote_Model_Tracking"/>
      <sheetName val="2020_Market_Visit"/>
      <sheetName val="#_of_New_ET_by_Force_"/>
      <sheetName val="_2020_Master_Not_update"/>
      <sheetName val="FG_waste22"/>
      <sheetName val="08-09_Plan22"/>
      <sheetName val="PL_AOP_Input22"/>
      <sheetName val="Transport_Problem20"/>
      <sheetName val="Code_Supplier5"/>
      <sheetName val="FG_waste25"/>
      <sheetName val="08-09_Plan25"/>
      <sheetName val="PL_AOP_Input25"/>
      <sheetName val="Transport_Problem23"/>
      <sheetName val="Code_Supplier8"/>
      <sheetName val="Set_up_&amp;_Instructions2"/>
      <sheetName val="2020_Eatery_Tools2"/>
      <sheetName val="TT_ET_Dashboard2"/>
      <sheetName val="Eatery_Target_from_Sales_Conf2"/>
      <sheetName val="2020_Target_by_Region2"/>
      <sheetName val="Sales_OBjective_20202"/>
      <sheetName val="2020_Target_by_Distributor_2"/>
      <sheetName val="2020_ET_Vol2"/>
      <sheetName val="2020__serviced_outlets2"/>
      <sheetName val="Exclusive_summary_2"/>
      <sheetName val="2020_ET-SKU_outlet2"/>
      <sheetName val="2020_Share&amp;_Dist2"/>
      <sheetName val="2020_EPR2"/>
      <sheetName val="2020_PMX_2"/>
      <sheetName val="2018-2019_ET_vol_(STD)2"/>
      <sheetName val="PMX_2020-_Non-buy_2"/>
      <sheetName val="Target_new_outelts_by_Force2"/>
      <sheetName val="Outlet_by_ADCs2"/>
      <sheetName val="Outlet_by_ADRs2"/>
      <sheetName val="Outlet_by_CRs2"/>
      <sheetName val="2019_Share_&amp;_Dist2"/>
      <sheetName val="COLA_Pack_Size2"/>
      <sheetName val="Flav+LL_Pack_Size2"/>
      <sheetName val="Provision_and_TT_Share2"/>
      <sheetName val="2020_Event2"/>
      <sheetName val="2020_Rout_Model2"/>
      <sheetName val="2020Route_Model2"/>
      <sheetName val="Rote_Model_Tracking2"/>
      <sheetName val="2020_Market_Visit2"/>
      <sheetName val="#_of_New_ET_by_Force_2"/>
      <sheetName val="_2020_Master_Not_update2"/>
      <sheetName val="FG_waste26"/>
      <sheetName val="08-09_Plan26"/>
      <sheetName val="PL_AOP_Input26"/>
      <sheetName val="Transport_Problem24"/>
      <sheetName val="Code_Supplier9"/>
      <sheetName val="Set_up_&amp;_Instructions3"/>
      <sheetName val="2020_Eatery_Tools3"/>
      <sheetName val="TT_ET_Dashboard3"/>
      <sheetName val="Eatery_Target_from_Sales_Conf3"/>
      <sheetName val="2020_Target_by_Region3"/>
      <sheetName val="Sales_OBjective_20203"/>
      <sheetName val="2020_Target_by_Distributor_3"/>
      <sheetName val="2020_ET_Vol3"/>
      <sheetName val="2020__serviced_outlets3"/>
      <sheetName val="Exclusive_summary_3"/>
      <sheetName val="2020_ET-SKU_outlet3"/>
      <sheetName val="2020_Share&amp;_Dist3"/>
      <sheetName val="2020_EPR3"/>
      <sheetName val="2020_PMX_3"/>
      <sheetName val="2018-2019_ET_vol_(STD)3"/>
      <sheetName val="PMX_2020-_Non-buy_3"/>
      <sheetName val="Target_new_outelts_by_Force3"/>
      <sheetName val="Outlet_by_ADCs3"/>
      <sheetName val="Outlet_by_ADRs3"/>
      <sheetName val="Outlet_by_CRs3"/>
      <sheetName val="2019_Share_&amp;_Dist3"/>
      <sheetName val="COLA_Pack_Size3"/>
      <sheetName val="Flav+LL_Pack_Size3"/>
      <sheetName val="Provision_and_TT_Share3"/>
      <sheetName val="2020_Event3"/>
      <sheetName val="2020_Rout_Model3"/>
      <sheetName val="2020Route_Model3"/>
      <sheetName val="Rote_Model_Tracking3"/>
      <sheetName val="2020_Market_Visit3"/>
      <sheetName val="#_of_New_ET_by_Force_3"/>
      <sheetName val="_2020_Master_Not_update3"/>
      <sheetName val="FG_waste27"/>
      <sheetName val="08-09_Plan27"/>
      <sheetName val="PL_AOP_Input27"/>
      <sheetName val="Transport_Problem25"/>
      <sheetName val="Code_Supplier10"/>
      <sheetName val="Set_up_&amp;_Instructions4"/>
      <sheetName val="2020_Eatery_Tools4"/>
      <sheetName val="TT_ET_Dashboard4"/>
      <sheetName val="Eatery_Target_from_Sales_Conf4"/>
      <sheetName val="2020_Target_by_Region4"/>
      <sheetName val="Sales_OBjective_20204"/>
      <sheetName val="2020_Target_by_Distributor_4"/>
      <sheetName val="2020_ET_Vol4"/>
      <sheetName val="2020__serviced_outlets4"/>
      <sheetName val="Exclusive_summary_4"/>
      <sheetName val="2020_ET-SKU_outlet4"/>
      <sheetName val="2020_Share&amp;_Dist4"/>
      <sheetName val="2020_EPR4"/>
      <sheetName val="2020_PMX_4"/>
      <sheetName val="2018-2019_ET_vol_(STD)4"/>
      <sheetName val="PMX_2020-_Non-buy_4"/>
      <sheetName val="Target_new_outelts_by_Force4"/>
      <sheetName val="Outlet_by_ADCs4"/>
      <sheetName val="Outlet_by_ADRs4"/>
      <sheetName val="Outlet_by_CRs4"/>
      <sheetName val="2019_Share_&amp;_Dist4"/>
      <sheetName val="COLA_Pack_Size4"/>
      <sheetName val="Flav+LL_Pack_Size4"/>
      <sheetName val="Provision_and_TT_Share4"/>
      <sheetName val="2020_Event4"/>
      <sheetName val="2020_Rout_Model4"/>
      <sheetName val="2020Route_Model4"/>
      <sheetName val="Rote_Model_Tracking4"/>
      <sheetName val="2020_Market_Visit4"/>
      <sheetName val="#_of_New_ET_by_Force_4"/>
      <sheetName val="_2020_Master_Not_update4"/>
      <sheetName val="FG_waste28"/>
      <sheetName val="08-09_Plan28"/>
      <sheetName val="PL_AOP_Input28"/>
      <sheetName val="Transport_Problem26"/>
      <sheetName val="Code_Supplier11"/>
      <sheetName val="Set_up_&amp;_Instructions5"/>
      <sheetName val="2020_Eatery_Tools5"/>
      <sheetName val="TT_ET_Dashboard5"/>
      <sheetName val="Eatery_Target_from_Sales_Conf5"/>
      <sheetName val="2020_Target_by_Region5"/>
      <sheetName val="Sales_OBjective_20205"/>
      <sheetName val="2020_Target_by_Distributor_5"/>
      <sheetName val="2020_ET_Vol5"/>
      <sheetName val="2020__serviced_outlets5"/>
      <sheetName val="Exclusive_summary_5"/>
      <sheetName val="2020_ET-SKU_outlet5"/>
      <sheetName val="2020_Share&amp;_Dist5"/>
      <sheetName val="2020_EPR5"/>
      <sheetName val="2020_PMX_5"/>
      <sheetName val="2018-2019_ET_vol_(STD)5"/>
      <sheetName val="PMX_2020-_Non-buy_5"/>
      <sheetName val="Target_new_outelts_by_Force5"/>
      <sheetName val="Outlet_by_ADCs5"/>
      <sheetName val="Outlet_by_ADRs5"/>
      <sheetName val="Outlet_by_CRs5"/>
      <sheetName val="2019_Share_&amp;_Dist5"/>
      <sheetName val="COLA_Pack_Size5"/>
      <sheetName val="Flav+LL_Pack_Size5"/>
      <sheetName val="Provision_and_TT_Share5"/>
      <sheetName val="2020_Event5"/>
      <sheetName val="2020_Rout_Model5"/>
      <sheetName val="2020Route_Model5"/>
      <sheetName val="Rote_Model_Tracking5"/>
      <sheetName val="2020_Market_Visit5"/>
      <sheetName val="#_of_New_ET_by_Force_5"/>
      <sheetName val="_2020_Master_Not_update5"/>
      <sheetName val="2020 Target by Distributor"/>
      <sheetName val="Exclusive summary"/>
      <sheetName val="2020 PMX"/>
      <sheetName val="PMX 2020- Non-buy"/>
      <sheetName val="# of New ET by Force"/>
      <sheetName val="2020 Master Not update"/>
      <sheetName val="FG_waste29"/>
      <sheetName val="08-09_Plan29"/>
      <sheetName val="PL_AOP_Input29"/>
      <sheetName val="Transport_Problem27"/>
      <sheetName val="Code_Supplier12"/>
      <sheetName val="Set_up_&amp;_Instructions6"/>
      <sheetName val="2020_Eatery_Tools6"/>
      <sheetName val="TT_ET_Dashboard6"/>
      <sheetName val="Eatery_Target_from_Sales_Conf6"/>
      <sheetName val="2020_Target_by_Region6"/>
      <sheetName val="Sales_OBjective_20206"/>
      <sheetName val="2020_Target_by_Distributor_6"/>
      <sheetName val="2020_ET_Vol6"/>
      <sheetName val="2020__serviced_outlets6"/>
      <sheetName val="Exclusive_summary_6"/>
      <sheetName val="2020_ET-SKU_outlet6"/>
      <sheetName val="2020_Share&amp;_Dist6"/>
      <sheetName val="2020_EPR6"/>
      <sheetName val="2020_PMX_6"/>
      <sheetName val="2018-2019_ET_vol_(STD)6"/>
      <sheetName val="PMX_2020-_Non-buy_6"/>
      <sheetName val="Target_new_outelts_by_Force6"/>
      <sheetName val="Outlet_by_ADCs6"/>
      <sheetName val="Outlet_by_ADRs6"/>
      <sheetName val="Outlet_by_CRs6"/>
      <sheetName val="2019_Share_&amp;_Dist6"/>
      <sheetName val="COLA_Pack_Size6"/>
      <sheetName val="Flav+LL_Pack_Size6"/>
      <sheetName val="Provision_and_TT_Share6"/>
      <sheetName val="2020_Event6"/>
      <sheetName val="2020_Rout_Model6"/>
      <sheetName val="2020Route_Model6"/>
      <sheetName val="Rote_Model_Tracking6"/>
      <sheetName val="2020_Market_Visit6"/>
      <sheetName val="#_of_New_ET_by_Force_6"/>
      <sheetName val="_2020_Master_Not_update6"/>
      <sheetName val="FG_waste30"/>
      <sheetName val="08-09_Plan30"/>
      <sheetName val="PL_AOP_Input30"/>
      <sheetName val="Transport_Problem28"/>
      <sheetName val="Code_Supplier13"/>
      <sheetName val="Set_up_&amp;_Instructions7"/>
      <sheetName val="2020_Eatery_Tools7"/>
      <sheetName val="TT_ET_Dashboard7"/>
      <sheetName val="Eatery_Target_from_Sales_Conf7"/>
      <sheetName val="2020_Target_by_Region7"/>
      <sheetName val="Sales_OBjective_20207"/>
      <sheetName val="2020_Target_by_Distributor_7"/>
      <sheetName val="2020_ET_Vol7"/>
      <sheetName val="2020__serviced_outlets7"/>
      <sheetName val="Exclusive_summary_7"/>
      <sheetName val="2020_ET-SKU_outlet7"/>
      <sheetName val="2020_Share&amp;_Dist7"/>
      <sheetName val="2020_EPR7"/>
      <sheetName val="2020_PMX_7"/>
      <sheetName val="2018-2019_ET_vol_(STD)7"/>
      <sheetName val="PMX_2020-_Non-buy_7"/>
      <sheetName val="Target_new_outelts_by_Force7"/>
      <sheetName val="Outlet_by_ADCs7"/>
      <sheetName val="Outlet_by_ADRs7"/>
      <sheetName val="Outlet_by_CRs7"/>
      <sheetName val="2019_Share_&amp;_Dist7"/>
      <sheetName val="COLA_Pack_Size7"/>
      <sheetName val="Flav+LL_Pack_Size7"/>
      <sheetName val="Provision_and_TT_Share7"/>
      <sheetName val="2020_Event7"/>
      <sheetName val="2020_Rout_Model7"/>
      <sheetName val="2020Route_Model7"/>
      <sheetName val="Rote_Model_Tracking7"/>
      <sheetName val="2020_Market_Visit7"/>
      <sheetName val="#_of_New_ET_by_Force_7"/>
      <sheetName val="_2020_Master_Not_update7"/>
      <sheetName val="FG_waste31"/>
      <sheetName val="08-09_Plan31"/>
      <sheetName val="PL_AOP_Input31"/>
      <sheetName val="Transport_Problem29"/>
      <sheetName val="Code_Supplier14"/>
      <sheetName val="Set_up_&amp;_Instructions8"/>
      <sheetName val="2020_Eatery_Tools8"/>
      <sheetName val="TT_ET_Dashboard8"/>
      <sheetName val="Eatery_Target_from_Sales_Conf8"/>
      <sheetName val="2020_Target_by_Region8"/>
      <sheetName val="Sales_OBjective_20208"/>
      <sheetName val="2020_Target_by_Distributor_8"/>
      <sheetName val="2020_ET_Vol8"/>
      <sheetName val="2020__serviced_outlets8"/>
      <sheetName val="Exclusive_summary_8"/>
      <sheetName val="2020_ET-SKU_outlet8"/>
      <sheetName val="2020_Share&amp;_Dist8"/>
      <sheetName val="2020_EPR8"/>
      <sheetName val="2020_PMX_8"/>
      <sheetName val="2018-2019_ET_vol_(STD)8"/>
      <sheetName val="PMX_2020-_Non-buy_8"/>
      <sheetName val="Target_new_outelts_by_Force8"/>
      <sheetName val="Outlet_by_ADCs8"/>
      <sheetName val="Outlet_by_ADRs8"/>
      <sheetName val="Outlet_by_CRs8"/>
      <sheetName val="2019_Share_&amp;_Dist8"/>
      <sheetName val="COLA_Pack_Size8"/>
      <sheetName val="Flav+LL_Pack_Size8"/>
      <sheetName val="Provision_and_TT_Share8"/>
      <sheetName val="2020_Event8"/>
      <sheetName val="2020_Rout_Model8"/>
      <sheetName val="2020Route_Model8"/>
      <sheetName val="Rote_Model_Tracking8"/>
      <sheetName val="2020_Market_Visit8"/>
      <sheetName val="#_of_New_ET_by_Force_8"/>
      <sheetName val="_2020_Master_Not_update8"/>
      <sheetName val="AccessPoint"/>
      <sheetName val="Database"/>
      <sheetName val="BarcodePrnt"/>
      <sheetName val="DotMatrixPrnt"/>
      <sheetName val="AP Cost Estimate"/>
      <sheetName val="LaserPrnt"/>
      <sheetName val="Notebook"/>
      <sheetName val="PABX"/>
      <sheetName val="PC"/>
      <sheetName val="PrntServer"/>
      <sheetName val="Parameter"/>
      <sheetName val="Rack"/>
      <sheetName val="Switch"/>
      <sheetName val="UPS"/>
      <sheetName val="WirelessSwitch"/>
      <sheetName val="SAP_2006"/>
      <sheetName val="list"/>
      <sheetName val="FG_waste32"/>
      <sheetName val="08-09_Plan32"/>
      <sheetName val="PL_AOP_Input32"/>
      <sheetName val="Transport_Problem30"/>
      <sheetName val="Code_Supplier15"/>
      <sheetName val="Set_up_&amp;_Instructions9"/>
      <sheetName val="2020_Eatery_Tools9"/>
      <sheetName val="TT_ET_Dashboard9"/>
      <sheetName val="Eatery_Target_from_Sales_Conf9"/>
      <sheetName val="2020_Target_by_Region9"/>
      <sheetName val="Sales_OBjective_20209"/>
      <sheetName val="2020_Target_by_Distributor_9"/>
      <sheetName val="2020_ET_Vol9"/>
      <sheetName val="2020__serviced_outlets9"/>
      <sheetName val="Exclusive_summary_9"/>
      <sheetName val="2020_ET-SKU_outlet9"/>
      <sheetName val="2020_Share&amp;_Dist9"/>
      <sheetName val="2020_EPR9"/>
      <sheetName val="2020_PMX_9"/>
      <sheetName val="2018-2019_ET_vol_(STD)9"/>
      <sheetName val="PMX_2020-_Non-buy_9"/>
      <sheetName val="Target_new_outelts_by_Force9"/>
      <sheetName val="Outlet_by_ADCs9"/>
      <sheetName val="Outlet_by_ADRs9"/>
      <sheetName val="Outlet_by_CRs9"/>
      <sheetName val="2019_Share_&amp;_Dist9"/>
      <sheetName val="COLA_Pack_Size9"/>
      <sheetName val="Flav+LL_Pack_Size9"/>
      <sheetName val="Provision_and_TT_Share9"/>
      <sheetName val="2020_Event9"/>
      <sheetName val="2020_Rout_Model9"/>
      <sheetName val="2020Route_Model9"/>
      <sheetName val="Rote_Model_Tracking9"/>
      <sheetName val="2020_Market_Visit9"/>
      <sheetName val="#_of_New_ET_by_Force_9"/>
      <sheetName val="_2020_Master_Not_update9"/>
      <sheetName val="AP_Cost_Estimate"/>
      <sheetName val="2020_Target_by_Distributor"/>
      <sheetName val="Exclusive_summary"/>
      <sheetName val="2020_PMX"/>
      <sheetName val="PMX_2020-_Non-buy"/>
      <sheetName val="#_of_New_ET_by_Force"/>
      <sheetName val="2020_Master_Not_update"/>
      <sheetName val="FG_waste33"/>
      <sheetName val="08-09_Plan33"/>
      <sheetName val="PL_AOP_Input33"/>
      <sheetName val="Transport_Problem31"/>
      <sheetName val="Code_Supplier16"/>
      <sheetName val="Set_up_&amp;_Instructions10"/>
      <sheetName val="2020_Eatery_Tools10"/>
      <sheetName val="TT_ET_Dashboard10"/>
      <sheetName val="Eatery_Target_from_Sales_Conf10"/>
      <sheetName val="2020_Target_by_Region10"/>
      <sheetName val="Sales_OBjective_202010"/>
      <sheetName val="2020_Target_by_Distributor_10"/>
      <sheetName val="2020_ET_Vol10"/>
      <sheetName val="2020__serviced_outlets10"/>
      <sheetName val="Exclusive_summary_10"/>
      <sheetName val="2020_ET-SKU_outlet10"/>
      <sheetName val="2020_Share&amp;_Dist10"/>
      <sheetName val="2020_EPR10"/>
      <sheetName val="2020_PMX_10"/>
      <sheetName val="2018-2019_ET_vol_(STD)10"/>
      <sheetName val="PMX_2020-_Non-buy_10"/>
      <sheetName val="Target_new_outelts_by_Force10"/>
      <sheetName val="Outlet_by_ADCs10"/>
      <sheetName val="Outlet_by_ADRs10"/>
      <sheetName val="Outlet_by_CRs10"/>
      <sheetName val="2019_Share_&amp;_Dist10"/>
      <sheetName val="COLA_Pack_Size10"/>
      <sheetName val="Flav+LL_Pack_Size10"/>
      <sheetName val="Provision_and_TT_Share10"/>
      <sheetName val="2020_Event10"/>
      <sheetName val="2020_Rout_Model10"/>
      <sheetName val="2020Route_Model10"/>
      <sheetName val="Rote_Model_Tracking10"/>
      <sheetName val="2020_Market_Visit10"/>
      <sheetName val="#_of_New_ET_by_Force_10"/>
      <sheetName val="_2020_Master_Not_update10"/>
      <sheetName val="2020_Target_by_Distributor1"/>
      <sheetName val="Exclusive_summary1"/>
      <sheetName val="2020_PMX1"/>
      <sheetName val="PMX_2020-_Non-buy1"/>
      <sheetName val="#_of_New_ET_by_Force1"/>
      <sheetName val="2020_Master_Not_update1"/>
      <sheetName val="AP_Cost_Estimate1"/>
      <sheetName val="Truck Type"/>
      <sheetName val="BKK"/>
      <sheetName val="FG_waste34"/>
      <sheetName val="08-09_Plan34"/>
      <sheetName val="PL_AOP_Input34"/>
      <sheetName val="Transport_Problem32"/>
      <sheetName val="Code_Supplier17"/>
      <sheetName val="Set_up_&amp;_Instructions11"/>
      <sheetName val="2020_Eatery_Tools11"/>
      <sheetName val="TT_ET_Dashboard11"/>
      <sheetName val="Eatery_Target_from_Sales_Conf11"/>
      <sheetName val="2020_Target_by_Region11"/>
      <sheetName val="Sales_OBjective_202011"/>
      <sheetName val="2020_Target_by_Distributor_11"/>
      <sheetName val="2020_ET_Vol11"/>
      <sheetName val="2020__serviced_outlets11"/>
      <sheetName val="Exclusive_summary_11"/>
      <sheetName val="2020_ET-SKU_outlet11"/>
      <sheetName val="2020_Share&amp;_Dist11"/>
      <sheetName val="2020_EPR11"/>
      <sheetName val="2020_PMX_11"/>
      <sheetName val="2018-2019_ET_vol_(STD)11"/>
      <sheetName val="PMX_2020-_Non-buy_11"/>
      <sheetName val="Target_new_outelts_by_Force11"/>
      <sheetName val="Outlet_by_ADCs11"/>
      <sheetName val="Outlet_by_ADRs11"/>
      <sheetName val="Outlet_by_CRs11"/>
      <sheetName val="2019_Share_&amp;_Dist11"/>
      <sheetName val="COLA_Pack_Size11"/>
      <sheetName val="Flav+LL_Pack_Size11"/>
      <sheetName val="Provision_and_TT_Share11"/>
      <sheetName val="2020_Event11"/>
      <sheetName val="2020_Rout_Model11"/>
      <sheetName val="2020Route_Model11"/>
      <sheetName val="Rote_Model_Tracking11"/>
      <sheetName val="2020_Market_Visit11"/>
      <sheetName val="#_of_New_ET_by_Force_11"/>
      <sheetName val="_2020_Master_Not_update11"/>
      <sheetName val="2020_Target_by_Distributor2"/>
      <sheetName val="Exclusive_summary2"/>
      <sheetName val="2020_PMX2"/>
      <sheetName val="PMX_2020-_Non-buy2"/>
      <sheetName val="#_of_New_ET_by_Force2"/>
      <sheetName val="2020_Master_Not_update2"/>
      <sheetName val="AP_Cost_Estimate2"/>
      <sheetName val="Ex-Rate"/>
      <sheetName val="det"/>
      <sheetName val="det99"/>
      <sheetName val="alo"/>
      <sheetName val="95MIARTS"/>
      <sheetName val="Truck_Type"/>
      <sheetName val="FG_waste35"/>
      <sheetName val="08-09_Plan35"/>
      <sheetName val="PL_AOP_Input35"/>
      <sheetName val="Transport_Problem33"/>
      <sheetName val="Code_Supplier18"/>
      <sheetName val="Set_up_&amp;_Instructions12"/>
      <sheetName val="2020_Eatery_Tools12"/>
      <sheetName val="TT_ET_Dashboard12"/>
      <sheetName val="Eatery_Target_from_Sales_Conf12"/>
      <sheetName val="2020_Target_by_Region12"/>
      <sheetName val="Sales_OBjective_202012"/>
      <sheetName val="2020_Target_by_Distributor_12"/>
      <sheetName val="2020_ET_Vol12"/>
      <sheetName val="2020__serviced_outlets12"/>
      <sheetName val="Exclusive_summary_12"/>
      <sheetName val="2020_ET-SKU_outlet12"/>
      <sheetName val="2020_Share&amp;_Dist12"/>
      <sheetName val="2020_EPR12"/>
      <sheetName val="2020_PMX_12"/>
      <sheetName val="2018-2019_ET_vol_(STD)12"/>
      <sheetName val="PMX_2020-_Non-buy_12"/>
      <sheetName val="Target_new_outelts_by_Force12"/>
      <sheetName val="Outlet_by_ADCs12"/>
      <sheetName val="Outlet_by_ADRs12"/>
      <sheetName val="Outlet_by_CRs12"/>
      <sheetName val="2019_Share_&amp;_Dist12"/>
      <sheetName val="COLA_Pack_Size12"/>
      <sheetName val="Flav+LL_Pack_Size12"/>
      <sheetName val="Provision_and_TT_Share12"/>
      <sheetName val="2020_Event12"/>
      <sheetName val="2020_Rout_Model12"/>
      <sheetName val="2020Route_Model12"/>
      <sheetName val="Rote_Model_Tracking12"/>
      <sheetName val="2020_Market_Visit12"/>
      <sheetName val="#_of_New_ET_by_Force_12"/>
      <sheetName val="_2020_Master_Not_update12"/>
      <sheetName val="2020_Target_by_Distributor3"/>
      <sheetName val="Exclusive_summary3"/>
      <sheetName val="2020_PMX3"/>
      <sheetName val="PMX_2020-_Non-buy3"/>
      <sheetName val="#_of_New_ET_by_Force3"/>
      <sheetName val="2020_Master_Not_update3"/>
      <sheetName val="AP_Cost_Estimate3"/>
      <sheetName val="Truck_Type1"/>
      <sheetName val="ﾁｪｰﾝﾙｰﾄ"/>
      <sheetName val="ｽｹｼﾞｭｰﾙ"/>
      <sheetName val="Capex"/>
      <sheetName val="Sheet2"/>
      <sheetName val="FG_waste36"/>
      <sheetName val="08-09_Plan36"/>
      <sheetName val="PL_AOP_Input36"/>
      <sheetName val="Transport_Problem34"/>
      <sheetName val="Code_Supplier19"/>
      <sheetName val="Set_up_&amp;_Instructions13"/>
      <sheetName val="2020_Eatery_Tools13"/>
      <sheetName val="TT_ET_Dashboard13"/>
      <sheetName val="Eatery_Target_from_Sales_Conf13"/>
      <sheetName val="2020_Target_by_Region13"/>
      <sheetName val="Sales_OBjective_202013"/>
      <sheetName val="2020_Target_by_Distributor_13"/>
      <sheetName val="2020_ET_Vol13"/>
      <sheetName val="2020__serviced_outlets13"/>
      <sheetName val="Exclusive_summary_13"/>
      <sheetName val="2020_ET-SKU_outlet13"/>
      <sheetName val="2020_Share&amp;_Dist13"/>
      <sheetName val="2020_EPR13"/>
      <sheetName val="2020_PMX_13"/>
      <sheetName val="2018-2019_ET_vol_(STD)13"/>
      <sheetName val="PMX_2020-_Non-buy_13"/>
      <sheetName val="Target_new_outelts_by_Force13"/>
      <sheetName val="Outlet_by_ADCs13"/>
      <sheetName val="Outlet_by_ADRs13"/>
      <sheetName val="Outlet_by_CRs13"/>
      <sheetName val="2019_Share_&amp;_Dist13"/>
      <sheetName val="COLA_Pack_Size13"/>
      <sheetName val="Flav+LL_Pack_Size13"/>
      <sheetName val="Provision_and_TT_Share13"/>
      <sheetName val="2020_Event13"/>
      <sheetName val="2020_Rout_Model13"/>
      <sheetName val="2020Route_Model13"/>
      <sheetName val="Rote_Model_Tracking13"/>
      <sheetName val="2020_Market_Visit13"/>
      <sheetName val="#_of_New_ET_by_Force_13"/>
      <sheetName val="_2020_Master_Not_update13"/>
      <sheetName val="AP_Cost_Estimate4"/>
      <sheetName val="2020_Target_by_Distributor4"/>
      <sheetName val="Exclusive_summary4"/>
      <sheetName val="2020_PMX4"/>
      <sheetName val="PMX_2020-_Non-buy4"/>
      <sheetName val="#_of_New_ET_by_Force4"/>
      <sheetName val="2020_Master_Not_update4"/>
      <sheetName val="FG_waste37"/>
      <sheetName val="08-09_Plan37"/>
      <sheetName val="PL_AOP_Input37"/>
      <sheetName val="Transport_Problem35"/>
      <sheetName val="Code_Supplier20"/>
      <sheetName val="Set_up_&amp;_Instructions14"/>
      <sheetName val="2020_Eatery_Tools14"/>
      <sheetName val="TT_ET_Dashboard14"/>
      <sheetName val="Eatery_Target_from_Sales_Conf14"/>
      <sheetName val="2020_Target_by_Region14"/>
      <sheetName val="Sales_OBjective_202014"/>
      <sheetName val="2020_Target_by_Distributor_14"/>
      <sheetName val="2020_ET_Vol14"/>
      <sheetName val="2020__serviced_outlets14"/>
      <sheetName val="Exclusive_summary_14"/>
      <sheetName val="2020_ET-SKU_outlet14"/>
      <sheetName val="2020_Share&amp;_Dist14"/>
      <sheetName val="2020_EPR14"/>
      <sheetName val="2020_PMX_14"/>
      <sheetName val="2018-2019_ET_vol_(STD)14"/>
      <sheetName val="PMX_2020-_Non-buy_14"/>
      <sheetName val="Target_new_outelts_by_Force14"/>
      <sheetName val="Outlet_by_ADCs14"/>
      <sheetName val="Outlet_by_ADRs14"/>
      <sheetName val="Outlet_by_CRs14"/>
      <sheetName val="2019_Share_&amp;_Dist14"/>
      <sheetName val="COLA_Pack_Size14"/>
      <sheetName val="Flav+LL_Pack_Size14"/>
      <sheetName val="Provision_and_TT_Share14"/>
      <sheetName val="2020_Event14"/>
      <sheetName val="2020_Rout_Model14"/>
      <sheetName val="2020Route_Model14"/>
      <sheetName val="Rote_Model_Tracking14"/>
      <sheetName val="2020_Market_Visit14"/>
      <sheetName val="#_of_New_ET_by_Force_14"/>
      <sheetName val="_2020_Master_Not_update14"/>
      <sheetName val="AP_Cost_Estimate5"/>
      <sheetName val="2020_Target_by_Distributor5"/>
      <sheetName val="Exclusive_summary5"/>
      <sheetName val="2020_PMX5"/>
      <sheetName val="PMX_2020-_Non-buy5"/>
      <sheetName val="#_of_New_ET_by_Force5"/>
      <sheetName val="2020_Master_Not_update5"/>
      <sheetName val="Truck_Type2"/>
      <sheetName val="South"/>
      <sheetName val="driver"/>
      <sheetName val="Perameter"/>
      <sheetName val="trial_bal"/>
      <sheetName val="GZ-Sum"/>
      <sheetName val="#¡REF"/>
      <sheetName val="FG_waste38"/>
      <sheetName val="08-09_Plan38"/>
      <sheetName val="PL_AOP_Input38"/>
      <sheetName val="Transport_Problem36"/>
      <sheetName val="Code_Supplier21"/>
      <sheetName val="Set_up_&amp;_Instructions15"/>
      <sheetName val="2020_Eatery_Tools15"/>
      <sheetName val="TT_ET_Dashboard15"/>
      <sheetName val="Eatery_Target_from_Sales_Conf15"/>
      <sheetName val="2020_Target_by_Region15"/>
      <sheetName val="Sales_OBjective_202015"/>
      <sheetName val="2020_Target_by_Distributor_15"/>
      <sheetName val="2020_ET_Vol15"/>
      <sheetName val="2020__serviced_outlets15"/>
      <sheetName val="Exclusive_summary_15"/>
      <sheetName val="2020_ET-SKU_outlet15"/>
      <sheetName val="2020_Share&amp;_Dist15"/>
      <sheetName val="2020_EPR15"/>
      <sheetName val="2020_PMX_15"/>
      <sheetName val="2018-2019_ET_vol_(STD)15"/>
      <sheetName val="PMX_2020-_Non-buy_15"/>
      <sheetName val="Target_new_outelts_by_Force15"/>
      <sheetName val="Outlet_by_ADCs15"/>
      <sheetName val="Outlet_by_ADRs15"/>
      <sheetName val="Outlet_by_CRs15"/>
      <sheetName val="2019_Share_&amp;_Dist15"/>
      <sheetName val="COLA_Pack_Size15"/>
      <sheetName val="Flav+LL_Pack_Size15"/>
      <sheetName val="Provision_and_TT_Share15"/>
      <sheetName val="2020_Event15"/>
      <sheetName val="2020_Rout_Model15"/>
      <sheetName val="2020Route_Model15"/>
      <sheetName val="Rote_Model_Tracking15"/>
      <sheetName val="2020_Market_Visit15"/>
      <sheetName val="#_of_New_ET_by_Force_15"/>
      <sheetName val="_2020_Master_Not_update15"/>
      <sheetName val="AP_Cost_Estimate6"/>
      <sheetName val="2020_Target_by_Distributor6"/>
      <sheetName val="Exclusive_summary6"/>
      <sheetName val="2020_PMX6"/>
      <sheetName val="PMX_2020-_Non-buy6"/>
      <sheetName val="#_of_New_ET_by_Force6"/>
      <sheetName val="2020_Master_Not_update6"/>
      <sheetName val="Truck_Type3"/>
      <sheetName val="Volume"/>
      <sheetName val="DATA"/>
    </sheetNames>
    <sheetDataSet>
      <sheetData sheetId="0" refreshError="1">
        <row r="3">
          <cell r="B3" t="str">
            <v>Lotus</v>
          </cell>
        </row>
        <row r="4">
          <cell r="B4" t="str">
            <v>BigC</v>
          </cell>
        </row>
        <row r="5">
          <cell r="B5" t="str">
            <v>C4</v>
          </cell>
        </row>
        <row r="6">
          <cell r="B6" t="str">
            <v>Hypermarket</v>
          </cell>
        </row>
        <row r="7">
          <cell r="B7" t="str">
            <v>7-11</v>
          </cell>
        </row>
        <row r="8">
          <cell r="B8" t="str">
            <v>SFM</v>
          </cell>
        </row>
        <row r="9">
          <cell r="B9" t="str">
            <v>OtherCVS</v>
          </cell>
        </row>
        <row r="10">
          <cell r="B10" t="str">
            <v>CVS</v>
          </cell>
        </row>
        <row r="11">
          <cell r="B11" t="str">
            <v>Jiffy</v>
          </cell>
        </row>
        <row r="12">
          <cell r="B12" t="str">
            <v>Esso</v>
          </cell>
        </row>
        <row r="13">
          <cell r="B13" t="str">
            <v>Caltex</v>
          </cell>
        </row>
        <row r="14">
          <cell r="B14" t="str">
            <v>OtherGas</v>
          </cell>
        </row>
        <row r="15">
          <cell r="B15" t="str">
            <v>Gas Station</v>
          </cell>
        </row>
        <row r="16">
          <cell r="B16" t="str">
            <v>Tops</v>
          </cell>
        </row>
        <row r="17">
          <cell r="B17" t="str">
            <v>SmallSPM</v>
          </cell>
        </row>
        <row r="18">
          <cell r="B18" t="str">
            <v>LCOT</v>
          </cell>
        </row>
        <row r="19">
          <cell r="B19" t="str">
            <v>SPM</v>
          </cell>
        </row>
        <row r="20">
          <cell r="B20" t="str">
            <v>Major</v>
          </cell>
        </row>
        <row r="21">
          <cell r="B21" t="str">
            <v>SF</v>
          </cell>
        </row>
        <row r="22">
          <cell r="B22" t="str">
            <v>Entertainment</v>
          </cell>
        </row>
        <row r="23">
          <cell r="B23" t="str">
            <v>Organized Trade</v>
          </cell>
        </row>
        <row r="24">
          <cell r="B24" t="str">
            <v>Alpha</v>
          </cell>
        </row>
        <row r="25">
          <cell r="B25" t="str">
            <v>Beta</v>
          </cell>
        </row>
        <row r="26">
          <cell r="B26" t="str">
            <v>Gma</v>
          </cell>
        </row>
        <row r="27">
          <cell r="B27" t="str">
            <v>WS-Others</v>
          </cell>
        </row>
        <row r="28">
          <cell r="B28" t="str">
            <v>Wholesaler</v>
          </cell>
        </row>
        <row r="29">
          <cell r="B29" t="str">
            <v>Makro</v>
          </cell>
        </row>
        <row r="30">
          <cell r="B30" t="str">
            <v>Cash + Carry</v>
          </cell>
        </row>
        <row r="31">
          <cell r="B31" t="str">
            <v>DTS</v>
          </cell>
        </row>
        <row r="32">
          <cell r="B32" t="str">
            <v>ASD</v>
          </cell>
        </row>
        <row r="33">
          <cell r="B33" t="str">
            <v>OtherASD</v>
          </cell>
        </row>
        <row r="34">
          <cell r="B34" t="str">
            <v>AS&amp;D</v>
          </cell>
        </row>
        <row r="35">
          <cell r="B35" t="str">
            <v>Traditional Trade</v>
          </cell>
        </row>
        <row r="36">
          <cell r="B36" t="str">
            <v>FLT</v>
          </cell>
        </row>
      </sheetData>
      <sheetData sheetId="1" refreshError="1">
        <row r="1">
          <cell r="A1" t="str">
            <v>Row</v>
          </cell>
          <cell r="C1">
            <v>117</v>
          </cell>
        </row>
      </sheetData>
      <sheetData sheetId="2" refreshError="1">
        <row r="2">
          <cell r="R2">
            <v>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1">
          <cell r="C1">
            <v>6.7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1">
          <cell r="C1">
            <v>6.7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>
        <row r="1">
          <cell r="C1">
            <v>6.7</v>
          </cell>
        </row>
      </sheetData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>
        <row r="1">
          <cell r="C1">
            <v>6.7</v>
          </cell>
        </row>
      </sheetData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>
        <row r="1">
          <cell r="C1">
            <v>6.7</v>
          </cell>
        </row>
      </sheetData>
      <sheetData sheetId="126"/>
      <sheetData sheetId="127"/>
      <sheetData sheetId="128">
        <row r="1">
          <cell r="C1">
            <v>6.7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>
        <row r="1">
          <cell r="C1">
            <v>6.7</v>
          </cell>
        </row>
      </sheetData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>
        <row r="1">
          <cell r="C1">
            <v>6.7</v>
          </cell>
        </row>
      </sheetData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>
        <row r="1">
          <cell r="C1">
            <v>6.7</v>
          </cell>
        </row>
      </sheetData>
      <sheetData sheetId="183"/>
      <sheetData sheetId="184"/>
      <sheetData sheetId="185">
        <row r="1">
          <cell r="C1">
            <v>6.7</v>
          </cell>
        </row>
      </sheetData>
      <sheetData sheetId="186"/>
      <sheetData sheetId="187"/>
      <sheetData sheetId="188">
        <row r="1">
          <cell r="C1">
            <v>6.7</v>
          </cell>
        </row>
      </sheetData>
      <sheetData sheetId="189"/>
      <sheetData sheetId="190"/>
      <sheetData sheetId="191"/>
      <sheetData sheetId="192"/>
      <sheetData sheetId="193"/>
      <sheetData sheetId="194">
        <row r="1">
          <cell r="C1">
            <v>6.7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>
        <row r="1">
          <cell r="C1">
            <v>6.7</v>
          </cell>
        </row>
      </sheetData>
      <sheetData sheetId="230"/>
      <sheetData sheetId="231"/>
      <sheetData sheetId="232"/>
      <sheetData sheetId="233"/>
      <sheetData sheetId="234"/>
      <sheetData sheetId="235">
        <row r="1">
          <cell r="C1">
            <v>6.7</v>
          </cell>
        </row>
      </sheetData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>
        <row r="1">
          <cell r="C1">
            <v>6.7</v>
          </cell>
        </row>
      </sheetData>
      <sheetData sheetId="271"/>
      <sheetData sheetId="272"/>
      <sheetData sheetId="273"/>
      <sheetData sheetId="274"/>
      <sheetData sheetId="275"/>
      <sheetData sheetId="276">
        <row r="1">
          <cell r="C1">
            <v>6.7</v>
          </cell>
        </row>
      </sheetData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>
        <row r="1">
          <cell r="C1">
            <v>6.7</v>
          </cell>
        </row>
      </sheetData>
      <sheetData sheetId="307"/>
      <sheetData sheetId="308"/>
      <sheetData sheetId="309"/>
      <sheetData sheetId="310"/>
      <sheetData sheetId="311"/>
      <sheetData sheetId="312">
        <row r="1">
          <cell r="C1">
            <v>6.7</v>
          </cell>
        </row>
      </sheetData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>
        <row r="1">
          <cell r="C1">
            <v>6.7</v>
          </cell>
        </row>
      </sheetData>
      <sheetData sheetId="343"/>
      <sheetData sheetId="344"/>
      <sheetData sheetId="345"/>
      <sheetData sheetId="346"/>
      <sheetData sheetId="347"/>
      <sheetData sheetId="348">
        <row r="1">
          <cell r="C1">
            <v>6.7</v>
          </cell>
        </row>
      </sheetData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>
        <row r="1">
          <cell r="C1">
            <v>6.7</v>
          </cell>
        </row>
      </sheetData>
      <sheetData sheetId="373"/>
      <sheetData sheetId="374"/>
      <sheetData sheetId="375">
        <row r="1">
          <cell r="C1">
            <v>6.7</v>
          </cell>
        </row>
      </sheetData>
      <sheetData sheetId="376"/>
      <sheetData sheetId="377"/>
      <sheetData sheetId="378">
        <row r="1">
          <cell r="C1">
            <v>6.7</v>
          </cell>
        </row>
      </sheetData>
      <sheetData sheetId="379"/>
      <sheetData sheetId="380"/>
      <sheetData sheetId="381">
        <row r="1">
          <cell r="C1">
            <v>6.7</v>
          </cell>
        </row>
      </sheetData>
      <sheetData sheetId="382"/>
      <sheetData sheetId="383"/>
      <sheetData sheetId="384">
        <row r="1">
          <cell r="C1">
            <v>6.7</v>
          </cell>
        </row>
      </sheetData>
      <sheetData sheetId="385"/>
      <sheetData sheetId="386"/>
      <sheetData sheetId="387">
        <row r="1">
          <cell r="C1">
            <v>6.7</v>
          </cell>
        </row>
      </sheetData>
      <sheetData sheetId="388"/>
      <sheetData sheetId="389"/>
      <sheetData sheetId="390">
        <row r="1">
          <cell r="C1">
            <v>6.7</v>
          </cell>
        </row>
      </sheetData>
      <sheetData sheetId="391"/>
      <sheetData sheetId="392"/>
      <sheetData sheetId="393">
        <row r="1">
          <cell r="C1">
            <v>6.7</v>
          </cell>
        </row>
      </sheetData>
      <sheetData sheetId="394"/>
      <sheetData sheetId="395"/>
      <sheetData sheetId="396">
        <row r="1">
          <cell r="C1">
            <v>6.7</v>
          </cell>
        </row>
      </sheetData>
      <sheetData sheetId="397"/>
      <sheetData sheetId="398"/>
      <sheetData sheetId="399">
        <row r="1">
          <cell r="C1">
            <v>6.7</v>
          </cell>
        </row>
      </sheetData>
      <sheetData sheetId="400"/>
      <sheetData sheetId="401"/>
      <sheetData sheetId="402">
        <row r="1">
          <cell r="C1">
            <v>6.7</v>
          </cell>
        </row>
      </sheetData>
      <sheetData sheetId="403"/>
      <sheetData sheetId="404"/>
      <sheetData sheetId="405">
        <row r="1">
          <cell r="C1">
            <v>6.7</v>
          </cell>
        </row>
      </sheetData>
      <sheetData sheetId="406"/>
      <sheetData sheetId="407"/>
      <sheetData sheetId="408">
        <row r="1">
          <cell r="C1">
            <v>6.7</v>
          </cell>
        </row>
      </sheetData>
      <sheetData sheetId="409"/>
      <sheetData sheetId="410"/>
      <sheetData sheetId="411">
        <row r="1">
          <cell r="C1">
            <v>6.7</v>
          </cell>
        </row>
      </sheetData>
      <sheetData sheetId="412"/>
      <sheetData sheetId="413"/>
      <sheetData sheetId="414">
        <row r="1">
          <cell r="C1">
            <v>6.7</v>
          </cell>
        </row>
      </sheetData>
      <sheetData sheetId="415"/>
      <sheetData sheetId="416"/>
      <sheetData sheetId="417">
        <row r="1">
          <cell r="C1">
            <v>6.7</v>
          </cell>
        </row>
      </sheetData>
      <sheetData sheetId="418"/>
      <sheetData sheetId="419"/>
      <sheetData sheetId="420">
        <row r="1">
          <cell r="C1">
            <v>6.7</v>
          </cell>
        </row>
      </sheetData>
      <sheetData sheetId="421"/>
      <sheetData sheetId="422"/>
      <sheetData sheetId="423">
        <row r="1">
          <cell r="C1">
            <v>6.7</v>
          </cell>
        </row>
      </sheetData>
      <sheetData sheetId="424"/>
      <sheetData sheetId="425">
        <row r="1">
          <cell r="C1">
            <v>6.7</v>
          </cell>
        </row>
      </sheetData>
      <sheetData sheetId="426">
        <row r="1">
          <cell r="C1">
            <v>6.7</v>
          </cell>
        </row>
      </sheetData>
      <sheetData sheetId="427"/>
      <sheetData sheetId="428"/>
      <sheetData sheetId="429">
        <row r="1">
          <cell r="C1">
            <v>6.7</v>
          </cell>
        </row>
      </sheetData>
      <sheetData sheetId="430"/>
      <sheetData sheetId="431">
        <row r="1">
          <cell r="C1">
            <v>6.7</v>
          </cell>
        </row>
      </sheetData>
      <sheetData sheetId="432">
        <row r="1">
          <cell r="C1">
            <v>6.7</v>
          </cell>
        </row>
      </sheetData>
      <sheetData sheetId="433"/>
      <sheetData sheetId="434"/>
      <sheetData sheetId="435">
        <row r="1">
          <cell r="C1">
            <v>6.7</v>
          </cell>
        </row>
      </sheetData>
      <sheetData sheetId="436"/>
      <sheetData sheetId="437">
        <row r="1">
          <cell r="C1">
            <v>6.7</v>
          </cell>
        </row>
      </sheetData>
      <sheetData sheetId="438">
        <row r="1">
          <cell r="C1">
            <v>6.7</v>
          </cell>
        </row>
      </sheetData>
      <sheetData sheetId="439"/>
      <sheetData sheetId="440"/>
      <sheetData sheetId="441">
        <row r="1">
          <cell r="C1">
            <v>6.7</v>
          </cell>
        </row>
      </sheetData>
      <sheetData sheetId="442"/>
      <sheetData sheetId="443">
        <row r="1">
          <cell r="C1">
            <v>6.7</v>
          </cell>
        </row>
      </sheetData>
      <sheetData sheetId="444">
        <row r="1">
          <cell r="C1">
            <v>6.7</v>
          </cell>
        </row>
      </sheetData>
      <sheetData sheetId="445"/>
      <sheetData sheetId="446"/>
      <sheetData sheetId="447">
        <row r="1">
          <cell r="C1">
            <v>6.7</v>
          </cell>
        </row>
      </sheetData>
      <sheetData sheetId="448"/>
      <sheetData sheetId="449">
        <row r="1">
          <cell r="C1">
            <v>6.7</v>
          </cell>
        </row>
      </sheetData>
      <sheetData sheetId="450">
        <row r="1">
          <cell r="C1">
            <v>6.7</v>
          </cell>
        </row>
      </sheetData>
      <sheetData sheetId="451"/>
      <sheetData sheetId="452"/>
      <sheetData sheetId="453">
        <row r="1">
          <cell r="C1">
            <v>6.7</v>
          </cell>
        </row>
      </sheetData>
      <sheetData sheetId="454"/>
      <sheetData sheetId="455">
        <row r="1">
          <cell r="C1">
            <v>6.7</v>
          </cell>
        </row>
      </sheetData>
      <sheetData sheetId="456">
        <row r="1">
          <cell r="C1">
            <v>6.7</v>
          </cell>
        </row>
      </sheetData>
      <sheetData sheetId="457"/>
      <sheetData sheetId="458"/>
      <sheetData sheetId="459">
        <row r="1">
          <cell r="C1">
            <v>6.7</v>
          </cell>
        </row>
      </sheetData>
      <sheetData sheetId="460"/>
      <sheetData sheetId="461">
        <row r="1">
          <cell r="C1">
            <v>6.7</v>
          </cell>
        </row>
      </sheetData>
      <sheetData sheetId="462">
        <row r="1">
          <cell r="C1">
            <v>6.7</v>
          </cell>
        </row>
      </sheetData>
      <sheetData sheetId="463"/>
      <sheetData sheetId="464"/>
      <sheetData sheetId="465">
        <row r="1">
          <cell r="C1">
            <v>6.7</v>
          </cell>
        </row>
      </sheetData>
      <sheetData sheetId="466"/>
      <sheetData sheetId="467">
        <row r="1">
          <cell r="C1">
            <v>6.7</v>
          </cell>
        </row>
      </sheetData>
      <sheetData sheetId="468">
        <row r="1">
          <cell r="C1">
            <v>6.7</v>
          </cell>
        </row>
      </sheetData>
      <sheetData sheetId="469"/>
      <sheetData sheetId="470"/>
      <sheetData sheetId="471">
        <row r="1">
          <cell r="C1">
            <v>6.7</v>
          </cell>
        </row>
      </sheetData>
      <sheetData sheetId="472"/>
      <sheetData sheetId="473">
        <row r="1">
          <cell r="C1">
            <v>6.7</v>
          </cell>
        </row>
      </sheetData>
      <sheetData sheetId="474">
        <row r="1">
          <cell r="C1">
            <v>6.7</v>
          </cell>
        </row>
      </sheetData>
      <sheetData sheetId="475"/>
      <sheetData sheetId="476"/>
      <sheetData sheetId="477">
        <row r="1">
          <cell r="C1">
            <v>6.7</v>
          </cell>
        </row>
      </sheetData>
      <sheetData sheetId="478"/>
      <sheetData sheetId="479"/>
      <sheetData sheetId="480">
        <row r="1">
          <cell r="C1">
            <v>6.7</v>
          </cell>
        </row>
      </sheetData>
      <sheetData sheetId="481"/>
      <sheetData sheetId="482"/>
      <sheetData sheetId="483">
        <row r="1">
          <cell r="C1">
            <v>6.7</v>
          </cell>
        </row>
      </sheetData>
      <sheetData sheetId="484"/>
      <sheetData sheetId="485"/>
      <sheetData sheetId="486">
        <row r="1">
          <cell r="C1">
            <v>6.7</v>
          </cell>
        </row>
      </sheetData>
      <sheetData sheetId="487"/>
      <sheetData sheetId="488"/>
      <sheetData sheetId="489">
        <row r="1">
          <cell r="C1">
            <v>6.7</v>
          </cell>
        </row>
      </sheetData>
      <sheetData sheetId="490"/>
      <sheetData sheetId="491"/>
      <sheetData sheetId="492">
        <row r="1">
          <cell r="C1">
            <v>6.7</v>
          </cell>
        </row>
      </sheetData>
      <sheetData sheetId="493"/>
      <sheetData sheetId="494"/>
      <sheetData sheetId="495">
        <row r="1">
          <cell r="C1">
            <v>6.7</v>
          </cell>
        </row>
      </sheetData>
      <sheetData sheetId="496"/>
      <sheetData sheetId="497"/>
      <sheetData sheetId="498">
        <row r="1">
          <cell r="C1">
            <v>6.7</v>
          </cell>
        </row>
      </sheetData>
      <sheetData sheetId="499"/>
      <sheetData sheetId="500"/>
      <sheetData sheetId="501">
        <row r="1">
          <cell r="C1">
            <v>6.7</v>
          </cell>
        </row>
      </sheetData>
      <sheetData sheetId="502"/>
      <sheetData sheetId="503"/>
      <sheetData sheetId="504">
        <row r="1">
          <cell r="C1">
            <v>6.7</v>
          </cell>
        </row>
      </sheetData>
      <sheetData sheetId="505"/>
      <sheetData sheetId="506"/>
      <sheetData sheetId="507">
        <row r="1">
          <cell r="C1">
            <v>6.7</v>
          </cell>
        </row>
      </sheetData>
      <sheetData sheetId="508"/>
      <sheetData sheetId="509"/>
      <sheetData sheetId="510">
        <row r="1">
          <cell r="C1">
            <v>6.7</v>
          </cell>
        </row>
      </sheetData>
      <sheetData sheetId="511"/>
      <sheetData sheetId="512"/>
      <sheetData sheetId="513">
        <row r="1">
          <cell r="C1">
            <v>6.7</v>
          </cell>
        </row>
      </sheetData>
      <sheetData sheetId="514"/>
      <sheetData sheetId="515"/>
      <sheetData sheetId="516">
        <row r="1">
          <cell r="C1">
            <v>6.7</v>
          </cell>
        </row>
      </sheetData>
      <sheetData sheetId="517"/>
      <sheetData sheetId="518"/>
      <sheetData sheetId="519">
        <row r="1">
          <cell r="C1">
            <v>6.7</v>
          </cell>
        </row>
      </sheetData>
      <sheetData sheetId="520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>
        <row r="1">
          <cell r="C1">
            <v>6.7</v>
          </cell>
        </row>
      </sheetData>
      <sheetData sheetId="540">
        <row r="1">
          <cell r="C1">
            <v>6.7</v>
          </cell>
        </row>
      </sheetData>
      <sheetData sheetId="541">
        <row r="1">
          <cell r="C1">
            <v>6.7</v>
          </cell>
        </row>
      </sheetData>
      <sheetData sheetId="542">
        <row r="1">
          <cell r="C1">
            <v>6.7</v>
          </cell>
        </row>
      </sheetData>
      <sheetData sheetId="543">
        <row r="1">
          <cell r="C1">
            <v>6.7</v>
          </cell>
        </row>
      </sheetData>
      <sheetData sheetId="544">
        <row r="1">
          <cell r="C1">
            <v>6.7</v>
          </cell>
        </row>
      </sheetData>
      <sheetData sheetId="545">
        <row r="1">
          <cell r="C1">
            <v>6.7</v>
          </cell>
        </row>
      </sheetData>
      <sheetData sheetId="546">
        <row r="1">
          <cell r="C1">
            <v>6.7</v>
          </cell>
        </row>
      </sheetData>
      <sheetData sheetId="547">
        <row r="1">
          <cell r="C1">
            <v>6.7</v>
          </cell>
        </row>
      </sheetData>
      <sheetData sheetId="548">
        <row r="1">
          <cell r="C1">
            <v>6.7</v>
          </cell>
        </row>
      </sheetData>
      <sheetData sheetId="549">
        <row r="1">
          <cell r="C1">
            <v>6.7</v>
          </cell>
        </row>
      </sheetData>
      <sheetData sheetId="550">
        <row r="1">
          <cell r="C1">
            <v>6.7</v>
          </cell>
        </row>
      </sheetData>
      <sheetData sheetId="551">
        <row r="1">
          <cell r="C1">
            <v>6.7</v>
          </cell>
        </row>
      </sheetData>
      <sheetData sheetId="552">
        <row r="1">
          <cell r="C1">
            <v>6.7</v>
          </cell>
        </row>
      </sheetData>
      <sheetData sheetId="553">
        <row r="1">
          <cell r="C1">
            <v>6.7</v>
          </cell>
        </row>
      </sheetData>
      <sheetData sheetId="554">
        <row r="1">
          <cell r="C1">
            <v>6.7</v>
          </cell>
        </row>
      </sheetData>
      <sheetData sheetId="555">
        <row r="1">
          <cell r="C1">
            <v>6.7</v>
          </cell>
        </row>
      </sheetData>
      <sheetData sheetId="556">
        <row r="1">
          <cell r="C1">
            <v>6.7</v>
          </cell>
        </row>
      </sheetData>
      <sheetData sheetId="557">
        <row r="1">
          <cell r="C1">
            <v>6.7</v>
          </cell>
        </row>
      </sheetData>
      <sheetData sheetId="558">
        <row r="1">
          <cell r="C1">
            <v>6.7</v>
          </cell>
        </row>
      </sheetData>
      <sheetData sheetId="559">
        <row r="1">
          <cell r="C1">
            <v>6.7</v>
          </cell>
        </row>
      </sheetData>
      <sheetData sheetId="560">
        <row r="1">
          <cell r="C1">
            <v>6.7</v>
          </cell>
        </row>
      </sheetData>
      <sheetData sheetId="561">
        <row r="1">
          <cell r="C1">
            <v>6.7</v>
          </cell>
        </row>
      </sheetData>
      <sheetData sheetId="562">
        <row r="1">
          <cell r="C1">
            <v>6.7</v>
          </cell>
        </row>
      </sheetData>
      <sheetData sheetId="563">
        <row r="1">
          <cell r="C1">
            <v>6.7</v>
          </cell>
        </row>
      </sheetData>
      <sheetData sheetId="564">
        <row r="1">
          <cell r="C1">
            <v>6.7</v>
          </cell>
        </row>
      </sheetData>
      <sheetData sheetId="565">
        <row r="1">
          <cell r="C1">
            <v>6.7</v>
          </cell>
        </row>
      </sheetData>
      <sheetData sheetId="566">
        <row r="1">
          <cell r="C1">
            <v>6.7</v>
          </cell>
        </row>
      </sheetData>
      <sheetData sheetId="567">
        <row r="1">
          <cell r="C1">
            <v>6.7</v>
          </cell>
        </row>
      </sheetData>
      <sheetData sheetId="568">
        <row r="1">
          <cell r="C1">
            <v>6.7</v>
          </cell>
        </row>
      </sheetData>
      <sheetData sheetId="569">
        <row r="1">
          <cell r="C1">
            <v>6.7</v>
          </cell>
        </row>
      </sheetData>
      <sheetData sheetId="570">
        <row r="1">
          <cell r="C1">
            <v>6.7</v>
          </cell>
        </row>
      </sheetData>
      <sheetData sheetId="571">
        <row r="1">
          <cell r="C1">
            <v>6.7</v>
          </cell>
        </row>
      </sheetData>
      <sheetData sheetId="572">
        <row r="1">
          <cell r="C1">
            <v>6.7</v>
          </cell>
        </row>
      </sheetData>
      <sheetData sheetId="573">
        <row r="1">
          <cell r="C1">
            <v>6.7</v>
          </cell>
        </row>
      </sheetData>
      <sheetData sheetId="574">
        <row r="1">
          <cell r="C1">
            <v>6.7</v>
          </cell>
        </row>
      </sheetData>
      <sheetData sheetId="575">
        <row r="1">
          <cell r="C1">
            <v>6.7</v>
          </cell>
        </row>
      </sheetData>
      <sheetData sheetId="576">
        <row r="1">
          <cell r="C1">
            <v>6.7</v>
          </cell>
        </row>
      </sheetData>
      <sheetData sheetId="577">
        <row r="1">
          <cell r="C1">
            <v>6.7</v>
          </cell>
        </row>
      </sheetData>
      <sheetData sheetId="578">
        <row r="1">
          <cell r="C1">
            <v>6.7</v>
          </cell>
        </row>
      </sheetData>
      <sheetData sheetId="579">
        <row r="1">
          <cell r="C1">
            <v>6.7</v>
          </cell>
        </row>
      </sheetData>
      <sheetData sheetId="580">
        <row r="1">
          <cell r="C1">
            <v>6.7</v>
          </cell>
        </row>
      </sheetData>
      <sheetData sheetId="581">
        <row r="1">
          <cell r="C1">
            <v>6.7</v>
          </cell>
        </row>
      </sheetData>
      <sheetData sheetId="582">
        <row r="1">
          <cell r="C1">
            <v>6.7</v>
          </cell>
        </row>
      </sheetData>
      <sheetData sheetId="583">
        <row r="1">
          <cell r="C1">
            <v>6.7</v>
          </cell>
        </row>
      </sheetData>
      <sheetData sheetId="584">
        <row r="1">
          <cell r="C1">
            <v>6.7</v>
          </cell>
        </row>
      </sheetData>
      <sheetData sheetId="585">
        <row r="1">
          <cell r="C1">
            <v>6.7</v>
          </cell>
        </row>
      </sheetData>
      <sheetData sheetId="586">
        <row r="1">
          <cell r="C1">
            <v>6.7</v>
          </cell>
        </row>
      </sheetData>
      <sheetData sheetId="587">
        <row r="1">
          <cell r="C1">
            <v>6.7</v>
          </cell>
        </row>
      </sheetData>
      <sheetData sheetId="588">
        <row r="1">
          <cell r="C1">
            <v>6.7</v>
          </cell>
        </row>
      </sheetData>
      <sheetData sheetId="589">
        <row r="1">
          <cell r="C1">
            <v>6.7</v>
          </cell>
        </row>
      </sheetData>
      <sheetData sheetId="590">
        <row r="1">
          <cell r="C1">
            <v>6.7</v>
          </cell>
        </row>
      </sheetData>
      <sheetData sheetId="591">
        <row r="1">
          <cell r="C1">
            <v>6.7</v>
          </cell>
        </row>
      </sheetData>
      <sheetData sheetId="592">
        <row r="1">
          <cell r="C1">
            <v>6.7</v>
          </cell>
        </row>
      </sheetData>
      <sheetData sheetId="593">
        <row r="1">
          <cell r="C1">
            <v>6.7</v>
          </cell>
        </row>
      </sheetData>
      <sheetData sheetId="594">
        <row r="1">
          <cell r="C1">
            <v>6.7</v>
          </cell>
        </row>
      </sheetData>
      <sheetData sheetId="595">
        <row r="1">
          <cell r="C1">
            <v>6.7</v>
          </cell>
        </row>
      </sheetData>
      <sheetData sheetId="596">
        <row r="1">
          <cell r="C1">
            <v>6.7</v>
          </cell>
        </row>
      </sheetData>
      <sheetData sheetId="597">
        <row r="1">
          <cell r="C1">
            <v>6.7</v>
          </cell>
        </row>
      </sheetData>
      <sheetData sheetId="598">
        <row r="1">
          <cell r="C1">
            <v>6.7</v>
          </cell>
        </row>
      </sheetData>
      <sheetData sheetId="599">
        <row r="1">
          <cell r="C1">
            <v>6.7</v>
          </cell>
        </row>
      </sheetData>
      <sheetData sheetId="600">
        <row r="1">
          <cell r="C1">
            <v>6.7</v>
          </cell>
        </row>
      </sheetData>
      <sheetData sheetId="601">
        <row r="1">
          <cell r="C1">
            <v>6.7</v>
          </cell>
        </row>
      </sheetData>
      <sheetData sheetId="602">
        <row r="1">
          <cell r="C1">
            <v>6.7</v>
          </cell>
        </row>
      </sheetData>
      <sheetData sheetId="603">
        <row r="1">
          <cell r="C1">
            <v>6.7</v>
          </cell>
        </row>
      </sheetData>
      <sheetData sheetId="604">
        <row r="1">
          <cell r="C1">
            <v>6.7</v>
          </cell>
        </row>
      </sheetData>
      <sheetData sheetId="605">
        <row r="1">
          <cell r="C1">
            <v>6.7</v>
          </cell>
        </row>
      </sheetData>
      <sheetData sheetId="606">
        <row r="1">
          <cell r="C1">
            <v>6.7</v>
          </cell>
        </row>
      </sheetData>
      <sheetData sheetId="607">
        <row r="1">
          <cell r="C1">
            <v>6.7</v>
          </cell>
        </row>
      </sheetData>
      <sheetData sheetId="608">
        <row r="1">
          <cell r="C1">
            <v>6.7</v>
          </cell>
        </row>
      </sheetData>
      <sheetData sheetId="609">
        <row r="1">
          <cell r="C1">
            <v>6.7</v>
          </cell>
        </row>
      </sheetData>
      <sheetData sheetId="610">
        <row r="1">
          <cell r="C1">
            <v>6.7</v>
          </cell>
        </row>
      </sheetData>
      <sheetData sheetId="611">
        <row r="1">
          <cell r="C1">
            <v>6.7</v>
          </cell>
        </row>
      </sheetData>
      <sheetData sheetId="612">
        <row r="1">
          <cell r="C1">
            <v>6.7</v>
          </cell>
        </row>
      </sheetData>
      <sheetData sheetId="613">
        <row r="1">
          <cell r="C1">
            <v>6.7</v>
          </cell>
        </row>
      </sheetData>
      <sheetData sheetId="614">
        <row r="1">
          <cell r="C1">
            <v>6.7</v>
          </cell>
        </row>
      </sheetData>
      <sheetData sheetId="615">
        <row r="1">
          <cell r="C1">
            <v>6.7</v>
          </cell>
        </row>
      </sheetData>
      <sheetData sheetId="616">
        <row r="1">
          <cell r="C1">
            <v>6.7</v>
          </cell>
        </row>
      </sheetData>
      <sheetData sheetId="617">
        <row r="1">
          <cell r="C1">
            <v>6.7</v>
          </cell>
        </row>
      </sheetData>
      <sheetData sheetId="618">
        <row r="1">
          <cell r="C1">
            <v>6.7</v>
          </cell>
        </row>
      </sheetData>
      <sheetData sheetId="619">
        <row r="1">
          <cell r="C1">
            <v>6.7</v>
          </cell>
        </row>
      </sheetData>
      <sheetData sheetId="620">
        <row r="1">
          <cell r="C1">
            <v>6.7</v>
          </cell>
        </row>
      </sheetData>
      <sheetData sheetId="621">
        <row r="1">
          <cell r="C1">
            <v>6.7</v>
          </cell>
        </row>
      </sheetData>
      <sheetData sheetId="622">
        <row r="1">
          <cell r="C1">
            <v>6.7</v>
          </cell>
        </row>
      </sheetData>
      <sheetData sheetId="623">
        <row r="1">
          <cell r="C1">
            <v>6.7</v>
          </cell>
        </row>
      </sheetData>
      <sheetData sheetId="624">
        <row r="1">
          <cell r="C1">
            <v>6.7</v>
          </cell>
        </row>
      </sheetData>
      <sheetData sheetId="625" refreshError="1"/>
      <sheetData sheetId="626" refreshError="1"/>
      <sheetData sheetId="627"/>
      <sheetData sheetId="628"/>
      <sheetData sheetId="629"/>
      <sheetData sheetId="630"/>
      <sheetData sheetId="631">
        <row r="1">
          <cell r="C1">
            <v>6.7</v>
          </cell>
        </row>
      </sheetData>
      <sheetData sheetId="632"/>
      <sheetData sheetId="633">
        <row r="1">
          <cell r="C1">
            <v>6.7</v>
          </cell>
        </row>
      </sheetData>
      <sheetData sheetId="634"/>
      <sheetData sheetId="635">
        <row r="1">
          <cell r="C1">
            <v>6.7</v>
          </cell>
        </row>
      </sheetData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C1">
            <v>6.7</v>
          </cell>
        </row>
      </sheetData>
      <sheetData sheetId="646"/>
      <sheetData sheetId="647">
        <row r="1">
          <cell r="C1">
            <v>6.7</v>
          </cell>
        </row>
      </sheetData>
      <sheetData sheetId="648"/>
      <sheetData sheetId="649">
        <row r="1">
          <cell r="C1">
            <v>6.7</v>
          </cell>
        </row>
      </sheetData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>
        <row r="1">
          <cell r="C1">
            <v>6.7</v>
          </cell>
        </row>
      </sheetData>
      <sheetData sheetId="662"/>
      <sheetData sheetId="663">
        <row r="1">
          <cell r="C1">
            <v>6.7</v>
          </cell>
        </row>
      </sheetData>
      <sheetData sheetId="664">
        <row r="1">
          <cell r="C1">
            <v>6.7</v>
          </cell>
        </row>
      </sheetData>
      <sheetData sheetId="665">
        <row r="1">
          <cell r="C1">
            <v>6.7</v>
          </cell>
        </row>
      </sheetData>
      <sheetData sheetId="666">
        <row r="1">
          <cell r="C1">
            <v>6.7</v>
          </cell>
        </row>
      </sheetData>
      <sheetData sheetId="667"/>
      <sheetData sheetId="668">
        <row r="1">
          <cell r="C1">
            <v>6.7</v>
          </cell>
        </row>
      </sheetData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>
        <row r="1">
          <cell r="C1">
            <v>6.7</v>
          </cell>
        </row>
      </sheetData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>
        <row r="1">
          <cell r="C1">
            <v>6.7</v>
          </cell>
        </row>
      </sheetData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>
        <row r="1">
          <cell r="C1">
            <v>6.7</v>
          </cell>
        </row>
      </sheetData>
      <sheetData sheetId="713"/>
      <sheetData sheetId="714"/>
      <sheetData sheetId="715">
        <row r="1">
          <cell r="C1">
            <v>6.7</v>
          </cell>
        </row>
      </sheetData>
      <sheetData sheetId="716"/>
      <sheetData sheetId="717"/>
      <sheetData sheetId="718"/>
      <sheetData sheetId="719"/>
      <sheetData sheetId="720" refreshError="1"/>
      <sheetData sheetId="721" refreshError="1"/>
      <sheetData sheetId="722" refreshError="1"/>
      <sheetData sheetId="723" refreshError="1"/>
      <sheetData sheetId="724"/>
      <sheetData sheetId="725"/>
      <sheetData sheetId="726"/>
      <sheetData sheetId="727"/>
      <sheetData sheetId="728"/>
      <sheetData sheetId="729"/>
      <sheetData sheetId="730">
        <row r="1">
          <cell r="C1">
            <v>6.7</v>
          </cell>
        </row>
      </sheetData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>
        <row r="1">
          <cell r="C1">
            <v>6.7</v>
          </cell>
        </row>
      </sheetData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>
        <row r="1">
          <cell r="C1">
            <v>6.7</v>
          </cell>
        </row>
      </sheetData>
      <sheetData sheetId="762"/>
      <sheetData sheetId="763"/>
      <sheetData sheetId="764">
        <row r="1">
          <cell r="C1">
            <v>6.7</v>
          </cell>
        </row>
      </sheetData>
      <sheetData sheetId="765"/>
      <sheetData sheetId="766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/>
      <sheetData sheetId="818"/>
      <sheetData sheetId="819"/>
      <sheetData sheetId="820"/>
      <sheetData sheetId="821"/>
      <sheetData sheetId="822"/>
      <sheetData sheetId="823">
        <row r="1">
          <cell r="C1">
            <v>6.7</v>
          </cell>
        </row>
      </sheetData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>
        <row r="1">
          <cell r="C1">
            <v>6.7</v>
          </cell>
        </row>
      </sheetData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>
        <row r="1">
          <cell r="C1">
            <v>6.7</v>
          </cell>
        </row>
      </sheetData>
      <sheetData sheetId="855"/>
      <sheetData sheetId="856"/>
      <sheetData sheetId="857">
        <row r="1">
          <cell r="C1">
            <v>6.7</v>
          </cell>
        </row>
      </sheetData>
      <sheetData sheetId="858"/>
      <sheetData sheetId="859"/>
      <sheetData sheetId="860"/>
      <sheetData sheetId="861" refreshError="1"/>
      <sheetData sheetId="86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Hyperion"/>
      <sheetName val="objective 1"/>
      <sheetName val="objective 2"/>
      <sheetName val="Title"/>
      <sheetName val="Objective"/>
      <sheetName val="Objective (2)"/>
      <sheetName val="Exec Sum Cover"/>
      <sheetName val="BSWatch Outs"/>
      <sheetName val="BAICWATCH OUTs"/>
      <sheetName val="Reserve Summary"/>
      <sheetName val="BIWatchOuts"/>
      <sheetName val="process review tracking"/>
      <sheetName val="Audit"/>
      <sheetName val="P&amp;L"/>
      <sheetName val="SumBS"/>
      <sheetName val="Cash Flows"/>
      <sheetName val="OCF (2)"/>
      <sheetName val="Detail Cover"/>
      <sheetName val="Hyp Structure"/>
      <sheetName val="Audit (2)"/>
      <sheetName val="Sales-Summary"/>
      <sheetName val="Sales-Variance"/>
      <sheetName val="Direct Costs"/>
      <sheetName val="Variance Analysis-COS"/>
      <sheetName val="Rates"/>
      <sheetName val="S&amp;D"/>
      <sheetName val="CC&amp;STInv"/>
      <sheetName val="SS - CC&amp;STInv"/>
      <sheetName val="Trade Receivables"/>
      <sheetName val="Rx-MT-Wh"/>
      <sheetName val="FOBO's AR"/>
      <sheetName val="DTS-DSD"/>
      <sheetName val="N&amp;OAR"/>
      <sheetName val="SS-N&amp;OAR 1"/>
      <sheetName val="SS-N&amp;OAR2"/>
      <sheetName val="SS- N&amp;OAR3"/>
      <sheetName val="Inventories"/>
      <sheetName val="Inventory B-Up"/>
      <sheetName val="FG"/>
      <sheetName val="Stores &amp; Spares"/>
      <sheetName val="Days Sales"/>
      <sheetName val="Stores and Spares"/>
      <sheetName val="Inventories_CSD"/>
      <sheetName val="Inventories_AGING"/>
      <sheetName val="Agro"/>
      <sheetName val="agro tables"/>
      <sheetName val="PP&amp;OtherA"/>
      <sheetName val="Capex&amp;FA"/>
      <sheetName val="As per GL"/>
      <sheetName val="CWIP B-Up"/>
      <sheetName val="GW&amp;OtherInt"/>
      <sheetName val="Intercompany"/>
      <sheetName val="Sheet1 (2)"/>
      <sheetName val="PepsiCo Affiliated Balances"/>
      <sheetName val="Acct Payable"/>
      <sheetName val="ac payable"/>
      <sheetName val="Top Ten"/>
      <sheetName val="AL&amp;OLTL"/>
      <sheetName val="Accruals details"/>
      <sheetName val="SS-AL&amp;OLTL"/>
      <sheetName val="fobo marketing accruals"/>
      <sheetName val="tax"/>
      <sheetName val="Debt &amp; Equity"/>
      <sheetName val="KPI Input"/>
      <sheetName val="KPI definitions"/>
      <sheetName val="OFCF definitions"/>
      <sheetName val="Validation"/>
      <sheetName val="objective_1"/>
      <sheetName val="objective_2"/>
      <sheetName val="Objective_(2)"/>
      <sheetName val="Exec_Sum_Cover"/>
      <sheetName val="BSWatch_Outs"/>
      <sheetName val="BAICWATCH_OUTs"/>
      <sheetName val="Reserve_Summary"/>
      <sheetName val="process_review_tracking"/>
      <sheetName val="Cash_Flows"/>
      <sheetName val="OCF_(2)"/>
      <sheetName val="Detail_Cover"/>
      <sheetName val="Hyp_Structure"/>
      <sheetName val="Audit_(2)"/>
      <sheetName val="Direct_Costs"/>
      <sheetName val="Variance_Analysis-COS"/>
      <sheetName val="SS_-_CC&amp;STInv"/>
      <sheetName val="Trade_Receivables"/>
      <sheetName val="FOBO's_AR"/>
      <sheetName val="SS-N&amp;OAR_1"/>
      <sheetName val="SS-_N&amp;OAR3"/>
      <sheetName val="Inventory_B-Up"/>
      <sheetName val="Stores_&amp;_Spares"/>
      <sheetName val="Days_Sales"/>
      <sheetName val="Stores_and_Spares"/>
      <sheetName val="agro_tables"/>
      <sheetName val="As_per_GL"/>
      <sheetName val="CWIP_B-Up"/>
      <sheetName val="Sheet1_(2)"/>
      <sheetName val="PepsiCo_Affiliated_Balances"/>
      <sheetName val="Acct_Payable"/>
      <sheetName val="ac_payable"/>
      <sheetName val="Top_Ten"/>
      <sheetName val="Accruals_details"/>
      <sheetName val="fobo_marketing_accruals"/>
      <sheetName val="Debt_&amp;_Equity"/>
      <sheetName val="KPI_Input"/>
      <sheetName val="KPI_definitions"/>
      <sheetName val="OFCF_definitions"/>
      <sheetName val="objective_11"/>
      <sheetName val="objective_21"/>
      <sheetName val="Objective_(2)1"/>
      <sheetName val="Exec_Sum_Cover1"/>
      <sheetName val="BSWatch_Outs1"/>
      <sheetName val="BAICWATCH_OUTs1"/>
      <sheetName val="Reserve_Summary1"/>
      <sheetName val="process_review_tracking1"/>
      <sheetName val="Cash_Flows1"/>
      <sheetName val="OCF_(2)1"/>
      <sheetName val="Detail_Cover1"/>
      <sheetName val="Hyp_Structure1"/>
      <sheetName val="Audit_(2)1"/>
      <sheetName val="Direct_Costs1"/>
      <sheetName val="Variance_Analysis-COS1"/>
      <sheetName val="SS_-_CC&amp;STInv1"/>
      <sheetName val="Trade_Receivables1"/>
      <sheetName val="FOBO's_AR1"/>
      <sheetName val="SS-N&amp;OAR_11"/>
      <sheetName val="SS-_N&amp;OAR31"/>
      <sheetName val="Inventory_B-Up1"/>
      <sheetName val="Stores_&amp;_Spares1"/>
      <sheetName val="Days_Sales1"/>
      <sheetName val="Stores_and_Spares1"/>
      <sheetName val="agro_tables1"/>
      <sheetName val="As_per_GL1"/>
      <sheetName val="CWIP_B-Up1"/>
      <sheetName val="Sheet1_(2)1"/>
      <sheetName val="PepsiCo_Affiliated_Balances1"/>
      <sheetName val="Acct_Payable1"/>
      <sheetName val="ac_payable1"/>
      <sheetName val="Top_Ten1"/>
      <sheetName val="Accruals_details1"/>
      <sheetName val="fobo_marketing_accruals1"/>
      <sheetName val="Debt_&amp;_Equity1"/>
      <sheetName val="KPI_Input1"/>
      <sheetName val="KPI_definitions1"/>
      <sheetName val="OFCF_definitions1"/>
      <sheetName val="objective_12"/>
      <sheetName val="objective_22"/>
      <sheetName val="Objective_(2)2"/>
      <sheetName val="Exec_Sum_Cover2"/>
      <sheetName val="BSWatch_Outs2"/>
      <sheetName val="BAICWATCH_OUTs2"/>
      <sheetName val="Reserve_Summary2"/>
      <sheetName val="process_review_tracking2"/>
      <sheetName val="Cash_Flows2"/>
      <sheetName val="OCF_(2)2"/>
      <sheetName val="Detail_Cover2"/>
      <sheetName val="Hyp_Structure2"/>
      <sheetName val="Audit_(2)2"/>
      <sheetName val="Direct_Costs2"/>
      <sheetName val="Variance_Analysis-COS2"/>
      <sheetName val="SS_-_CC&amp;STInv2"/>
      <sheetName val="Trade_Receivables2"/>
      <sheetName val="FOBO's_AR2"/>
      <sheetName val="SS-N&amp;OAR_12"/>
      <sheetName val="SS-_N&amp;OAR32"/>
      <sheetName val="Inventory_B-Up2"/>
      <sheetName val="Stores_&amp;_Spares2"/>
      <sheetName val="Days_Sales2"/>
      <sheetName val="Stores_and_Spares2"/>
      <sheetName val="agro_tables2"/>
      <sheetName val="As_per_GL2"/>
      <sheetName val="CWIP_B-Up2"/>
      <sheetName val="Sheet1_(2)2"/>
      <sheetName val="PepsiCo_Affiliated_Balances2"/>
      <sheetName val="Acct_Payable2"/>
      <sheetName val="ac_payable2"/>
      <sheetName val="Top_Ten2"/>
      <sheetName val="Accruals_details2"/>
      <sheetName val="fobo_marketing_accruals2"/>
      <sheetName val="Debt_&amp;_Equity2"/>
      <sheetName val="KPI_Input2"/>
      <sheetName val="KPI_definitions2"/>
      <sheetName val="OFCF_definitions2"/>
    </sheetNames>
    <sheetDataSet>
      <sheetData sheetId="0" refreshError="1"/>
      <sheetData sheetId="1" refreshError="1"/>
      <sheetData sheetId="2" refreshError="1">
        <row r="23">
          <cell r="D23">
            <v>12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Page"/>
      <sheetName val="Contents"/>
      <sheetName val="Acquirer"/>
      <sheetName val="Target"/>
      <sheetName val="Merg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Sheet2"/>
      <sheetName val="Tracking Manual  accrue Y19"/>
      <sheetName val="Customer Code"/>
      <sheetName val="Sheet1"/>
      <sheetName val="Hyperion"/>
      <sheetName val="Data Pull"/>
      <sheetName val="HQ Expenses"/>
      <sheetName val="DepAmort"/>
      <sheetName val="Unit COGS"/>
      <sheetName val="Pricing"/>
      <sheetName val="A&amp;M"/>
      <sheetName val="COGS"/>
      <sheetName val="Controllable Cost"/>
      <sheetName val="OtherInc"/>
      <sheetName val="Revenue"/>
      <sheetName val="National Support"/>
      <sheetName val="Volume"/>
      <sheetName val="Opening_BS"/>
      <sheetName val="Combined_Ratios"/>
      <sheetName val="Tracking_Manual__accrue_Y19"/>
      <sheetName val="Customer_Code"/>
      <sheetName val="Data_Pull"/>
      <sheetName val="HQ_Expenses"/>
      <sheetName val="Unit_COGS"/>
      <sheetName val="Controllable_Cost"/>
      <sheetName val="National_Support"/>
      <sheetName val="Opening_BS1"/>
      <sheetName val="Combined_Ratios1"/>
      <sheetName val="Tracking_Manual__accrue_Y191"/>
      <sheetName val="Customer_Code1"/>
      <sheetName val="Data_Pull1"/>
      <sheetName val="HQ_Expenses1"/>
      <sheetName val="Unit_COGS1"/>
      <sheetName val="Controllable_Cost1"/>
      <sheetName val="National_Support1"/>
      <sheetName val="Opening_BS2"/>
      <sheetName val="Combined_Ratios2"/>
      <sheetName val="Tracking_Manual__accrue_Y192"/>
      <sheetName val="Customer_Code2"/>
      <sheetName val="Data_Pull2"/>
      <sheetName val="HQ_Expenses2"/>
      <sheetName val="Unit_COGS2"/>
      <sheetName val="Controllable_Cost2"/>
      <sheetName val="National_Support2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Acquirer</v>
          </cell>
        </row>
        <row r="9">
          <cell r="D9" t="str">
            <v>$</v>
          </cell>
        </row>
      </sheetData>
      <sheetData sheetId="4" refreshError="1">
        <row r="2">
          <cell r="A2" t="str">
            <v>Target</v>
          </cell>
        </row>
        <row r="9">
          <cell r="D9" t="str">
            <v>$</v>
          </cell>
        </row>
      </sheetData>
      <sheetData sheetId="5" refreshError="1"/>
      <sheetData sheetId="6" refreshError="1"/>
      <sheetData sheetId="7" refreshError="1">
        <row r="2">
          <cell r="A2" t="str">
            <v>NewCo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data"/>
      <sheetName val="BOY assump'n"/>
      <sheetName val="COC"/>
      <sheetName val="input_data"/>
      <sheetName val="BOY_assump'n"/>
      <sheetName val="input_data1"/>
      <sheetName val="BOY_assump'n1"/>
      <sheetName val="input_data2"/>
      <sheetName val="BOY_assump'n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  <sheetName val="Entities"/>
      <sheetName val="Exec Summary"/>
      <sheetName val="Top-Line Summary"/>
      <sheetName val="VolProfits Key Mkts"/>
      <sheetName val="P&amp;L"/>
      <sheetName val="Top Line by Country"/>
      <sheetName val="Top Line by Country B(W)"/>
      <sheetName val="Top Line by Country (2)"/>
      <sheetName val="Cluster Summary"/>
      <sheetName val="P&amp;L_Sh"/>
      <sheetName val="P&amp;L_Sy"/>
      <sheetName val="2006P System"/>
      <sheetName val="2006P Share"/>
      <sheetName val="2005A Share Rptd"/>
      <sheetName val="2005A Share Adj"/>
      <sheetName val="2005A System Rptd"/>
      <sheetName val="2005A System Adj"/>
      <sheetName val="Actuals 04H"/>
      <sheetName val="2005 Fcst"/>
      <sheetName val="2005 H"/>
      <sheetName val="2006 Fcst"/>
      <sheetName val="2006 H"/>
      <sheetName val="Actuals 05H"/>
      <sheetName val="2002 hist"/>
      <sheetName val="2003 hist"/>
      <sheetName val="2006 Act"/>
      <sheetName val="2004 hist"/>
      <sheetName val="QTR Act"/>
      <sheetName val="QTR fcst"/>
      <sheetName val="17"/>
      <sheetName val="Yago"/>
      <sheetName val="Sheet2"/>
      <sheetName val="Tracking Manual  accrue Y19"/>
      <sheetName val="Customer Code"/>
      <sheetName val="Sheet1"/>
      <sheetName val="Exec_Summary"/>
      <sheetName val="Top-Line_Summary"/>
      <sheetName val="VolProfits_Key_Mkts"/>
      <sheetName val="Top_Line_by_Country"/>
      <sheetName val="Top_Line_by_Country_B(W)"/>
      <sheetName val="Top_Line_by_Country_(2)"/>
      <sheetName val="Cluster_Summary"/>
      <sheetName val="2006P_System"/>
      <sheetName val="2006P_Share"/>
      <sheetName val="2005A_Share_Rptd"/>
      <sheetName val="2005A_Share_Adj"/>
      <sheetName val="2005A_System_Rptd"/>
      <sheetName val="2005A_System_Adj"/>
      <sheetName val="Actuals_04H"/>
      <sheetName val="2005_Fcst"/>
      <sheetName val="2005_H"/>
      <sheetName val="2006_Fcst"/>
      <sheetName val="2006_H"/>
      <sheetName val="Actuals_05H"/>
      <sheetName val="2002_hist"/>
      <sheetName val="2003_hist"/>
      <sheetName val="2006_Act"/>
      <sheetName val="2004_hist"/>
      <sheetName val="QTR_Act"/>
      <sheetName val="QTR_fcst"/>
      <sheetName val="Tracking_Manual__accrue_Y19"/>
      <sheetName val="Customer_Code"/>
      <sheetName val="Exec_Summary1"/>
      <sheetName val="Top-Line_Summary1"/>
      <sheetName val="VolProfits_Key_Mkts1"/>
      <sheetName val="Top_Line_by_Country1"/>
      <sheetName val="Top_Line_by_Country_B(W)1"/>
      <sheetName val="Top_Line_by_Country_(2)1"/>
      <sheetName val="Cluster_Summary1"/>
      <sheetName val="2006P_System1"/>
      <sheetName val="2006P_Share1"/>
      <sheetName val="2005A_Share_Rptd1"/>
      <sheetName val="2005A_Share_Adj1"/>
      <sheetName val="2005A_System_Rptd1"/>
      <sheetName val="2005A_System_Adj1"/>
      <sheetName val="Actuals_04H1"/>
      <sheetName val="2005_Fcst1"/>
      <sheetName val="2005_H1"/>
      <sheetName val="2006_Fcst1"/>
      <sheetName val="2006_H1"/>
      <sheetName val="Actuals_05H1"/>
      <sheetName val="2002_hist1"/>
      <sheetName val="2003_hist1"/>
      <sheetName val="2006_Act1"/>
      <sheetName val="2004_hist1"/>
      <sheetName val="QTR_Act1"/>
      <sheetName val="QTR_fcst1"/>
      <sheetName val="Tracking_Manual__accrue_Y191"/>
      <sheetName val="Customer_Code1"/>
      <sheetName val="Exec_Summary2"/>
      <sheetName val="Top-Line_Summary2"/>
      <sheetName val="VolProfits_Key_Mkts2"/>
      <sheetName val="Top_Line_by_Country2"/>
      <sheetName val="Top_Line_by_Country_B(W)2"/>
      <sheetName val="Top_Line_by_Country_(2)2"/>
      <sheetName val="Cluster_Summary2"/>
      <sheetName val="2006P_System2"/>
      <sheetName val="2006P_Share2"/>
      <sheetName val="2005A_Share_Rptd2"/>
      <sheetName val="2005A_Share_Adj2"/>
      <sheetName val="2005A_System_Rptd2"/>
      <sheetName val="2005A_System_Adj2"/>
      <sheetName val="Actuals_04H2"/>
      <sheetName val="2005_Fcst2"/>
      <sheetName val="2005_H2"/>
      <sheetName val="2006_Fcst2"/>
      <sheetName val="2006_H2"/>
      <sheetName val="Actuals_05H2"/>
      <sheetName val="2002_hist2"/>
      <sheetName val="2003_hist2"/>
      <sheetName val="2006_Act2"/>
      <sheetName val="2004_hist2"/>
      <sheetName val="QTR_Act2"/>
      <sheetName val="QTR_fcst2"/>
      <sheetName val="Tracking_Manual__accrue_Y192"/>
      <sheetName val="Customer_Cod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_Hyp Config"/>
      <sheetName val="Entities"/>
      <sheetName val="Entities_OLD"/>
      <sheetName val="Cover"/>
      <sheetName val="Agenda"/>
      <sheetName val="KC_UPDATE"/>
      <sheetName val="KC_MACRO"/>
      <sheetName val="KC_Highlights"/>
      <sheetName val="KC_Vol_Share"/>
      <sheetName val="KC_Val_Share"/>
      <sheetName val="KC_Brand_Perf"/>
      <sheetName val="KC_Pack_Perf"/>
      <sheetName val="KC_FULLP&amp;L"/>
      <sheetName val="KC_SPLIT_P&amp;L"/>
      <sheetName val="KC_NCBSPLIT_P&amp;L"/>
      <sheetName val="KC_CSDCOCH"/>
      <sheetName val="KC_GATCOCH"/>
      <sheetName val="KC1_MTHvPY"/>
      <sheetName val="KC1_MTHvPlan"/>
      <sheetName val="KC1_YTDvPY"/>
      <sheetName val="KC1_YTDvPlan"/>
      <sheetName val="KC_QoE"/>
      <sheetName val="KC_QOutlook"/>
      <sheetName val="KC_SPLIT_P&amp;LSQZ"/>
      <sheetName val="KC_NCBSPLIT_P&amp;LSQZ"/>
      <sheetName val="KC_CAPEX_CF"/>
      <sheetName val="KC1-Backups"/>
      <sheetName val="ret FY"/>
      <sheetName val="2001 Act-Fcst"/>
      <sheetName val="Index Tables"/>
      <sheetName val="Config"/>
      <sheetName val="Summary"/>
      <sheetName val="PI_Hyp_Config"/>
      <sheetName val="ret_FY"/>
      <sheetName val="2001_Act-Fcst"/>
      <sheetName val="Index_Tables"/>
      <sheetName val="PI_Hyp_Config1"/>
      <sheetName val="ret_FY1"/>
      <sheetName val="2001_Act-Fcst1"/>
      <sheetName val="Index_Tables1"/>
      <sheetName val="PI_Hyp_Config2"/>
      <sheetName val="ret_FY2"/>
      <sheetName val="2001_Act-Fcst2"/>
      <sheetName val="Index_Table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 YTD Dec FX "/>
      <sheetName val="FX Fcst "/>
      <sheetName val="2002 Forex Actual"/>
      <sheetName val="2002 Forex Plan"/>
      <sheetName val="PCI"/>
      <sheetName val="MexicoBU"/>
      <sheetName val="SACBU"/>
      <sheetName val="ESSABU"/>
      <sheetName val="MideastBU"/>
      <sheetName val="AsiaBU"/>
      <sheetName val="IndiaBU"/>
      <sheetName val="ChinaBU"/>
      <sheetName val="TropBU"/>
      <sheetName val="PBIxQ LF"/>
      <sheetName val="SACBU LF"/>
      <sheetName val="SOLA LF"/>
      <sheetName val="Brazil LF"/>
      <sheetName val="Andean LF"/>
      <sheetName val="Caribbean LF"/>
      <sheetName val="C.America LF"/>
      <sheetName val="Mexico LF"/>
      <sheetName val="ESSA LF"/>
      <sheetName val="Asia LF"/>
      <sheetName val="China LF"/>
      <sheetName val="CC LF"/>
      <sheetName val="CQ LF"/>
      <sheetName val="TJ LF"/>
      <sheetName val="GZ LF"/>
      <sheetName val="SZ LF"/>
      <sheetName val="M.east LF"/>
      <sheetName val="India LF"/>
      <sheetName val="TropEurope LF"/>
      <sheetName val="France LF"/>
      <sheetName val="_YTD_Dec_FX_"/>
      <sheetName val="FX_Fcst_"/>
      <sheetName val="2002_Forex_Actual"/>
      <sheetName val="2002_Forex_Plan"/>
      <sheetName val="PBIxQ_LF"/>
      <sheetName val="SACBU_LF"/>
      <sheetName val="SOLA_LF"/>
      <sheetName val="Brazil_LF"/>
      <sheetName val="Andean_LF"/>
      <sheetName val="Caribbean_LF"/>
      <sheetName val="C_America_LF"/>
      <sheetName val="Mexico_LF"/>
      <sheetName val="ESSA_LF"/>
      <sheetName val="Asia_LF"/>
      <sheetName val="China_LF"/>
      <sheetName val="CC_LF"/>
      <sheetName val="CQ_LF"/>
      <sheetName val="TJ_LF"/>
      <sheetName val="GZ_LF"/>
      <sheetName val="SZ_LF"/>
      <sheetName val="M_east_LF"/>
      <sheetName val="India_LF"/>
      <sheetName val="TropEurope_LF"/>
      <sheetName val="France_LF"/>
      <sheetName val="_YTD_Dec_FX_1"/>
      <sheetName val="FX_Fcst_1"/>
      <sheetName val="2002_Forex_Actual1"/>
      <sheetName val="2002_Forex_Plan1"/>
      <sheetName val="PBIxQ_LF1"/>
      <sheetName val="SACBU_LF1"/>
      <sheetName val="SOLA_LF1"/>
      <sheetName val="Brazil_LF1"/>
      <sheetName val="Andean_LF1"/>
      <sheetName val="Caribbean_LF1"/>
      <sheetName val="C_America_LF1"/>
      <sheetName val="Mexico_LF1"/>
      <sheetName val="ESSA_LF1"/>
      <sheetName val="Asia_LF1"/>
      <sheetName val="China_LF1"/>
      <sheetName val="CC_LF1"/>
      <sheetName val="CQ_LF1"/>
      <sheetName val="TJ_LF1"/>
      <sheetName val="GZ_LF1"/>
      <sheetName val="SZ_LF1"/>
      <sheetName val="M_east_LF1"/>
      <sheetName val="India_LF1"/>
      <sheetName val="TropEurope_LF1"/>
      <sheetName val="France_LF1"/>
      <sheetName val="_YTD_Dec_FX_2"/>
      <sheetName val="FX_Fcst_2"/>
      <sheetName val="2002_Forex_Actual2"/>
      <sheetName val="2002_Forex_Plan2"/>
      <sheetName val="PBIxQ_LF2"/>
      <sheetName val="SACBU_LF2"/>
      <sheetName val="SOLA_LF2"/>
      <sheetName val="Brazil_LF2"/>
      <sheetName val="Andean_LF2"/>
      <sheetName val="Caribbean_LF2"/>
      <sheetName val="C_America_LF2"/>
      <sheetName val="Mexico_LF2"/>
      <sheetName val="ESSA_LF2"/>
      <sheetName val="Asia_LF2"/>
      <sheetName val="China_LF2"/>
      <sheetName val="CC_LF2"/>
      <sheetName val="CQ_LF2"/>
      <sheetName val="TJ_LF2"/>
      <sheetName val="GZ_LF2"/>
      <sheetName val="SZ_LF2"/>
      <sheetName val="M_east_LF2"/>
      <sheetName val="India_LF2"/>
      <sheetName val="TropEurope_LF2"/>
      <sheetName val="France_LF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movement"/>
      <sheetName val="Vol(Qtr)"/>
      <sheetName val="Vol(BOY)"/>
      <sheetName val="Vol (base)"/>
      <sheetName val="2001vol"/>
      <sheetName val="2000vol"/>
      <sheetName val="P&amp;L(S2)"/>
      <sheetName val="A&amp;M"/>
      <sheetName val="JV (RMB)(Summary)"/>
      <sheetName val="JV income"/>
      <sheetName val="JV share $"/>
      <sheetName val="JV (RMB)Plan "/>
      <sheetName val="JV (RMB)2001A"/>
      <sheetName val="JV (RMB)J.Fcst"/>
      <sheetName val="JV (RMB)PlanA"/>
      <sheetName val="China JVs"/>
      <sheetName val="JV income(wks)"/>
      <sheetName val="Other i_o"/>
      <sheetName val="CAPEX"/>
      <sheetName val="JV infusion"/>
      <sheetName val="CF(direct)"/>
      <sheetName val="2001PCF"/>
      <sheetName val="CF (2)"/>
      <sheetName val="2001MFCF"/>
      <sheetName val="2001JFCF"/>
      <sheetName val="2001A"/>
      <sheetName val="2001A(wks)"/>
      <sheetName val="2002PCF(Check)"/>
      <sheetName val="2002PCF(wks) (check)"/>
      <sheetName val="2001FCF (Summary)"/>
      <sheetName val="2002ACF"/>
      <sheetName val="2001ACF(wks)"/>
      <sheetName val="NAB(2001AOP) (@8.28)"/>
      <sheetName val="AC (@8.28)"/>
      <sheetName val="P&amp;L(S1)"/>
      <sheetName val="2002PPL"/>
      <sheetName val="Tax (2)"/>
      <sheetName val="2002PPL(check)"/>
      <sheetName val="P&amp;L Check)"/>
      <sheetName val="2002PPLa"/>
      <sheetName val="2001APL"/>
      <sheetName val="PII"/>
      <sheetName val="Shipment"/>
      <sheetName val="Shipment (01P)"/>
      <sheetName val="Vol(Q1)"/>
      <sheetName val="jvinc"/>
      <sheetName val="PICL fee"/>
      <sheetName val="J Fcst vol"/>
      <sheetName val="2002P-BU"/>
      <sheetName val="2002P-SC"/>
      <sheetName val="Vol_(base)"/>
      <sheetName val="JV_(RMB)(Summary)"/>
      <sheetName val="JV_income"/>
      <sheetName val="JV_share_$"/>
      <sheetName val="JV_(RMB)Plan_"/>
      <sheetName val="JV_(RMB)2001A"/>
      <sheetName val="JV_(RMB)J_Fcst"/>
      <sheetName val="JV_(RMB)PlanA"/>
      <sheetName val="China_JVs"/>
      <sheetName val="JV_income(wks)"/>
      <sheetName val="Other_i_o"/>
      <sheetName val="JV_infusion"/>
      <sheetName val="CF_(2)"/>
      <sheetName val="2002PCF(wks)_(check)"/>
      <sheetName val="2001FCF_(Summary)"/>
      <sheetName val="NAB(2001AOP)_(@8_28)"/>
      <sheetName val="AC_(@8_28)"/>
      <sheetName val="Tax_(2)"/>
      <sheetName val="P&amp;L_Check)"/>
      <sheetName val="Shipment_(01P)"/>
      <sheetName val="PICL_fee"/>
      <sheetName val="J_Fcst_vol"/>
      <sheetName val="Vol_(base)1"/>
      <sheetName val="JV_(RMB)(Summary)1"/>
      <sheetName val="JV_income1"/>
      <sheetName val="JV_share_$1"/>
      <sheetName val="JV_(RMB)Plan_1"/>
      <sheetName val="JV_(RMB)2001A1"/>
      <sheetName val="JV_(RMB)J_Fcst1"/>
      <sheetName val="JV_(RMB)PlanA1"/>
      <sheetName val="China_JVs1"/>
      <sheetName val="JV_income(wks)1"/>
      <sheetName val="Other_i_o1"/>
      <sheetName val="JV_infusion1"/>
      <sheetName val="CF_(2)1"/>
      <sheetName val="2002PCF(wks)_(check)1"/>
      <sheetName val="2001FCF_(Summary)1"/>
      <sheetName val="NAB(2001AOP)_(@8_28)1"/>
      <sheetName val="AC_(@8_28)1"/>
      <sheetName val="Tax_(2)1"/>
      <sheetName val="P&amp;L_Check)1"/>
      <sheetName val="Shipment_(01P)1"/>
      <sheetName val="PICL_fee1"/>
      <sheetName val="J_Fcst_vol1"/>
      <sheetName val="Vol_(base)2"/>
      <sheetName val="JV_(RMB)(Summary)2"/>
      <sheetName val="JV_income2"/>
      <sheetName val="JV_share_$2"/>
      <sheetName val="JV_(RMB)Plan_2"/>
      <sheetName val="JV_(RMB)2001A2"/>
      <sheetName val="JV_(RMB)J_Fcst2"/>
      <sheetName val="JV_(RMB)PlanA2"/>
      <sheetName val="China_JVs2"/>
      <sheetName val="JV_income(wks)2"/>
      <sheetName val="Other_i_o2"/>
      <sheetName val="JV_infusion2"/>
      <sheetName val="CF_(2)2"/>
      <sheetName val="2002PCF(wks)_(check)2"/>
      <sheetName val="2001FCF_(Summary)2"/>
      <sheetName val="NAB(2001AOP)_(@8_28)2"/>
      <sheetName val="AC_(@8_28)2"/>
      <sheetName val="Tax_(2)2"/>
      <sheetName val="P&amp;L_Check)2"/>
      <sheetName val="Shipment_(01P)2"/>
      <sheetName val="PICL_fee2"/>
      <sheetName val="J_Fcst_vo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BEV AOP Input"/>
      <sheetName val="BEV AOP Link"/>
      <sheetName val="BEV Report"/>
      <sheetName val="SNK AOP Input"/>
      <sheetName val="SNK AOP Link"/>
      <sheetName val="SNK Report"/>
      <sheetName val="PL AOP Input"/>
      <sheetName val="PL AOP Link"/>
      <sheetName val="PL Report"/>
      <sheetName val="WS AOP Input"/>
      <sheetName val="WS AOP Link"/>
      <sheetName val="WS Report"/>
      <sheetName val="BS AOP Input"/>
      <sheetName val="BS AOP Link"/>
      <sheetName val="BS Report"/>
      <sheetName val="CF Report"/>
      <sheetName val="Forex Rates"/>
      <sheetName val="WS Validation"/>
      <sheetName val="BS Validation"/>
      <sheetName val="TAR BEV Report"/>
      <sheetName val="TAR SNK Report"/>
      <sheetName val="Profit and Loss"/>
      <sheetName val="Balance Sheet"/>
      <sheetName val="Beverage Volume"/>
      <sheetName val="Snacks Volume &amp; Gross Sales"/>
      <sheetName val="Weekly Sales"/>
      <sheetName val="Beverage Entities"/>
      <sheetName val="Snacks Entities"/>
      <sheetName val="Reference"/>
      <sheetName val="Control_Panel"/>
      <sheetName val="BEV_AOP_Input"/>
      <sheetName val="BEV_AOP_Link"/>
      <sheetName val="BEV_Report"/>
      <sheetName val="SNK_AOP_Input"/>
      <sheetName val="SNK_AOP_Link"/>
      <sheetName val="SNK_Report"/>
      <sheetName val="PL_AOP_Input"/>
      <sheetName val="PL_AOP_Link"/>
      <sheetName val="PL_Report"/>
      <sheetName val="WS_AOP_Input"/>
      <sheetName val="WS_AOP_Link"/>
      <sheetName val="WS_Report"/>
      <sheetName val="BS_AOP_Input"/>
      <sheetName val="BS_AOP_Link"/>
      <sheetName val="BS_Report"/>
      <sheetName val="CF_Report"/>
      <sheetName val="Forex_Rates"/>
      <sheetName val="WS_Validation"/>
      <sheetName val="BS_Validation"/>
      <sheetName val="TAR_BEV_Report"/>
      <sheetName val="TAR_SNK_Report"/>
      <sheetName val="Profit_and_Loss"/>
      <sheetName val="Balance_Sheet"/>
      <sheetName val="Beverage_Volume"/>
      <sheetName val="Snacks_Volume_&amp;_Gross_Sales"/>
      <sheetName val="Weekly_Sales"/>
      <sheetName val="Beverage_Entities"/>
      <sheetName val="Snacks_Entities"/>
      <sheetName val="Control_Panel1"/>
      <sheetName val="BEV_AOP_Input1"/>
      <sheetName val="BEV_AOP_Link1"/>
      <sheetName val="BEV_Report1"/>
      <sheetName val="SNK_AOP_Input1"/>
      <sheetName val="SNK_AOP_Link1"/>
      <sheetName val="SNK_Report1"/>
      <sheetName val="PL_AOP_Input1"/>
      <sheetName val="PL_AOP_Link1"/>
      <sheetName val="PL_Report1"/>
      <sheetName val="WS_AOP_Input1"/>
      <sheetName val="WS_AOP_Link1"/>
      <sheetName val="WS_Report1"/>
      <sheetName val="BS_AOP_Input1"/>
      <sheetName val="BS_AOP_Link1"/>
      <sheetName val="BS_Report1"/>
      <sheetName val="CF_Report1"/>
      <sheetName val="Forex_Rates1"/>
      <sheetName val="WS_Validation1"/>
      <sheetName val="BS_Validation1"/>
      <sheetName val="TAR_BEV_Report1"/>
      <sheetName val="TAR_SNK_Report1"/>
      <sheetName val="Profit_and_Loss1"/>
      <sheetName val="Balance_Sheet1"/>
      <sheetName val="Beverage_Volume1"/>
      <sheetName val="Snacks_Volume_&amp;_Gross_Sales1"/>
      <sheetName val="Weekly_Sales1"/>
      <sheetName val="Beverage_Entities1"/>
      <sheetName val="Snacks_Entities1"/>
      <sheetName val="Control_Panel2"/>
      <sheetName val="BEV_AOP_Input2"/>
      <sheetName val="BEV_AOP_Link2"/>
      <sheetName val="BEV_Report2"/>
      <sheetName val="SNK_AOP_Input2"/>
      <sheetName val="SNK_AOP_Link2"/>
      <sheetName val="SNK_Report2"/>
      <sheetName val="PL_AOP_Input2"/>
      <sheetName val="PL_AOP_Link2"/>
      <sheetName val="PL_Report2"/>
      <sheetName val="WS_AOP_Input2"/>
      <sheetName val="WS_AOP_Link2"/>
      <sheetName val="WS_Report2"/>
      <sheetName val="BS_AOP_Input2"/>
      <sheetName val="BS_AOP_Link2"/>
      <sheetName val="BS_Report2"/>
      <sheetName val="CF_Report2"/>
      <sheetName val="Forex_Rates2"/>
      <sheetName val="WS_Validation2"/>
      <sheetName val="BS_Validation2"/>
      <sheetName val="TAR_BEV_Report2"/>
      <sheetName val="TAR_SNK_Report2"/>
      <sheetName val="Profit_and_Loss2"/>
      <sheetName val="Balance_Sheet2"/>
      <sheetName val="Beverage_Volume2"/>
      <sheetName val="Snacks_Volume_&amp;_Gross_Sales2"/>
      <sheetName val="Weekly_Sales2"/>
      <sheetName val="Beverage_Entities2"/>
      <sheetName val="Snacks_Entitie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3">
          <cell r="B3" t="str">
            <v>Middle-East Africa</v>
          </cell>
          <cell r="O3" t="str">
            <v>2006 AOP (Phase 2)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BEV AOP Input"/>
      <sheetName val="BEV AOP Link"/>
      <sheetName val="BEV Report"/>
      <sheetName val="SNK AOP Input"/>
      <sheetName val="SNK AOP Link"/>
      <sheetName val="SNK Report"/>
      <sheetName val="PL AOP Input"/>
      <sheetName val="PL AOP Link"/>
      <sheetName val="PL Report"/>
      <sheetName val="WS AOP Input"/>
      <sheetName val="WS AOP Link"/>
      <sheetName val="WS Report"/>
      <sheetName val="BS AOP Input"/>
      <sheetName val="BS AOP Link"/>
      <sheetName val="BS Report"/>
      <sheetName val="CF Report"/>
      <sheetName val="Forex Rates"/>
      <sheetName val="WS Validation"/>
      <sheetName val="BS Validation"/>
      <sheetName val="TAR BEV Report"/>
      <sheetName val="TAR SNK Report"/>
      <sheetName val="Profit and Loss"/>
      <sheetName val="Balance Sheet"/>
      <sheetName val="Beverage Volume"/>
      <sheetName val="Snacks Volume &amp; Gross Sales"/>
      <sheetName val="Weekly Sales"/>
      <sheetName val="Beverage Entities"/>
      <sheetName val="Snacks Entities"/>
      <sheetName val="Reference"/>
      <sheetName val="Control_Panel"/>
      <sheetName val="BEV_AOP_Input"/>
      <sheetName val="BEV_AOP_Link"/>
      <sheetName val="BEV_Report"/>
      <sheetName val="SNK_AOP_Input"/>
      <sheetName val="SNK_AOP_Link"/>
      <sheetName val="SNK_Report"/>
      <sheetName val="PL_AOP_Input"/>
      <sheetName val="PL_AOP_Link"/>
      <sheetName val="PL_Report"/>
      <sheetName val="WS_AOP_Input"/>
      <sheetName val="WS_AOP_Link"/>
      <sheetName val="WS_Report"/>
      <sheetName val="BS_AOP_Input"/>
      <sheetName val="BS_AOP_Link"/>
      <sheetName val="BS_Report"/>
      <sheetName val="CF_Report"/>
      <sheetName val="Forex_Rates"/>
      <sheetName val="WS_Validation"/>
      <sheetName val="BS_Validation"/>
      <sheetName val="TAR_BEV_Report"/>
      <sheetName val="TAR_SNK_Report"/>
      <sheetName val="Profit_and_Loss"/>
      <sheetName val="Balance_Sheet"/>
      <sheetName val="Beverage_Volume"/>
      <sheetName val="Snacks_Volume_&amp;_Gross_Sales"/>
      <sheetName val="Weekly_Sales"/>
      <sheetName val="Beverage_Entities"/>
      <sheetName val="Snacks_Entities"/>
      <sheetName val="Control_Panel1"/>
      <sheetName val="BEV_AOP_Input1"/>
      <sheetName val="BEV_AOP_Link1"/>
      <sheetName val="BEV_Report1"/>
      <sheetName val="SNK_AOP_Input1"/>
      <sheetName val="SNK_AOP_Link1"/>
      <sheetName val="SNK_Report1"/>
      <sheetName val="PL_AOP_Input1"/>
      <sheetName val="PL_AOP_Link1"/>
      <sheetName val="PL_Report1"/>
      <sheetName val="WS_AOP_Input1"/>
      <sheetName val="WS_AOP_Link1"/>
      <sheetName val="WS_Report1"/>
      <sheetName val="BS_AOP_Input1"/>
      <sheetName val="BS_AOP_Link1"/>
      <sheetName val="BS_Report1"/>
      <sheetName val="CF_Report1"/>
      <sheetName val="Forex_Rates1"/>
      <sheetName val="WS_Validation1"/>
      <sheetName val="BS_Validation1"/>
      <sheetName val="TAR_BEV_Report1"/>
      <sheetName val="TAR_SNK_Report1"/>
      <sheetName val="Profit_and_Loss1"/>
      <sheetName val="Balance_Sheet1"/>
      <sheetName val="Beverage_Volume1"/>
      <sheetName val="Snacks_Volume_&amp;_Gross_Sales1"/>
      <sheetName val="Weekly_Sales1"/>
      <sheetName val="Beverage_Entities1"/>
      <sheetName val="Snacks_Entities1"/>
      <sheetName val="Control_Panel2"/>
      <sheetName val="BEV_AOP_Input2"/>
      <sheetName val="BEV_AOP_Link2"/>
      <sheetName val="BEV_Report2"/>
      <sheetName val="SNK_AOP_Input2"/>
      <sheetName val="SNK_AOP_Link2"/>
      <sheetName val="SNK_Report2"/>
      <sheetName val="PL_AOP_Input2"/>
      <sheetName val="PL_AOP_Link2"/>
      <sheetName val="PL_Report2"/>
      <sheetName val="WS_AOP_Input2"/>
      <sheetName val="WS_AOP_Link2"/>
      <sheetName val="WS_Report2"/>
      <sheetName val="BS_AOP_Input2"/>
      <sheetName val="BS_AOP_Link2"/>
      <sheetName val="BS_Report2"/>
      <sheetName val="CF_Report2"/>
      <sheetName val="Forex_Rates2"/>
      <sheetName val="WS_Validation2"/>
      <sheetName val="BS_Validation2"/>
      <sheetName val="TAR_BEV_Report2"/>
      <sheetName val="TAR_SNK_Report2"/>
      <sheetName val="Profit_and_Loss2"/>
      <sheetName val="Balance_Sheet2"/>
      <sheetName val="Beverage_Volume2"/>
      <sheetName val="Snacks_Volume_&amp;_Gross_Sales2"/>
      <sheetName val="Weekly_Sales2"/>
      <sheetName val="Beverage_Entities2"/>
      <sheetName val="Snacks_Entities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Y Template"/>
      <sheetName val="Summary"/>
      <sheetName val="ThailandMU"/>
      <sheetName val="PhilsMU"/>
      <sheetName val="VietMU"/>
      <sheetName val="AFMU"/>
      <sheetName val="FB"/>
      <sheetName val="BUHQCSD"/>
      <sheetName val="BUHQ CSD Backup"/>
      <sheetName val="Jan Volume"/>
      <sheetName val="Sheet1"/>
      <sheetName val="MAIN FX-CALC 1"/>
      <sheetName val="WORKINGS"/>
      <sheetName val="Vol Ver2"/>
      <sheetName val="assumptions"/>
      <sheetName val="index"/>
      <sheetName val="Капвложения"/>
      <sheetName val="DCF"/>
      <sheetName val="NY_Template"/>
      <sheetName val="BUHQ_CSD_Backup"/>
      <sheetName val="Jan_Volume"/>
      <sheetName val="MAIN_FX-CALC_1"/>
      <sheetName val="MU List"/>
      <sheetName val="Storage"/>
      <sheetName val="INput Data"/>
      <sheetName val="DATA-INPUT"/>
      <sheetName val="JULY"/>
      <sheetName val="Reference"/>
      <sheetName val="PL AOP Input"/>
      <sheetName val="WS AOP Input"/>
      <sheetName val="Control Panel"/>
      <sheetName val="Profit and Loss"/>
      <sheetName val="RPT 71-VOLUME DATA-PCI "/>
      <sheetName val="Lookup"/>
      <sheetName val="LoadAccyByWk"/>
      <sheetName val="PackAvailByWk"/>
      <sheetName val="REC SALARIES"/>
      <sheetName val="#REF"/>
      <sheetName val="RPT 11-VOLUME BY BRANDS"/>
      <sheetName val="2002 Forex Plan"/>
      <sheetName val="Results BS"/>
      <sheetName val="Annexure"/>
      <sheetName val="Provision"/>
      <sheetName val="Depot Fixed Only"/>
      <sheetName val="Orig Target"/>
      <sheetName val="Vendors"/>
      <sheetName val="Snacks Volume &amp; Gross Sales"/>
      <sheetName val="NR"/>
      <sheetName val="Macro_FX"/>
      <sheetName val=""/>
      <sheetName val="Detail"/>
      <sheetName val="SUMMARY SHEET- Mike Report"/>
      <sheetName val="NY_Template1"/>
      <sheetName val="BUHQ_CSD_Backup1"/>
      <sheetName val="Jan_Volume1"/>
      <sheetName val="MAIN_FX-CALC_11"/>
      <sheetName val="Vol_Ver2"/>
      <sheetName val="MU_List"/>
      <sheetName val="INput_Data"/>
      <sheetName val="PL_AOP_Input"/>
      <sheetName val="WS_AOP_Input"/>
      <sheetName val="Control_Panel"/>
      <sheetName val="Profit_and_Loss"/>
      <sheetName val="RPT_71-VOLUME_DATA-PCI_"/>
      <sheetName val="RPT_11-VOLUME_BY_BRANDS"/>
      <sheetName val="UNIT"/>
      <sheetName val="Greater Bombay"/>
      <sheetName val="ROM"/>
      <sheetName val="REC_SALARIES"/>
      <sheetName val="2002_Forex_Plan"/>
      <sheetName val="Results_BS"/>
      <sheetName val="P&amp;L"/>
      <sheetName val="NY_Template2"/>
      <sheetName val="BUHQ_CSD_Backup2"/>
      <sheetName val="Jan_Volume2"/>
      <sheetName val="MAIN_FX-CALC_12"/>
      <sheetName val="Vol_Ver21"/>
      <sheetName val="MU_List1"/>
      <sheetName val="INput_Data1"/>
      <sheetName val="PL_AOP_Input1"/>
      <sheetName val="WS_AOP_Input1"/>
      <sheetName val="Control_Panel1"/>
      <sheetName val="Profit_and_Loss1"/>
      <sheetName val="RPT_71-VOLUME_DATA-PCI_1"/>
      <sheetName val="RPT_11-VOLUME_BY_BRANDS1"/>
      <sheetName val="REC_SALARIES1"/>
      <sheetName val="Results_BS1"/>
      <sheetName val="2002_Forex_Plan1"/>
      <sheetName val="Depot_Fixed_Only"/>
      <sheetName val="Orig_Target"/>
      <sheetName val="Snacks_Volume_&amp;_Gross_Sales"/>
      <sheetName val="SUMMARY_SHEET-_Mike_Report"/>
      <sheetName val="Greater_Bombay"/>
      <sheetName val="Cover"/>
      <sheetName val="CUSTOMER STRATEGIES"/>
      <sheetName val="CustOrg"/>
      <sheetName val="TRIALS"/>
      <sheetName val="Entities"/>
      <sheetName val="NY_Template3"/>
      <sheetName val="BUHQ_CSD_Backup3"/>
      <sheetName val="Jan_Volume3"/>
      <sheetName val="MAIN_FX-CALC_13"/>
      <sheetName val="Vol_Ver22"/>
      <sheetName val="MU_List2"/>
      <sheetName val="INput_Data2"/>
      <sheetName val="PL_AOP_Input2"/>
      <sheetName val="WS_AOP_Input2"/>
      <sheetName val="Control_Panel2"/>
      <sheetName val="Profit_and_Loss2"/>
      <sheetName val="RPT_71-VOLUME_DATA-PCI_2"/>
      <sheetName val="REC_SALARIES2"/>
      <sheetName val="RPT_11-VOLUME_BY_BRANDS2"/>
      <sheetName val="2002_Forex_Plan2"/>
      <sheetName val="Results_BS2"/>
      <sheetName val="Depot_Fixed_Only1"/>
      <sheetName val="Orig_Target1"/>
      <sheetName val="Snacks_Volume_&amp;_Gross_Sales1"/>
      <sheetName val="SUMMARY_SHEET-_Mike_Report1"/>
      <sheetName val="Greater_Bombay1"/>
      <sheetName val="CUSTOMER_STRATEGIES"/>
      <sheetName val="NY_Template4"/>
      <sheetName val="BUHQ_CSD_Backup4"/>
      <sheetName val="Jan_Volume4"/>
      <sheetName val="MAIN_FX-CALC_14"/>
      <sheetName val="Vol_Ver23"/>
      <sheetName val="MU_List3"/>
      <sheetName val="INput_Data3"/>
      <sheetName val="PL_AOP_Input3"/>
      <sheetName val="WS_AOP_Input3"/>
      <sheetName val="Control_Panel3"/>
      <sheetName val="Profit_and_Loss3"/>
      <sheetName val="RPT_71-VOLUME_DATA-PCI_3"/>
      <sheetName val="REC_SALARIES3"/>
      <sheetName val="RPT_11-VOLUME_BY_BRANDS3"/>
      <sheetName val="2002_Forex_Plan3"/>
      <sheetName val="Results_BS3"/>
      <sheetName val="Depot_Fixed_Only2"/>
      <sheetName val="Orig_Target2"/>
      <sheetName val="Snacks_Volume_&amp;_Gross_Sales2"/>
      <sheetName val="SUMMARY_SHEET-_Mike_Report2"/>
      <sheetName val="Greater_Bombay2"/>
      <sheetName val="CUSTOMER_STRATEGIES1"/>
      <sheetName val="Dropdown lists"/>
      <sheetName val="Lists"/>
      <sheetName val="NY_Template5"/>
      <sheetName val="BUHQ_CSD_Backup5"/>
      <sheetName val="Jan_Volume5"/>
      <sheetName val="MAIN_FX-CALC_15"/>
      <sheetName val="Vol_Ver24"/>
      <sheetName val="MU_List4"/>
      <sheetName val="INput_Data4"/>
      <sheetName val="PL_AOP_Input4"/>
      <sheetName val="WS_AOP_Input4"/>
      <sheetName val="Control_Panel4"/>
      <sheetName val="Profit_and_Loss4"/>
      <sheetName val="RPT_71-VOLUME_DATA-PCI_4"/>
      <sheetName val="REC_SALARIES4"/>
      <sheetName val="RPT_11-VOLUME_BY_BRANDS4"/>
      <sheetName val="2002_Forex_Plan4"/>
      <sheetName val="Results_BS4"/>
      <sheetName val="Depot_Fixed_Only3"/>
      <sheetName val="Orig_Target3"/>
      <sheetName val="Snacks_Volume_&amp;_Gross_Sales3"/>
      <sheetName val="SUMMARY_SHEET-_Mike_Report3"/>
      <sheetName val="Greater_Bombay3"/>
      <sheetName val="CUSTOMER_STRATEGIES2"/>
      <sheetName val="Dropdown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 nfcst_py"/>
      <sheetName val="vfcst_ py"/>
      <sheetName val="rfcst_py"/>
      <sheetName val="afcst_py "/>
      <sheetName val=" nfcst_pln"/>
      <sheetName val="vfcst_pln"/>
      <sheetName val="rfcst_pln"/>
      <sheetName val="afcst_pln"/>
      <sheetName val="cfcst_pln"/>
      <sheetName val="sfcst"/>
      <sheetName val="div"/>
      <sheetName val="_nfcst_py"/>
      <sheetName val="Internal"/>
      <sheetName val="Comp data"/>
      <sheetName val="HP Actual YTD"/>
      <sheetName val="Sheet1 (2)"/>
      <sheetName val="RTE"/>
      <sheetName val="Assumptions"/>
      <sheetName val="Proj Definition Report"/>
      <sheetName val="Oil"/>
      <sheetName val="Roll-up"/>
      <sheetName val="B"/>
      <sheetName val="Ratios"/>
      <sheetName val="C"/>
      <sheetName val="Opt Model"/>
      <sheetName val="195ml"/>
      <sheetName val="SIT Data"/>
      <sheetName val="Puerto Rico"/>
      <sheetName val="DataSearch"/>
      <sheetName val="Dot Matrix Prnt"/>
      <sheetName val="LaserPrnt"/>
      <sheetName val="Line Matrix Prnt"/>
      <sheetName val="PrntServer"/>
      <sheetName val="RF-Batt. Charger"/>
      <sheetName val="RF-Spare Battery"/>
      <sheetName val="vfcst__py"/>
      <sheetName val="afcst_py_"/>
      <sheetName val="_nfcst_pln"/>
      <sheetName val="Screen 5-6"/>
      <sheetName val="stat local"/>
      <sheetName val="drop list"/>
      <sheetName val="P&amp;L"/>
      <sheetName val="_nfcst_py1"/>
      <sheetName val="vfcst__py1"/>
      <sheetName val="afcst_py_1"/>
      <sheetName val="_nfcst_pln1"/>
      <sheetName val="Comp_data"/>
      <sheetName val="HP_Actual_YTD"/>
      <sheetName val="Sheet1_(2)"/>
      <sheetName val="Proj_Definition_Report"/>
      <sheetName val="Opt_Model"/>
      <sheetName val="SIT_Data"/>
      <sheetName val="Puerto_Rico"/>
      <sheetName val="Dot_Matrix_Prnt"/>
      <sheetName val="Line_Matrix_Prnt"/>
      <sheetName val="RF-Batt__Charger"/>
      <sheetName val="RF-Spare_Battery"/>
      <sheetName val="Screen_5-6"/>
      <sheetName val="stat_local"/>
      <sheetName val="drop_list"/>
      <sheetName val="_nfcst_py2"/>
      <sheetName val="vfcst__py2"/>
      <sheetName val="afcst_py_2"/>
      <sheetName val="_nfcst_pln2"/>
      <sheetName val="Comp_data1"/>
      <sheetName val="HP_Actual_YTD1"/>
      <sheetName val="Sheet1_(2)1"/>
      <sheetName val="Proj_Definition_Report1"/>
      <sheetName val="Opt_Model1"/>
      <sheetName val="SIT_Data1"/>
      <sheetName val="Puerto_Rico1"/>
      <sheetName val="Dot_Matrix_Prnt1"/>
      <sheetName val="Line_Matrix_Prnt1"/>
      <sheetName val="RF-Batt__Charger1"/>
      <sheetName val="RF-Spare_Battery1"/>
      <sheetName val="Screen_5-61"/>
      <sheetName val="stat_local1"/>
      <sheetName val="drop_list1"/>
      <sheetName val="_nfcst_py3"/>
      <sheetName val="vfcst__py3"/>
      <sheetName val="afcst_py_3"/>
      <sheetName val="_nfcst_pln3"/>
      <sheetName val="Comp_data2"/>
      <sheetName val="HP_Actual_YTD2"/>
      <sheetName val="Sheet1_(2)2"/>
      <sheetName val="Proj_Definition_Report2"/>
      <sheetName val="Opt_Model2"/>
      <sheetName val="SIT_Data2"/>
      <sheetName val="Puerto_Rico2"/>
      <sheetName val="Dot_Matrix_Prnt2"/>
      <sheetName val="Line_Matrix_Prnt2"/>
      <sheetName val="RF-Batt__Charger2"/>
      <sheetName val="RF-Spare_Battery2"/>
      <sheetName val="Screen_5-62"/>
      <sheetName val="stat_local2"/>
      <sheetName val="drop_lis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LTM"/>
      <sheetName val="P&amp;L"/>
      <sheetName val="BS"/>
      <sheetName val="CFS"/>
      <sheetName val="Assump"/>
      <sheetName val="Depr"/>
      <sheetName val="Amort"/>
      <sheetName val="Debt"/>
      <sheetName val="Conv. Debt"/>
      <sheetName val="Preferred"/>
      <sheetName val="Conv. Pref."/>
      <sheetName val="Tax"/>
      <sheetName val="Options"/>
      <sheetName val="Shares Outstanding"/>
      <sheetName val="Firm Value"/>
      <sheetName val="Premium"/>
      <sheetName val="DCF_5"/>
      <sheetName val="LBO"/>
      <sheetName val="PrintMacro"/>
      <sheetName val="Overhead"/>
      <sheetName val="Template"/>
      <sheetName val="Forex"/>
      <sheetName val="Legend"/>
      <sheetName val="Unix Pricing"/>
      <sheetName val="Unix Revised Pricing"/>
      <sheetName val="MU List"/>
      <sheetName val="SOPRESA JV"/>
      <sheetName val="P3"/>
      <sheetName val="Conv__Debt"/>
      <sheetName val="Conv__Pref_"/>
      <sheetName val="Shares_Outstanding"/>
      <sheetName val="Firm_Value"/>
      <sheetName val="Rus Base_Converter"/>
      <sheetName val="ACCESS"/>
      <sheetName val="Summary (Method 1)"/>
      <sheetName val="Combo Box List"/>
      <sheetName val="HP Actual YTD"/>
      <sheetName val="Domestic Details"/>
      <sheetName val=" Salary Pull "/>
      <sheetName val=" Benefits Pull"/>
      <sheetName val="Pull sheet MGTCC"/>
      <sheetName val="Pull sheetSC"/>
      <sheetName val="Pull sheet RD"/>
      <sheetName val="Pull sheet MGTCC Shared"/>
      <sheetName val="Jan Volume"/>
      <sheetName val="Assumptions"/>
      <sheetName val="Conv__Debt1"/>
      <sheetName val="Conv__Pref_1"/>
      <sheetName val="Shares_Outstanding1"/>
      <sheetName val="Firm_Value1"/>
      <sheetName val="Unix_Pricing"/>
      <sheetName val="Unix_Revised_Pricing"/>
      <sheetName val="MU_List"/>
      <sheetName val="SOPRESA_JV"/>
      <sheetName val="Rus_Base_Converter"/>
      <sheetName val="Summary_(Method_1)"/>
      <sheetName val="Combo_Box_List"/>
      <sheetName val="HP_Actual_YTD"/>
      <sheetName val="Domestic_Details"/>
      <sheetName val="_Salary_Pull_"/>
      <sheetName val="_Benefits_Pull"/>
      <sheetName val="Pull_sheet_MGTCC"/>
      <sheetName val="Pull_sheetSC"/>
      <sheetName val="Pull_sheet_RD"/>
      <sheetName val="Pull_sheet_MGTCC_Shared"/>
      <sheetName val="Jan_Volume"/>
      <sheetName val="Conv__Debt2"/>
      <sheetName val="Conv__Pref_2"/>
      <sheetName val="Shares_Outstanding2"/>
      <sheetName val="Firm_Value2"/>
      <sheetName val="Unix_Pricing1"/>
      <sheetName val="Unix_Revised_Pricing1"/>
      <sheetName val="MU_List1"/>
      <sheetName val="SOPRESA_JV1"/>
      <sheetName val="Rus_Base_Converter1"/>
      <sheetName val="Summary_(Method_1)1"/>
      <sheetName val="Combo_Box_List1"/>
      <sheetName val="HP_Actual_YTD1"/>
      <sheetName val="Domestic_Details1"/>
      <sheetName val="_Salary_Pull_1"/>
      <sheetName val="_Benefits_Pull1"/>
      <sheetName val="Pull_sheet_MGTCC1"/>
      <sheetName val="Pull_sheetSC1"/>
      <sheetName val="Pull_sheet_RD1"/>
      <sheetName val="Pull_sheet_MGTCC_Shared1"/>
      <sheetName val="Jan_Volume1"/>
      <sheetName val="Conv__Debt3"/>
      <sheetName val="Conv__Pref_3"/>
      <sheetName val="Shares_Outstanding3"/>
      <sheetName val="Firm_Value3"/>
      <sheetName val="Unix_Pricing2"/>
      <sheetName val="Unix_Revised_Pricing2"/>
      <sheetName val="MU_List2"/>
      <sheetName val="SOPRESA_JV2"/>
      <sheetName val="Rus_Base_Converter2"/>
      <sheetName val="Summary_(Method_1)2"/>
      <sheetName val="Combo_Box_List2"/>
      <sheetName val="HP_Actual_YTD2"/>
      <sheetName val="Domestic_Details2"/>
      <sheetName val="_Salary_Pull_2"/>
      <sheetName val="_Benefits_Pull2"/>
      <sheetName val="Pull_sheet_MGTCC2"/>
      <sheetName val="Pull_sheetSC2"/>
      <sheetName val="Pull_sheet_RD2"/>
      <sheetName val="Pull_sheet_MGTCC_Shared2"/>
      <sheetName val="Jan_Volum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ing Line Summary"/>
      <sheetName val="Filling Line Detail"/>
      <sheetName val="Sheet1"/>
      <sheetName val="Replenishment-Fulls"/>
      <sheetName val="Outbound"/>
      <sheetName val="Inv Summary"/>
      <sheetName val="Inv Matrix"/>
      <sheetName val="Plant Overview"/>
      <sheetName val="Line Overview"/>
      <sheetName val="DC Overview"/>
      <sheetName val="Line Type Chart"/>
      <sheetName val="MRC to ML conversion"/>
      <sheetName val="Demand Points"/>
      <sheetName val="Plants"/>
      <sheetName val="DC"/>
      <sheetName val="Line Utilization Matrix"/>
      <sheetName val="Line Volume Matrix"/>
      <sheetName val="Line Hours Matrix 1"/>
      <sheetName val="Line Hours Matrix 2"/>
      <sheetName val="Replen Matrix"/>
      <sheetName val="Filling_Line_Summary"/>
      <sheetName val="Filling_Line_Detail"/>
      <sheetName val="Inv_Summary"/>
      <sheetName val="Inv_Matrix"/>
      <sheetName val="Plant_Overview"/>
      <sheetName val="Line_Overview"/>
      <sheetName val="DC_Overview"/>
      <sheetName val="Line_Type_Chart"/>
      <sheetName val="MRC_to_ML_conversion"/>
      <sheetName val="Demand_Points"/>
      <sheetName val="Line_Utilization_Matrix"/>
      <sheetName val="Line_Volume_Matrix"/>
      <sheetName val="Line_Hours_Matrix_1"/>
      <sheetName val="Line_Hours_Matrix_2"/>
      <sheetName val="Replen_Matrix"/>
      <sheetName val="Filling_Line_Summary1"/>
      <sheetName val="Filling_Line_Detail1"/>
      <sheetName val="Inv_Summary1"/>
      <sheetName val="Inv_Matrix1"/>
      <sheetName val="Plant_Overview1"/>
      <sheetName val="Line_Overview1"/>
      <sheetName val="DC_Overview1"/>
      <sheetName val="Line_Type_Chart1"/>
      <sheetName val="MRC_to_ML_conversion1"/>
      <sheetName val="Demand_Points1"/>
      <sheetName val="Line_Utilization_Matrix1"/>
      <sheetName val="Line_Volume_Matrix1"/>
      <sheetName val="Line_Hours_Matrix_11"/>
      <sheetName val="Line_Hours_Matrix_21"/>
      <sheetName val="Replen_Matrix1"/>
      <sheetName val="Filling_Line_Summary2"/>
      <sheetName val="Filling_Line_Detail2"/>
      <sheetName val="Inv_Summary2"/>
      <sheetName val="Inv_Matrix2"/>
      <sheetName val="Plant_Overview2"/>
      <sheetName val="Line_Overview2"/>
      <sheetName val="DC_Overview2"/>
      <sheetName val="Line_Type_Chart2"/>
      <sheetName val="MRC_to_ML_conversion2"/>
      <sheetName val="Demand_Points2"/>
      <sheetName val="Line_Utilization_Matrix2"/>
      <sheetName val="Line_Volume_Matrix2"/>
      <sheetName val="Line_Hours_Matrix_12"/>
      <sheetName val="Line_Hours_Matrix_22"/>
      <sheetName val="Replen_Matrix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  <sheetName val="Summary"/>
      <sheetName val="PI_Integ__Cost"/>
      <sheetName val="Business_Meeting"/>
      <sheetName val="Instruc_"/>
      <sheetName val="PI_Integ__Cost1"/>
      <sheetName val="Business_Meeting1"/>
      <sheetName val="Instruc_1"/>
      <sheetName val="PI_Integ__Cost2"/>
      <sheetName val="Business_Meeting2"/>
      <sheetName val="Instruc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JAN $"/>
      <sheetName val="FEB"/>
      <sheetName val="FEB $"/>
      <sheetName val="MAR"/>
      <sheetName val="MAR $"/>
      <sheetName val="APR"/>
      <sheetName val="APR $"/>
      <sheetName val="YTD "/>
      <sheetName val="YTD $"/>
      <sheetName val="Cover"/>
      <sheetName val="VOL"/>
      <sheetName val="DC"/>
      <sheetName val="DC Chart"/>
      <sheetName val="Basic"/>
      <sheetName val="Basic Chart"/>
      <sheetName val="Pckg"/>
      <sheetName val="Pckg Chart"/>
      <sheetName val="DL"/>
      <sheetName val="DL Chart"/>
      <sheetName val="MOH"/>
      <sheetName val="MOH Chart"/>
      <sheetName val="COMM"/>
      <sheetName val="COMM Chart"/>
      <sheetName val="MAY"/>
      <sheetName val="MAY $"/>
      <sheetName val="JUN"/>
      <sheetName val="JUN $"/>
      <sheetName val="JUL"/>
      <sheetName val="JUL $"/>
      <sheetName val="AUG"/>
      <sheetName val="AUG $"/>
      <sheetName val="SEP"/>
      <sheetName val="SEP $"/>
      <sheetName val="OCT"/>
      <sheetName val="OCT $"/>
      <sheetName val="NOV"/>
      <sheetName val="NOV $"/>
      <sheetName val="DEC"/>
      <sheetName val="DEC $"/>
      <sheetName val="Parche0405"/>
      <sheetName val="2010 AOP"/>
      <sheetName val="FG MasterSku_List"/>
      <sheetName val="Forex"/>
      <sheetName val="JAN_$"/>
      <sheetName val="FEB_$"/>
      <sheetName val="MAR_$"/>
      <sheetName val="APR_$"/>
      <sheetName val="YTD_"/>
      <sheetName val="YTD_$"/>
      <sheetName val="DC_Chart"/>
      <sheetName val="Basic_Chart"/>
      <sheetName val="Pckg_Chart"/>
      <sheetName val="DL_Chart"/>
      <sheetName val="MOH_Chart"/>
      <sheetName val="COMM_Chart"/>
      <sheetName val="MAY_$"/>
      <sheetName val="JUN_$"/>
      <sheetName val="JUL_$"/>
      <sheetName val="AUG_$"/>
      <sheetName val="SEP_$"/>
      <sheetName val="OCT_$"/>
      <sheetName val="NOV_$"/>
      <sheetName val="DEC_$"/>
      <sheetName val=""/>
      <sheetName val="JAN_$1"/>
      <sheetName val="FEB_$1"/>
      <sheetName val="MAR_$1"/>
      <sheetName val="APR_$1"/>
      <sheetName val="YTD_1"/>
      <sheetName val="YTD_$1"/>
      <sheetName val="DC_Chart1"/>
      <sheetName val="Basic_Chart1"/>
      <sheetName val="Pckg_Chart1"/>
      <sheetName val="DL_Chart1"/>
      <sheetName val="MOH_Chart1"/>
      <sheetName val="COMM_Chart1"/>
      <sheetName val="MAY_$1"/>
      <sheetName val="JUN_$1"/>
      <sheetName val="JUL_$1"/>
      <sheetName val="AUG_$1"/>
      <sheetName val="SEP_$1"/>
      <sheetName val="OCT_$1"/>
      <sheetName val="NOV_$1"/>
      <sheetName val="DEC_$1"/>
      <sheetName val="2010_AOP"/>
      <sheetName val="FG_MasterSku_List"/>
      <sheetName val="JAN _"/>
      <sheetName val="2011 Spain Snacks"/>
      <sheetName val="Capex"/>
      <sheetName val="17"/>
      <sheetName val="Kashira"/>
      <sheetName val="Azov"/>
      <sheetName val="2002 Forex Plan"/>
      <sheetName val="ANAGRAF"/>
      <sheetName val="CASE"/>
      <sheetName val="FACTORS PhI'1  vs P9 Forecast "/>
      <sheetName val="РЗД"/>
      <sheetName val="PC basic"/>
      <sheetName val="East &amp; South 2001"/>
      <sheetName val="KAR"/>
      <sheetName val="Scenario"/>
      <sheetName val="JAN_$2"/>
      <sheetName val="FEB_$2"/>
      <sheetName val="MAR_$2"/>
      <sheetName val="APR_$2"/>
      <sheetName val="YTD_2"/>
      <sheetName val="YTD_$2"/>
      <sheetName val="DC_Chart2"/>
      <sheetName val="Basic_Chart2"/>
      <sheetName val="Pckg_Chart2"/>
      <sheetName val="DL_Chart2"/>
      <sheetName val="MOH_Chart2"/>
      <sheetName val="COMM_Chart2"/>
      <sheetName val="MAY_$2"/>
      <sheetName val="JUN_$2"/>
      <sheetName val="JUL_$2"/>
      <sheetName val="AUG_$2"/>
      <sheetName val="SEP_$2"/>
      <sheetName val="OCT_$2"/>
      <sheetName val="NOV_$2"/>
      <sheetName val="DEC_$2"/>
      <sheetName val="2010_AOP1"/>
      <sheetName val="FG_MasterSku_List1"/>
      <sheetName val="JAN__"/>
      <sheetName val="2011_Spain_Snacks"/>
      <sheetName val="2002_Forex_Plan"/>
      <sheetName val="FACTORS_PhI'1__vs_P9_Forecast_"/>
      <sheetName val="PC_basic"/>
      <sheetName val="East_&amp;_South_2001"/>
      <sheetName val="Jan Volume"/>
      <sheetName val="Reference"/>
      <sheetName val="Settings"/>
      <sheetName val="JAN_$3"/>
      <sheetName val="FEB_$3"/>
      <sheetName val="MAR_$3"/>
      <sheetName val="APR_$3"/>
      <sheetName val="YTD_3"/>
      <sheetName val="YTD_$3"/>
      <sheetName val="DC_Chart3"/>
      <sheetName val="Basic_Chart3"/>
      <sheetName val="Pckg_Chart3"/>
      <sheetName val="DL_Chart3"/>
      <sheetName val="MOH_Chart3"/>
      <sheetName val="COMM_Chart3"/>
      <sheetName val="MAY_$3"/>
      <sheetName val="JUN_$3"/>
      <sheetName val="JUL_$3"/>
      <sheetName val="AUG_$3"/>
      <sheetName val="SEP_$3"/>
      <sheetName val="OCT_$3"/>
      <sheetName val="NOV_$3"/>
      <sheetName val="DEC_$3"/>
      <sheetName val="2010_AOP2"/>
      <sheetName val="FG_MasterSku_List2"/>
      <sheetName val="JAN__1"/>
      <sheetName val="2011_Spain_Snacks1"/>
      <sheetName val="2002_Forex_Plan1"/>
      <sheetName val="FACTORS_PhI'1__vs_P9_Forecast_1"/>
      <sheetName val="PC_basic1"/>
      <sheetName val="East_&amp;_South_20011"/>
      <sheetName val="Jan_Volume"/>
      <sheetName val="JAN_$4"/>
      <sheetName val="FEB_$4"/>
      <sheetName val="MAR_$4"/>
      <sheetName val="APR_$4"/>
      <sheetName val="YTD_4"/>
      <sheetName val="YTD_$4"/>
      <sheetName val="DC_Chart4"/>
      <sheetName val="Basic_Chart4"/>
      <sheetName val="Pckg_Chart4"/>
      <sheetName val="DL_Chart4"/>
      <sheetName val="MOH_Chart4"/>
      <sheetName val="COMM_Chart4"/>
      <sheetName val="MAY_$4"/>
      <sheetName val="JUN_$4"/>
      <sheetName val="JUL_$4"/>
      <sheetName val="AUG_$4"/>
      <sheetName val="SEP_$4"/>
      <sheetName val="OCT_$4"/>
      <sheetName val="NOV_$4"/>
      <sheetName val="DEC_$4"/>
      <sheetName val="2010_AOP3"/>
      <sheetName val="FG_MasterSku_List3"/>
      <sheetName val="JAN__2"/>
      <sheetName val="2011_Spain_Snacks2"/>
      <sheetName val="2002_Forex_Plan2"/>
      <sheetName val="FACTORS_PhI'1__vs_P9_Forecast_2"/>
      <sheetName val="PC_basic2"/>
      <sheetName val="East_&amp;_South_20012"/>
      <sheetName val="Jan_Volume1"/>
      <sheetName val="AOP"/>
      <sheetName val="P&amp;L Chart II"/>
      <sheetName val="OFCF Chart"/>
      <sheetName val="COC"/>
      <sheetName val="PCI EPU &amp; LOB PER"/>
      <sheetName val="PCI EPU &amp; LOB YTD"/>
      <sheetName val="PERvsAOP"/>
      <sheetName val="PERvsYago"/>
      <sheetName val="Yago"/>
      <sheetName val="JAN_$5"/>
      <sheetName val="FEB_$5"/>
      <sheetName val="MAR_$5"/>
      <sheetName val="APR_$5"/>
      <sheetName val="YTD_5"/>
      <sheetName val="YTD_$5"/>
      <sheetName val="DC_Chart5"/>
      <sheetName val="Basic_Chart5"/>
      <sheetName val="Pckg_Chart5"/>
      <sheetName val="DL_Chart5"/>
      <sheetName val="MOH_Chart5"/>
      <sheetName val="COMM_Chart5"/>
      <sheetName val="MAY_$5"/>
      <sheetName val="JUN_$5"/>
      <sheetName val="JUL_$5"/>
      <sheetName val="AUG_$5"/>
      <sheetName val="SEP_$5"/>
      <sheetName val="OCT_$5"/>
      <sheetName val="NOV_$5"/>
      <sheetName val="DEC_$5"/>
      <sheetName val="2010_AOP4"/>
      <sheetName val="FG_MasterSku_List4"/>
      <sheetName val="JAN__3"/>
      <sheetName val="2011_Spain_Snacks3"/>
      <sheetName val="2002_Forex_Plan3"/>
      <sheetName val="FACTORS_PhI'1__vs_P9_Forecast_3"/>
      <sheetName val="PC_basic3"/>
      <sheetName val="East_&amp;_South_20013"/>
      <sheetName val="Jan_Volume2"/>
      <sheetName val="P&amp;L_Chart_II"/>
      <sheetName val="OFCF_Chart"/>
      <sheetName val="PCI_EPU_&amp;_LOB_PER"/>
      <sheetName val="PCI_EPU_&amp;_LOB_YTD"/>
      <sheetName val="Config"/>
      <sheetName val="Ratios"/>
      <sheetName val="Sheet2"/>
      <sheetName val="Summary"/>
      <sheetName val="Local"/>
      <sheetName val="FormatSheet"/>
      <sheetName val="Data Control"/>
      <sheetName val="SSC_Temp"/>
      <sheetName val="Data_YTD"/>
      <sheetName val="driver"/>
      <sheetName val="Menu"/>
      <sheetName val=" "/>
      <sheetName val="RU"/>
      <sheetName val="MU"/>
      <sheetName val="Brief"/>
      <sheetName val="POV"/>
    </sheetNames>
    <sheetDataSet>
      <sheetData sheetId="0" refreshError="1">
        <row r="1">
          <cell r="B1" t="str">
            <v>Lay's</v>
          </cell>
          <cell r="D1" t="str">
            <v>Max</v>
          </cell>
          <cell r="F1" t="str">
            <v>Cheetos</v>
          </cell>
          <cell r="H1" t="str">
            <v>Twistos</v>
          </cell>
          <cell r="J1" t="str">
            <v>PC</v>
          </cell>
        </row>
        <row r="2">
          <cell r="A2" t="str">
            <v xml:space="preserve"> Kilos Produced</v>
          </cell>
          <cell r="B2">
            <v>1508276.27</v>
          </cell>
          <cell r="D2">
            <v>436593.8</v>
          </cell>
          <cell r="F2">
            <v>259316.05</v>
          </cell>
          <cell r="H2">
            <v>288853.71000000002</v>
          </cell>
          <cell r="J2">
            <v>1944870.07</v>
          </cell>
        </row>
        <row r="3">
          <cell r="A3" t="str">
            <v>AOP</v>
          </cell>
          <cell r="H3">
            <v>0</v>
          </cell>
          <cell r="J3">
            <v>0</v>
          </cell>
        </row>
        <row r="4">
          <cell r="A4" t="str">
            <v xml:space="preserve"> Kilos Sold</v>
          </cell>
          <cell r="B4">
            <v>1471477.3870000001</v>
          </cell>
          <cell r="D4">
            <v>487809.8</v>
          </cell>
          <cell r="F4">
            <v>255148.95</v>
          </cell>
          <cell r="H4">
            <v>324862.64499999996</v>
          </cell>
          <cell r="J4">
            <v>1959287.1870000002</v>
          </cell>
        </row>
        <row r="5">
          <cell r="B5" t="str">
            <v>PLN</v>
          </cell>
          <cell r="C5" t="str">
            <v>PLN / Kg</v>
          </cell>
          <cell r="D5" t="str">
            <v>PLN</v>
          </cell>
          <cell r="E5" t="str">
            <v>PLN / Kg</v>
          </cell>
          <cell r="F5" t="str">
            <v>PLN</v>
          </cell>
          <cell r="G5" t="str">
            <v>PLN / Kg</v>
          </cell>
          <cell r="H5" t="str">
            <v>PLN</v>
          </cell>
          <cell r="I5" t="str">
            <v>PLN / Kg</v>
          </cell>
          <cell r="J5" t="str">
            <v>PLN</v>
          </cell>
          <cell r="K5" t="str">
            <v>PLN / Kg</v>
          </cell>
        </row>
        <row r="7">
          <cell r="A7" t="str">
            <v xml:space="preserve"> Potato at std</v>
          </cell>
          <cell r="B7">
            <v>3927631.46</v>
          </cell>
          <cell r="C7">
            <v>2.6040530757670806</v>
          </cell>
          <cell r="D7">
            <v>1136913.43</v>
          </cell>
          <cell r="E7">
            <v>2.6040530809186935</v>
          </cell>
          <cell r="J7">
            <v>5064544.8899999997</v>
          </cell>
          <cell r="K7">
            <v>2.6040530769235395</v>
          </cell>
        </row>
        <row r="8">
          <cell r="A8" t="str">
            <v xml:space="preserve"> usage variance</v>
          </cell>
          <cell r="B8">
            <v>-18311.264600000002</v>
          </cell>
          <cell r="C8">
            <v>-1.2140524229026027E-2</v>
          </cell>
          <cell r="D8">
            <v>-5178.5953999999983</v>
          </cell>
          <cell r="E8">
            <v>-1.186135808616613E-2</v>
          </cell>
          <cell r="J8">
            <v>-23489.86</v>
          </cell>
          <cell r="K8">
            <v>-1.2077855668785113E-2</v>
          </cell>
        </row>
        <row r="9">
          <cell r="A9" t="str">
            <v xml:space="preserve"> price variance</v>
          </cell>
          <cell r="B9">
            <v>-1328076.54</v>
          </cell>
          <cell r="C9">
            <v>-0.88052604580194049</v>
          </cell>
          <cell r="D9">
            <v>-334492.79999999999</v>
          </cell>
          <cell r="E9">
            <v>-0.76614189207450956</v>
          </cell>
          <cell r="J9">
            <v>-1662569.34</v>
          </cell>
          <cell r="K9">
            <v>-0.85484854008782196</v>
          </cell>
        </row>
        <row r="10">
          <cell r="A10" t="str">
            <v>spoilage &amp; shrinkage</v>
          </cell>
          <cell r="B10">
            <v>31427.13</v>
          </cell>
          <cell r="C10">
            <v>2.0836454584013314E-2</v>
          </cell>
          <cell r="D10">
            <v>9097.07</v>
          </cell>
          <cell r="E10">
            <v>2.0836461717963013E-2</v>
          </cell>
          <cell r="J10">
            <v>40524.199999999997</v>
          </cell>
          <cell r="K10">
            <v>2.0836456185476696E-2</v>
          </cell>
        </row>
        <row r="11">
          <cell r="A11" t="str">
            <v>other</v>
          </cell>
          <cell r="B11">
            <v>-3951.62</v>
          </cell>
          <cell r="C11">
            <v>-2.6199576818907318E-3</v>
          </cell>
          <cell r="D11">
            <v>-1114.56</v>
          </cell>
          <cell r="E11">
            <v>-2.5528534761602201E-3</v>
          </cell>
          <cell r="J11">
            <v>-5066.18</v>
          </cell>
          <cell r="K11">
            <v>-2.6048938066078626E-3</v>
          </cell>
        </row>
        <row r="12">
          <cell r="A12" t="str">
            <v xml:space="preserve"> Potato Cost</v>
          </cell>
          <cell r="B12">
            <v>2608719.1653999998</v>
          </cell>
          <cell r="C12">
            <v>1.7296030026382365</v>
          </cell>
          <cell r="D12">
            <v>805224.54459999979</v>
          </cell>
          <cell r="E12">
            <v>1.8443334389998205</v>
          </cell>
          <cell r="J12">
            <v>3413943.7099999995</v>
          </cell>
          <cell r="K12">
            <v>1.7553582435458011</v>
          </cell>
        </row>
        <row r="14">
          <cell r="A14" t="str">
            <v xml:space="preserve"> Corn/Pellets at std</v>
          </cell>
          <cell r="F14">
            <v>245066.71</v>
          </cell>
          <cell r="G14">
            <v>0.94505029673250074</v>
          </cell>
          <cell r="H14">
            <v>2035445.97</v>
          </cell>
          <cell r="I14">
            <v>7.0466326016723126</v>
          </cell>
        </row>
        <row r="15">
          <cell r="A15" t="str">
            <v xml:space="preserve"> usage variance</v>
          </cell>
          <cell r="F15">
            <v>4820.68</v>
          </cell>
          <cell r="G15">
            <v>1.8589979293607166E-2</v>
          </cell>
          <cell r="H15">
            <v>-58852.17</v>
          </cell>
          <cell r="I15">
            <v>-0.2037438605167993</v>
          </cell>
        </row>
        <row r="16">
          <cell r="A16" t="str">
            <v xml:space="preserve"> price variance</v>
          </cell>
          <cell r="F16">
            <v>-112442.86</v>
          </cell>
          <cell r="G16">
            <v>-0.4336131913161565</v>
          </cell>
          <cell r="H16">
            <v>-149327.19</v>
          </cell>
          <cell r="I16">
            <v>-0.51696476392842583</v>
          </cell>
        </row>
        <row r="17">
          <cell r="A17" t="str">
            <v>other</v>
          </cell>
          <cell r="F17">
            <v>26065.359999999997</v>
          </cell>
          <cell r="G17">
            <v>0.10051579915705178</v>
          </cell>
          <cell r="I17">
            <v>0</v>
          </cell>
        </row>
        <row r="18">
          <cell r="A18" t="str">
            <v xml:space="preserve"> Basic Mat. Cost</v>
          </cell>
          <cell r="F18">
            <v>163509.88999999996</v>
          </cell>
          <cell r="G18">
            <v>0.63054288386700319</v>
          </cell>
          <cell r="H18">
            <v>1827266.61</v>
          </cell>
          <cell r="I18">
            <v>6.3259239772270872</v>
          </cell>
        </row>
        <row r="20">
          <cell r="A20" t="str">
            <v xml:space="preserve"> Oil at std</v>
          </cell>
          <cell r="B20">
            <v>1518376.92</v>
          </cell>
          <cell r="C20">
            <v>1.0066968168901842</v>
          </cell>
          <cell r="D20">
            <v>440283.56</v>
          </cell>
          <cell r="E20">
            <v>1.0084512423218104</v>
          </cell>
          <cell r="F20">
            <v>180088.15</v>
          </cell>
          <cell r="G20">
            <v>0.69447359698715139</v>
          </cell>
          <cell r="H20">
            <v>230078.12</v>
          </cell>
          <cell r="I20">
            <v>0.79652125638268578</v>
          </cell>
          <cell r="J20">
            <v>1958660.48</v>
          </cell>
          <cell r="K20">
            <v>1.0070906587605617</v>
          </cell>
        </row>
        <row r="21">
          <cell r="A21" t="str">
            <v xml:space="preserve"> usage variance</v>
          </cell>
          <cell r="B21">
            <v>95156.75</v>
          </cell>
          <cell r="C21">
            <v>6.3089734879936812E-2</v>
          </cell>
          <cell r="D21">
            <v>19965.46</v>
          </cell>
          <cell r="E21">
            <v>4.5730058466244825E-2</v>
          </cell>
          <cell r="F21">
            <v>-7400.55</v>
          </cell>
          <cell r="G21">
            <v>-2.8538727163243464E-2</v>
          </cell>
          <cell r="H21">
            <v>-2124.02</v>
          </cell>
          <cell r="I21">
            <v>-7.353272353676883E-3</v>
          </cell>
          <cell r="J21">
            <v>115122.20999999999</v>
          </cell>
          <cell r="K21">
            <v>5.919275111267458E-2</v>
          </cell>
        </row>
        <row r="22">
          <cell r="A22" t="str">
            <v xml:space="preserve"> price variance</v>
          </cell>
          <cell r="B22">
            <v>-380989.50999999995</v>
          </cell>
          <cell r="C22">
            <v>-0.25259928673412063</v>
          </cell>
          <cell r="D22">
            <v>-109695.39</v>
          </cell>
          <cell r="E22">
            <v>-0.25125274339672254</v>
          </cell>
          <cell r="F22">
            <v>-40611.22</v>
          </cell>
          <cell r="G22">
            <v>-0.15660897194755205</v>
          </cell>
          <cell r="H22">
            <v>-53303.16</v>
          </cell>
          <cell r="I22">
            <v>-0.18453340966262818</v>
          </cell>
          <cell r="J22">
            <v>-490684.89999999997</v>
          </cell>
          <cell r="K22">
            <v>-0.25229700820065576</v>
          </cell>
        </row>
        <row r="23">
          <cell r="A23" t="str">
            <v>other</v>
          </cell>
          <cell r="C23">
            <v>0</v>
          </cell>
          <cell r="E23">
            <v>0</v>
          </cell>
          <cell r="G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A24" t="str">
            <v xml:space="preserve"> Oil Cost</v>
          </cell>
          <cell r="B24">
            <v>1232544.1599999999</v>
          </cell>
          <cell r="C24">
            <v>0.81718726503600037</v>
          </cell>
          <cell r="D24">
            <v>350553.63</v>
          </cell>
          <cell r="E24">
            <v>0.80292855739133262</v>
          </cell>
          <cell r="F24">
            <v>132076.38</v>
          </cell>
          <cell r="G24">
            <v>0.50932589787635585</v>
          </cell>
          <cell r="H24">
            <v>174650.94</v>
          </cell>
          <cell r="I24">
            <v>0.60463457436638068</v>
          </cell>
          <cell r="J24">
            <v>1583097.79</v>
          </cell>
          <cell r="K24">
            <v>0.81398640167258063</v>
          </cell>
        </row>
        <row r="26">
          <cell r="A26" t="str">
            <v>Seasonings at std</v>
          </cell>
          <cell r="B26">
            <v>1398798.98</v>
          </cell>
          <cell r="C26">
            <v>0.92741562525544474</v>
          </cell>
          <cell r="D26">
            <v>364296.84</v>
          </cell>
          <cell r="E26">
            <v>0.8344068101745834</v>
          </cell>
          <cell r="F26">
            <v>501724.26</v>
          </cell>
          <cell r="G26">
            <v>1.9347983281405066</v>
          </cell>
          <cell r="H26">
            <v>355687.35</v>
          </cell>
          <cell r="I26">
            <v>1.2313753906778624</v>
          </cell>
          <cell r="J26">
            <v>1763095.82</v>
          </cell>
          <cell r="K26">
            <v>0.90653655850645076</v>
          </cell>
        </row>
        <row r="27">
          <cell r="A27" t="str">
            <v xml:space="preserve"> usage variance</v>
          </cell>
          <cell r="B27">
            <v>37906.76</v>
          </cell>
          <cell r="C27">
            <v>2.5132504405177707E-2</v>
          </cell>
          <cell r="D27">
            <v>-766.87</v>
          </cell>
          <cell r="E27">
            <v>-1.7564839445727357E-3</v>
          </cell>
          <cell r="F27">
            <v>-25846.94</v>
          </cell>
          <cell r="G27">
            <v>-9.967350651839714E-2</v>
          </cell>
          <cell r="H27">
            <v>38216.15</v>
          </cell>
          <cell r="I27">
            <v>0.13230278399401552</v>
          </cell>
          <cell r="J27">
            <v>37139.89</v>
          </cell>
          <cell r="K27">
            <v>1.9096334800401345E-2</v>
          </cell>
        </row>
        <row r="28">
          <cell r="A28" t="str">
            <v xml:space="preserve"> price variance</v>
          </cell>
          <cell r="B28">
            <v>-350596.36</v>
          </cell>
          <cell r="C28">
            <v>-0.23244836968760371</v>
          </cell>
          <cell r="D28">
            <v>-88981.97</v>
          </cell>
          <cell r="E28">
            <v>-0.20380951355699509</v>
          </cell>
          <cell r="F28">
            <v>-92822.39</v>
          </cell>
          <cell r="G28">
            <v>-0.35795080944661928</v>
          </cell>
          <cell r="H28">
            <v>-79340.2</v>
          </cell>
          <cell r="I28">
            <v>-0.27467260157399392</v>
          </cell>
          <cell r="J28">
            <v>-439578.32999999996</v>
          </cell>
          <cell r="K28">
            <v>-0.22601938133584418</v>
          </cell>
        </row>
        <row r="29">
          <cell r="A29" t="str">
            <v>other</v>
          </cell>
          <cell r="B29">
            <v>-1435.54</v>
          </cell>
          <cell r="C29">
            <v>-9.5177523412206166E-4</v>
          </cell>
          <cell r="D29">
            <v>-358.89</v>
          </cell>
          <cell r="E29">
            <v>-8.2202266729394693E-4</v>
          </cell>
          <cell r="G29">
            <v>0</v>
          </cell>
          <cell r="I29">
            <v>0</v>
          </cell>
          <cell r="J29">
            <v>-1794.4299999999998</v>
          </cell>
          <cell r="K29">
            <v>-9.2264775301930573E-4</v>
          </cell>
        </row>
        <row r="30">
          <cell r="A30" t="str">
            <v xml:space="preserve"> Seasonings Cost</v>
          </cell>
          <cell r="B30">
            <v>1084673.8399999999</v>
          </cell>
          <cell r="C30">
            <v>0.71914798473889663</v>
          </cell>
          <cell r="D30">
            <v>274189.11</v>
          </cell>
          <cell r="E30">
            <v>0.62801879000572169</v>
          </cell>
          <cell r="F30">
            <v>383054.93</v>
          </cell>
          <cell r="G30">
            <v>1.4771740121754902</v>
          </cell>
          <cell r="H30">
            <v>314563.3</v>
          </cell>
          <cell r="I30">
            <v>1.089005573097884</v>
          </cell>
          <cell r="J30">
            <v>1358862.95</v>
          </cell>
          <cell r="K30">
            <v>0.69869086421798854</v>
          </cell>
        </row>
        <row r="32">
          <cell r="A32" t="str">
            <v>Film at std</v>
          </cell>
          <cell r="B32">
            <v>1682922.78</v>
          </cell>
          <cell r="C32">
            <v>1.1157921220891449</v>
          </cell>
          <cell r="D32">
            <v>498851.16</v>
          </cell>
          <cell r="E32">
            <v>1.1425979022148276</v>
          </cell>
          <cell r="F32">
            <v>420259.27</v>
          </cell>
          <cell r="G32">
            <v>1.6206450391327496</v>
          </cell>
          <cell r="H32">
            <v>590863.79</v>
          </cell>
          <cell r="I32">
            <v>2.0455468271465165</v>
          </cell>
          <cell r="J32">
            <v>2181773.94</v>
          </cell>
          <cell r="K32">
            <v>1.1218096127110433</v>
          </cell>
        </row>
        <row r="33">
          <cell r="A33" t="str">
            <v xml:space="preserve"> usage variance</v>
          </cell>
          <cell r="B33">
            <v>-64930.35</v>
          </cell>
          <cell r="C33">
            <v>-4.304937450219249E-2</v>
          </cell>
          <cell r="D33">
            <v>-4837.59</v>
          </cell>
          <cell r="E33">
            <v>-1.1080299353770027E-2</v>
          </cell>
          <cell r="F33">
            <v>-8526.3799999999992</v>
          </cell>
          <cell r="G33">
            <v>-3.2880263292611463E-2</v>
          </cell>
          <cell r="H33">
            <v>-49182.14</v>
          </cell>
          <cell r="I33">
            <v>-0.17026660311892824</v>
          </cell>
          <cell r="J33">
            <v>-69767.94</v>
          </cell>
          <cell r="K33">
            <v>-3.5872802546650324E-2</v>
          </cell>
        </row>
        <row r="34">
          <cell r="A34" t="str">
            <v xml:space="preserve"> price variance</v>
          </cell>
          <cell r="B34">
            <v>-358013.26</v>
          </cell>
          <cell r="C34">
            <v>-0.23736583749341889</v>
          </cell>
          <cell r="D34">
            <v>-113951.06</v>
          </cell>
          <cell r="E34">
            <v>-0.26100017911385825</v>
          </cell>
          <cell r="F34">
            <v>-46192.84</v>
          </cell>
          <cell r="G34">
            <v>-0.17813336274403377</v>
          </cell>
          <cell r="H34">
            <v>-219450.03999999998</v>
          </cell>
          <cell r="I34">
            <v>-0.75972726817322156</v>
          </cell>
          <cell r="J34">
            <v>-471964.32</v>
          </cell>
          <cell r="K34">
            <v>-0.24267138832569932</v>
          </cell>
        </row>
        <row r="35">
          <cell r="A35" t="str">
            <v>other</v>
          </cell>
          <cell r="C35">
            <v>0</v>
          </cell>
          <cell r="D35">
            <v>5995.38</v>
          </cell>
          <cell r="E35">
            <v>1.37321693528401E-2</v>
          </cell>
          <cell r="G35">
            <v>0</v>
          </cell>
          <cell r="I35">
            <v>0</v>
          </cell>
          <cell r="J35">
            <v>5995.38</v>
          </cell>
          <cell r="K35">
            <v>3.0826635118098144E-3</v>
          </cell>
        </row>
        <row r="36">
          <cell r="A36" t="str">
            <v xml:space="preserve"> Film Cost</v>
          </cell>
          <cell r="B36">
            <v>1259979.17</v>
          </cell>
          <cell r="C36">
            <v>0.83537691009353354</v>
          </cell>
          <cell r="D36">
            <v>386057.88999999996</v>
          </cell>
          <cell r="E36">
            <v>0.88424959310003937</v>
          </cell>
          <cell r="F36">
            <v>365540.05000000005</v>
          </cell>
          <cell r="G36">
            <v>1.4096314130961043</v>
          </cell>
          <cell r="H36">
            <v>322231.61000000004</v>
          </cell>
          <cell r="I36">
            <v>1.1155529558543669</v>
          </cell>
          <cell r="J36">
            <v>1646037.0599999998</v>
          </cell>
          <cell r="K36">
            <v>0.84634808535050343</v>
          </cell>
        </row>
        <row r="38">
          <cell r="A38" t="str">
            <v>Cartons at std</v>
          </cell>
          <cell r="B38">
            <v>1032042.23</v>
          </cell>
          <cell r="C38">
            <v>0.68425277949907681</v>
          </cell>
          <cell r="D38">
            <v>274600.84000000003</v>
          </cell>
          <cell r="E38">
            <v>0.628961840502545</v>
          </cell>
          <cell r="F38">
            <v>245630.42</v>
          </cell>
          <cell r="G38">
            <v>0.94722413055420218</v>
          </cell>
          <cell r="H38">
            <v>306034.84000000003</v>
          </cell>
          <cell r="I38">
            <v>1.0594803854172412</v>
          </cell>
          <cell r="J38">
            <v>1306643.07</v>
          </cell>
          <cell r="K38">
            <v>0.67184080322651063</v>
          </cell>
        </row>
        <row r="39">
          <cell r="A39" t="str">
            <v xml:space="preserve"> usage variance</v>
          </cell>
          <cell r="B39">
            <v>-58397.03</v>
          </cell>
          <cell r="C39">
            <v>-3.8717727754213088E-2</v>
          </cell>
          <cell r="D39">
            <v>21840.6</v>
          </cell>
          <cell r="E39">
            <v>5.002498890272835E-2</v>
          </cell>
          <cell r="F39">
            <v>-1890.93</v>
          </cell>
          <cell r="G39">
            <v>-7.291989832484338E-3</v>
          </cell>
          <cell r="H39">
            <v>-28285.81</v>
          </cell>
          <cell r="I39">
            <v>-9.7924343779416917E-2</v>
          </cell>
          <cell r="J39">
            <v>-36556.43</v>
          </cell>
          <cell r="K39">
            <v>-1.8796335325372147E-2</v>
          </cell>
        </row>
        <row r="40">
          <cell r="A40" t="str">
            <v xml:space="preserve"> price variance</v>
          </cell>
          <cell r="B40">
            <v>-69647.86</v>
          </cell>
          <cell r="C40">
            <v>-4.6177123770567576E-2</v>
          </cell>
          <cell r="D40">
            <v>-20629.37</v>
          </cell>
          <cell r="E40">
            <v>-4.7250716799001724E-2</v>
          </cell>
          <cell r="F40">
            <v>-16463.86</v>
          </cell>
          <cell r="G40">
            <v>-6.3489552613500019E-2</v>
          </cell>
          <cell r="H40">
            <v>-20804.82</v>
          </cell>
          <cell r="I40">
            <v>-7.2025455376702616E-2</v>
          </cell>
          <cell r="J40">
            <v>-90277.23</v>
          </cell>
          <cell r="K40">
            <v>-4.6418129104120562E-2</v>
          </cell>
        </row>
        <row r="41">
          <cell r="A41" t="str">
            <v>other</v>
          </cell>
          <cell r="B41">
            <v>-5143.9799999999996</v>
          </cell>
          <cell r="C41">
            <v>-3.4105025069445663E-3</v>
          </cell>
          <cell r="E41">
            <v>0</v>
          </cell>
          <cell r="G41">
            <v>0</v>
          </cell>
          <cell r="H41">
            <v>-978.81</v>
          </cell>
          <cell r="I41">
            <v>-3.3886011019211072E-3</v>
          </cell>
          <cell r="J41">
            <v>-5143.9799999999996</v>
          </cell>
          <cell r="K41">
            <v>-2.6448964788686369E-3</v>
          </cell>
        </row>
        <row r="42">
          <cell r="A42" t="str">
            <v xml:space="preserve"> Cartons Cost</v>
          </cell>
          <cell r="B42">
            <v>898853.36</v>
          </cell>
          <cell r="C42">
            <v>0.59594742546735158</v>
          </cell>
          <cell r="D42">
            <v>275812.07</v>
          </cell>
          <cell r="E42">
            <v>0.6317361126062716</v>
          </cell>
          <cell r="F42">
            <v>227275.63</v>
          </cell>
          <cell r="G42">
            <v>0.87644258810821785</v>
          </cell>
          <cell r="H42">
            <v>255965.40000000002</v>
          </cell>
          <cell r="I42">
            <v>0.88614198515920062</v>
          </cell>
          <cell r="J42">
            <v>1174665.4300000002</v>
          </cell>
          <cell r="K42">
            <v>0.60398144231814921</v>
          </cell>
        </row>
        <row r="44">
          <cell r="A44" t="str">
            <v>Other pckg at std</v>
          </cell>
          <cell r="B44">
            <v>134948.19</v>
          </cell>
          <cell r="C44">
            <v>8.9471798160691077E-2</v>
          </cell>
          <cell r="D44">
            <v>40746.68</v>
          </cell>
          <cell r="E44">
            <v>9.3328581395338187E-2</v>
          </cell>
          <cell r="F44">
            <v>37002.239999999998</v>
          </cell>
          <cell r="G44">
            <v>0.14269166910416844</v>
          </cell>
          <cell r="H44">
            <v>61147.839999999997</v>
          </cell>
          <cell r="I44">
            <v>0.21169137831049492</v>
          </cell>
          <cell r="J44">
            <v>175694.87</v>
          </cell>
          <cell r="K44">
            <v>9.0337587435853739E-2</v>
          </cell>
        </row>
        <row r="45">
          <cell r="A45" t="str">
            <v xml:space="preserve"> usage variance</v>
          </cell>
          <cell r="B45">
            <v>57467.45</v>
          </cell>
          <cell r="C45">
            <v>3.8101408304991764E-2</v>
          </cell>
          <cell r="D45">
            <v>17474.87</v>
          </cell>
          <cell r="E45">
            <v>4.0025465318105753E-2</v>
          </cell>
          <cell r="F45">
            <v>-25699.29</v>
          </cell>
          <cell r="G45">
            <v>-9.9104124098759031E-2</v>
          </cell>
          <cell r="H45">
            <v>-25104.71</v>
          </cell>
          <cell r="I45">
            <v>-8.691150271187445E-2</v>
          </cell>
          <cell r="J45">
            <v>74942.319999999992</v>
          </cell>
          <cell r="K45">
            <v>3.8533329889744249E-2</v>
          </cell>
        </row>
        <row r="46">
          <cell r="A46" t="str">
            <v xml:space="preserve"> price variance</v>
          </cell>
          <cell r="B46">
            <v>-28169.96</v>
          </cell>
          <cell r="C46">
            <v>-1.8676923160768154E-2</v>
          </cell>
          <cell r="D46">
            <v>-8035.21</v>
          </cell>
          <cell r="E46">
            <v>-1.8404315407135878E-2</v>
          </cell>
          <cell r="F46">
            <v>-1341.57</v>
          </cell>
          <cell r="G46">
            <v>-5.1734938890207532E-3</v>
          </cell>
          <cell r="H46">
            <v>-4351.43</v>
          </cell>
          <cell r="I46">
            <v>-1.5064476755379046E-2</v>
          </cell>
          <cell r="J46">
            <v>-36205.17</v>
          </cell>
          <cell r="K46">
            <v>-1.8615726859326904E-2</v>
          </cell>
        </row>
        <row r="47">
          <cell r="A47" t="str">
            <v>other</v>
          </cell>
          <cell r="C47">
            <v>0</v>
          </cell>
          <cell r="E47">
            <v>0</v>
          </cell>
          <cell r="G47">
            <v>0</v>
          </cell>
          <cell r="I47">
            <v>0</v>
          </cell>
          <cell r="J47">
            <v>0</v>
          </cell>
          <cell r="K47">
            <v>0</v>
          </cell>
        </row>
        <row r="48">
          <cell r="A48" t="str">
            <v xml:space="preserve"> Other pckg Cost</v>
          </cell>
          <cell r="B48">
            <v>164245.68000000002</v>
          </cell>
          <cell r="C48">
            <v>0.10889628330491469</v>
          </cell>
          <cell r="D48">
            <v>50186.340000000004</v>
          </cell>
          <cell r="E48">
            <v>0.11494973130630806</v>
          </cell>
          <cell r="F48">
            <v>9961.3799999999974</v>
          </cell>
          <cell r="G48">
            <v>3.841405111638866E-2</v>
          </cell>
          <cell r="H48">
            <v>31691.699999999997</v>
          </cell>
          <cell r="I48">
            <v>0.10971539884324143</v>
          </cell>
          <cell r="J48">
            <v>214432.02000000002</v>
          </cell>
          <cell r="K48">
            <v>0.11025519046627109</v>
          </cell>
        </row>
        <row r="50">
          <cell r="A50" t="str">
            <v>Direct Labour at std</v>
          </cell>
          <cell r="B50">
            <v>516562.07979999989</v>
          </cell>
          <cell r="C50">
            <v>0.34248505401467322</v>
          </cell>
          <cell r="D50">
            <v>152017.84110000005</v>
          </cell>
          <cell r="E50">
            <v>0.34819056317336633</v>
          </cell>
          <cell r="F50">
            <v>118255.71420000002</v>
          </cell>
          <cell r="G50">
            <v>0.45602929012685495</v>
          </cell>
          <cell r="H50">
            <v>134259.62519999998</v>
          </cell>
          <cell r="I50">
            <v>0.464801456765087</v>
          </cell>
          <cell r="J50">
            <v>668579.92089999991</v>
          </cell>
          <cell r="K50">
            <v>0.34376585418891242</v>
          </cell>
        </row>
        <row r="51">
          <cell r="A51" t="str">
            <v>efficiency variance</v>
          </cell>
          <cell r="B51">
            <v>81642.536060905957</v>
          </cell>
          <cell r="C51">
            <v>5.4129696054228814E-2</v>
          </cell>
          <cell r="D51">
            <v>21141.699768632192</v>
          </cell>
          <cell r="E51">
            <v>4.8424186895535834E-2</v>
          </cell>
          <cell r="F51">
            <v>57918.243340447072</v>
          </cell>
          <cell r="G51">
            <v>0.22335001377834915</v>
          </cell>
          <cell r="H51">
            <v>16705.849891045582</v>
          </cell>
          <cell r="I51">
            <v>5.7834984674580016E-2</v>
          </cell>
          <cell r="J51">
            <v>102784.23582953814</v>
          </cell>
          <cell r="K51">
            <v>5.284889587998963E-2</v>
          </cell>
        </row>
        <row r="52">
          <cell r="A52" t="str">
            <v>rate variance</v>
          </cell>
          <cell r="B52">
            <v>-13270.732681871399</v>
          </cell>
          <cell r="C52">
            <v>-8.7986086805379483E-3</v>
          </cell>
          <cell r="D52">
            <v>-3719.3738560960001</v>
          </cell>
          <cell r="E52">
            <v>-8.519071631562335E-3</v>
          </cell>
          <cell r="F52">
            <v>-9957.2756098543996</v>
          </cell>
          <cell r="G52">
            <v>-3.8398223364324732E-2</v>
          </cell>
          <cell r="H52">
            <v>-10450.017213208601</v>
          </cell>
          <cell r="I52">
            <v>-3.6177541957860264E-2</v>
          </cell>
          <cell r="J52">
            <v>-16990.1065379674</v>
          </cell>
          <cell r="K52">
            <v>-8.7358568575058582E-3</v>
          </cell>
        </row>
        <row r="53">
          <cell r="A53" t="str">
            <v>other</v>
          </cell>
          <cell r="C53">
            <v>0</v>
          </cell>
          <cell r="E53">
            <v>0</v>
          </cell>
          <cell r="G53">
            <v>0</v>
          </cell>
          <cell r="I53">
            <v>0</v>
          </cell>
          <cell r="J53">
            <v>0</v>
          </cell>
          <cell r="K53">
            <v>0</v>
          </cell>
        </row>
        <row r="54">
          <cell r="A54" t="str">
            <v xml:space="preserve"> Direct Labour Cost</v>
          </cell>
          <cell r="B54">
            <v>584933.88317903446</v>
          </cell>
          <cell r="C54">
            <v>0.38781614138836407</v>
          </cell>
          <cell r="D54">
            <v>169440.16701253623</v>
          </cell>
          <cell r="E54">
            <v>0.38809567843733983</v>
          </cell>
          <cell r="F54">
            <v>166216.68193059269</v>
          </cell>
          <cell r="G54">
            <v>0.64098108054087932</v>
          </cell>
          <cell r="H54">
            <v>140515.45787783695</v>
          </cell>
          <cell r="I54">
            <v>0.48645889948180676</v>
          </cell>
          <cell r="J54">
            <v>754374.05019157066</v>
          </cell>
          <cell r="K54">
            <v>0.38787889321139624</v>
          </cell>
        </row>
        <row r="56">
          <cell r="A56" t="str">
            <v>Direct Cost at std</v>
          </cell>
          <cell r="B56">
            <v>10211282.639799999</v>
          </cell>
          <cell r="C56">
            <v>6.7701672716762946</v>
          </cell>
          <cell r="D56">
            <v>2907710.3511000001</v>
          </cell>
          <cell r="E56">
            <v>6.6599900207011649</v>
          </cell>
          <cell r="F56">
            <v>1748026.7642000001</v>
          </cell>
          <cell r="G56">
            <v>6.7409123507781343</v>
          </cell>
          <cell r="H56">
            <v>3713517.5351999998</v>
          </cell>
          <cell r="I56">
            <v>12.8560492963722</v>
          </cell>
          <cell r="J56">
            <v>13118992.990899999</v>
          </cell>
          <cell r="K56">
            <v>6.745434151752872</v>
          </cell>
        </row>
        <row r="57">
          <cell r="A57" t="str">
            <v>usage / efficiency variances</v>
          </cell>
          <cell r="B57">
            <v>161961.98146090592</v>
          </cell>
          <cell r="C57">
            <v>0.10738217174291678</v>
          </cell>
          <cell r="D57">
            <v>78736.644368632202</v>
          </cell>
          <cell r="E57">
            <v>0.18034301991606891</v>
          </cell>
          <cell r="F57">
            <v>-6625.1666595529241</v>
          </cell>
          <cell r="G57">
            <v>-2.5548617833539129E-2</v>
          </cell>
          <cell r="H57">
            <v>-108626.8501089544</v>
          </cell>
          <cell r="I57">
            <v>-0.37606181381210024</v>
          </cell>
          <cell r="J57">
            <v>240698.62582953813</v>
          </cell>
          <cell r="K57">
            <v>0.12376077432747891</v>
          </cell>
        </row>
        <row r="58">
          <cell r="A58" t="str">
            <v>price / rate variances</v>
          </cell>
          <cell r="B58">
            <v>-2528764.2226818711</v>
          </cell>
          <cell r="C58">
            <v>-1.6765921953289573</v>
          </cell>
          <cell r="D58">
            <v>-679505.17385609588</v>
          </cell>
          <cell r="E58">
            <v>-1.5563784319797851</v>
          </cell>
          <cell r="F58">
            <v>-319832.01560985442</v>
          </cell>
          <cell r="G58">
            <v>-1.2333676053212073</v>
          </cell>
          <cell r="H58">
            <v>-537026.85721320857</v>
          </cell>
          <cell r="I58">
            <v>-1.8591655174282113</v>
          </cell>
          <cell r="J58">
            <v>-3208269.396537967</v>
          </cell>
          <cell r="K58">
            <v>-1.6496060307709743</v>
          </cell>
        </row>
        <row r="59">
          <cell r="A59" t="str">
            <v>other</v>
          </cell>
          <cell r="B59">
            <v>-10531.14</v>
          </cell>
          <cell r="C59">
            <v>-6.9822354229573599E-3</v>
          </cell>
          <cell r="D59">
            <v>4521.93</v>
          </cell>
          <cell r="E59">
            <v>1.0357293209385934E-2</v>
          </cell>
          <cell r="F59">
            <v>26065.359999999997</v>
          </cell>
          <cell r="G59">
            <v>0.10051579915705178</v>
          </cell>
          <cell r="H59">
            <v>-978.81</v>
          </cell>
          <cell r="I59">
            <v>-3.3886011019211072E-3</v>
          </cell>
          <cell r="J59">
            <v>-6009.2099999999991</v>
          </cell>
          <cell r="K59">
            <v>-3.0897745266859904E-3</v>
          </cell>
        </row>
        <row r="60">
          <cell r="A60" t="str">
            <v xml:space="preserve"> TOTAL  DC</v>
          </cell>
          <cell r="B60">
            <v>7833949.2585790353</v>
          </cell>
          <cell r="C60">
            <v>5.1939750126672974</v>
          </cell>
          <cell r="D60">
            <v>2311463.7516125366</v>
          </cell>
          <cell r="E60">
            <v>5.2943119018468341</v>
          </cell>
          <cell r="F60">
            <v>1447634.941930593</v>
          </cell>
          <cell r="G60">
            <v>5.5825119267804393</v>
          </cell>
          <cell r="H60">
            <v>3066885.0178778367</v>
          </cell>
          <cell r="I60">
            <v>10.617433364029967</v>
          </cell>
          <cell r="J60">
            <v>10145413.010191569</v>
          </cell>
          <cell r="K60">
            <v>5.2164991207826912</v>
          </cell>
        </row>
        <row r="62">
          <cell r="A62" t="str">
            <v>MOH variable at std</v>
          </cell>
          <cell r="C62">
            <v>0</v>
          </cell>
          <cell r="E62">
            <v>0</v>
          </cell>
          <cell r="G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A63" t="str">
            <v>MOH fixed at std</v>
          </cell>
          <cell r="B63">
            <v>2128063.9059391483</v>
          </cell>
          <cell r="C63">
            <v>1.4109244760173467</v>
          </cell>
          <cell r="D63">
            <v>616000.87849742244</v>
          </cell>
          <cell r="E63">
            <v>1.4109244760173472</v>
          </cell>
          <cell r="F63">
            <v>330832.05114021502</v>
          </cell>
          <cell r="G63">
            <v>1.2757870218222707</v>
          </cell>
          <cell r="H63">
            <v>368515.81442321383</v>
          </cell>
          <cell r="I63">
            <v>1.2757870218222704</v>
          </cell>
          <cell r="J63">
            <v>2744064.7844365705</v>
          </cell>
          <cell r="K63">
            <v>1.4109244760173467</v>
          </cell>
        </row>
        <row r="64">
          <cell r="A64" t="str">
            <v>variable variances</v>
          </cell>
          <cell r="C64">
            <v>0</v>
          </cell>
          <cell r="E64">
            <v>0</v>
          </cell>
          <cell r="G64">
            <v>0</v>
          </cell>
          <cell r="I64">
            <v>0</v>
          </cell>
          <cell r="J64">
            <v>0</v>
          </cell>
          <cell r="K64">
            <v>0</v>
          </cell>
        </row>
        <row r="65">
          <cell r="A65" t="str">
            <v>fixed variances</v>
          </cell>
          <cell r="C65">
            <v>0</v>
          </cell>
          <cell r="E65">
            <v>0</v>
          </cell>
          <cell r="G65">
            <v>0</v>
          </cell>
          <cell r="I65">
            <v>0</v>
          </cell>
          <cell r="J65">
            <v>0</v>
          </cell>
          <cell r="K65">
            <v>0</v>
          </cell>
        </row>
        <row r="66">
          <cell r="A66" t="str">
            <v xml:space="preserve"> MOH</v>
          </cell>
          <cell r="B66">
            <v>2128063.9059391483</v>
          </cell>
          <cell r="C66">
            <v>1.4109244760173467</v>
          </cell>
          <cell r="D66">
            <v>616000.87849742244</v>
          </cell>
          <cell r="E66">
            <v>1.4109244760173472</v>
          </cell>
          <cell r="F66">
            <v>330832.05114021502</v>
          </cell>
          <cell r="G66">
            <v>1.2757870218222707</v>
          </cell>
          <cell r="H66">
            <v>368515.81442321383</v>
          </cell>
          <cell r="I66">
            <v>1.2757870218222704</v>
          </cell>
          <cell r="J66">
            <v>2744064.7844365705</v>
          </cell>
          <cell r="K66">
            <v>1.4109244760173467</v>
          </cell>
        </row>
        <row r="68">
          <cell r="A68" t="str">
            <v>Production at std</v>
          </cell>
          <cell r="B68">
            <v>12339346.545739148</v>
          </cell>
          <cell r="C68">
            <v>8.1810917476936424</v>
          </cell>
          <cell r="D68">
            <v>3523711.2295974223</v>
          </cell>
          <cell r="E68">
            <v>8.0709144967185118</v>
          </cell>
          <cell r="F68">
            <v>2078858.8153402151</v>
          </cell>
          <cell r="G68">
            <v>8.0166993726004048</v>
          </cell>
          <cell r="H68">
            <v>4082033.3496232135</v>
          </cell>
          <cell r="I68">
            <v>14.13183631819447</v>
          </cell>
          <cell r="J68">
            <v>15863057.775336571</v>
          </cell>
          <cell r="K68">
            <v>8.1563586277702189</v>
          </cell>
        </row>
        <row r="69">
          <cell r="A69" t="str">
            <v>variances</v>
          </cell>
          <cell r="B69">
            <v>-2377333.3812209652</v>
          </cell>
          <cell r="C69">
            <v>-1.5761922590089978</v>
          </cell>
          <cell r="D69">
            <v>-596246.59948746359</v>
          </cell>
          <cell r="E69">
            <v>-1.3656781188543301</v>
          </cell>
          <cell r="F69">
            <v>-300391.82226940733</v>
          </cell>
          <cell r="G69">
            <v>-1.1584004239976946</v>
          </cell>
          <cell r="H69">
            <v>-646632.51732216298</v>
          </cell>
          <cell r="I69">
            <v>-2.238615932342233</v>
          </cell>
          <cell r="J69">
            <v>-2973579.9807084287</v>
          </cell>
          <cell r="K69">
            <v>-1.5289350309701812</v>
          </cell>
        </row>
        <row r="70">
          <cell r="A70" t="str">
            <v>COST OF PRODUCTION</v>
          </cell>
          <cell r="B70">
            <v>9962013.1645181831</v>
          </cell>
          <cell r="C70">
            <v>6.6048994886846444</v>
          </cell>
          <cell r="D70">
            <v>2927464.6301099588</v>
          </cell>
          <cell r="E70">
            <v>6.7052363778641819</v>
          </cell>
          <cell r="F70">
            <v>1778466.9930708078</v>
          </cell>
          <cell r="G70">
            <v>6.8582989486027106</v>
          </cell>
          <cell r="H70">
            <v>3435400.8323010504</v>
          </cell>
          <cell r="I70">
            <v>11.893220385852237</v>
          </cell>
          <cell r="J70">
            <v>12889477.794628143</v>
          </cell>
          <cell r="K70">
            <v>6.6274235968000372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</row>
        <row r="72">
          <cell r="A72" t="str">
            <v xml:space="preserve"> FGM - DC at std</v>
          </cell>
          <cell r="B72">
            <v>-154985.65213118866</v>
          </cell>
          <cell r="C72">
            <v>-0.10532656057132371</v>
          </cell>
          <cell r="D72">
            <v>402254.79945581395</v>
          </cell>
          <cell r="E72">
            <v>0.82461401852897165</v>
          </cell>
          <cell r="F72">
            <v>313901.26032969216</v>
          </cell>
          <cell r="G72">
            <v>1.2302667141279324</v>
          </cell>
          <cell r="H72">
            <v>585968.90018653823</v>
          </cell>
          <cell r="I72">
            <v>1.8037435488667473</v>
          </cell>
          <cell r="J72">
            <v>247269.14732462529</v>
          </cell>
          <cell r="K72">
            <v>0.12620362597442192</v>
          </cell>
        </row>
        <row r="73">
          <cell r="A73" t="str">
            <v xml:space="preserve"> FGM - DC variances</v>
          </cell>
          <cell r="B73">
            <v>550923.32999999996</v>
          </cell>
          <cell r="C73">
            <v>0.37440149258644362</v>
          </cell>
          <cell r="D73">
            <v>-56597.4</v>
          </cell>
          <cell r="E73">
            <v>-0.11602349932289184</v>
          </cell>
          <cell r="F73">
            <v>154442.4</v>
          </cell>
          <cell r="G73">
            <v>0.6053029024810801</v>
          </cell>
          <cell r="H73">
            <v>-145372.84</v>
          </cell>
          <cell r="I73">
            <v>-0.44749016926830726</v>
          </cell>
          <cell r="J73">
            <v>494325.92999999993</v>
          </cell>
          <cell r="K73">
            <v>0.25229886321917744</v>
          </cell>
        </row>
        <row r="74">
          <cell r="A74" t="str">
            <v xml:space="preserve"> FGM - MOH at std</v>
          </cell>
          <cell r="B74">
            <v>-49194.645666955737</v>
          </cell>
          <cell r="C74">
            <v>-3.3432145204250925E-2</v>
          </cell>
          <cell r="D74">
            <v>94283.919755288254</v>
          </cell>
          <cell r="E74">
            <v>0.19328008530228022</v>
          </cell>
          <cell r="F74">
            <v>59468.340373560728</v>
          </cell>
          <cell r="G74">
            <v>0.23307303586223155</v>
          </cell>
          <cell r="H74">
            <v>58119.38977117234</v>
          </cell>
          <cell r="I74">
            <v>0.17890450215097015</v>
          </cell>
          <cell r="J74">
            <v>45089.274088332517</v>
          </cell>
          <cell r="K74">
            <v>2.301310108467142E-2</v>
          </cell>
        </row>
        <row r="75">
          <cell r="A75" t="str">
            <v xml:space="preserve"> Finished Goods Movement</v>
          </cell>
          <cell r="B75">
            <v>346743.03220185556</v>
          </cell>
          <cell r="C75">
            <v>0.23564278681086898</v>
          </cell>
          <cell r="D75">
            <v>439941.31921110221</v>
          </cell>
          <cell r="E75">
            <v>0.9018706045083601</v>
          </cell>
          <cell r="F75">
            <v>527812.00070325285</v>
          </cell>
          <cell r="G75">
            <v>2.0686426524712442</v>
          </cell>
          <cell r="H75">
            <v>498715.44995771057</v>
          </cell>
          <cell r="I75">
            <v>1.53515788174941</v>
          </cell>
          <cell r="J75">
            <v>786684.35141295777</v>
          </cell>
          <cell r="K75">
            <v>0.40151559027827077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</row>
        <row r="77">
          <cell r="A77" t="str">
            <v xml:space="preserve"> Stales - DC</v>
          </cell>
          <cell r="B77">
            <v>-209043.87204978545</v>
          </cell>
          <cell r="C77">
            <v>-0.14206393784683111</v>
          </cell>
          <cell r="D77">
            <v>-85533.087325576882</v>
          </cell>
          <cell r="E77">
            <v>-0.17534105982613896</v>
          </cell>
          <cell r="F77">
            <v>-99484.402440911072</v>
          </cell>
          <cell r="G77">
            <v>-0.38990715988018398</v>
          </cell>
          <cell r="H77">
            <v>-636.36701046282212</v>
          </cell>
          <cell r="I77">
            <v>-1.9588802229410594E-3</v>
          </cell>
          <cell r="J77">
            <v>-294576.95937536232</v>
          </cell>
          <cell r="K77">
            <v>-0.1503490459846315</v>
          </cell>
        </row>
        <row r="78">
          <cell r="A78" t="str">
            <v xml:space="preserve"> Stales - MOH</v>
          </cell>
          <cell r="B78">
            <v>-46175.130977851455</v>
          </cell>
          <cell r="C78">
            <v>-3.1380115920090219E-2</v>
          </cell>
          <cell r="D78">
            <v>-18527.441428561786</v>
          </cell>
          <cell r="E78">
            <v>-3.7980871701556194E-2</v>
          </cell>
          <cell r="F78">
            <v>-19576.292207783852</v>
          </cell>
          <cell r="G78">
            <v>-7.6724956962526597E-2</v>
          </cell>
          <cell r="H78">
            <v>-96.802397156439568</v>
          </cell>
          <cell r="I78">
            <v>-2.9797946500263083E-4</v>
          </cell>
          <cell r="J78">
            <v>-64702.572406413237</v>
          </cell>
          <cell r="K78">
            <v>-3.302352653338371E-2</v>
          </cell>
        </row>
        <row r="79">
          <cell r="A79" t="str">
            <v xml:space="preserve"> Stales - Movement To D&amp;A</v>
          </cell>
          <cell r="B79">
            <v>-255219.00302763691</v>
          </cell>
          <cell r="C79">
            <v>-0.17344405376692132</v>
          </cell>
          <cell r="D79">
            <v>-104060.52875413866</v>
          </cell>
          <cell r="E79">
            <v>-0.21332193152769516</v>
          </cell>
          <cell r="F79">
            <v>-119060.69464869492</v>
          </cell>
          <cell r="G79">
            <v>-0.46663211684271055</v>
          </cell>
          <cell r="H79">
            <v>-733.16940761926173</v>
          </cell>
          <cell r="I79">
            <v>-2.2568596879436902E-3</v>
          </cell>
          <cell r="J79">
            <v>-359279.53178177553</v>
          </cell>
          <cell r="K79">
            <v>-0.1833725725180152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</row>
        <row r="81">
          <cell r="A81" t="str">
            <v xml:space="preserve"> Other reclass. - DC</v>
          </cell>
          <cell r="B81">
            <v>-9648.5400000000009</v>
          </cell>
          <cell r="C81">
            <v>-6.5570426601465675E-3</v>
          </cell>
          <cell r="D81">
            <v>-2408.61</v>
          </cell>
          <cell r="E81">
            <v>-4.9376006796091427E-3</v>
          </cell>
          <cell r="F81">
            <v>-200997</v>
          </cell>
          <cell r="G81">
            <v>-0.78776338291809545</v>
          </cell>
          <cell r="H81">
            <v>-8401.15</v>
          </cell>
          <cell r="I81">
            <v>-2.5860621802177349E-2</v>
          </cell>
          <cell r="J81">
            <v>-12057.150000000001</v>
          </cell>
          <cell r="K81">
            <v>-6.1538451738979297E-3</v>
          </cell>
        </row>
        <row r="82">
          <cell r="A82" t="str">
            <v xml:space="preserve"> Other reclass. - MOH</v>
          </cell>
          <cell r="B82">
            <v>-1858.789523500109</v>
          </cell>
          <cell r="C82">
            <v>-1.2632131080789139E-3</v>
          </cell>
          <cell r="D82">
            <v>-369.53021502581777</v>
          </cell>
          <cell r="E82">
            <v>-7.5752929733231638E-4</v>
          </cell>
          <cell r="F82">
            <v>-40169.50400688521</v>
          </cell>
          <cell r="G82">
            <v>-0.15743550583643479</v>
          </cell>
          <cell r="H82">
            <v>-937.04751804759849</v>
          </cell>
          <cell r="I82">
            <v>-2.8844421864742207E-3</v>
          </cell>
          <cell r="J82">
            <v>-2228.3197385259268</v>
          </cell>
          <cell r="K82">
            <v>-1.137311443320293E-3</v>
          </cell>
        </row>
        <row r="83">
          <cell r="A83" t="str">
            <v xml:space="preserve"> Other Reclassifications</v>
          </cell>
          <cell r="B83">
            <v>-11507.32952350011</v>
          </cell>
          <cell r="C83">
            <v>-7.8202557682254814E-3</v>
          </cell>
          <cell r="D83">
            <v>-2778.1402150258177</v>
          </cell>
          <cell r="E83">
            <v>-5.6951299769414593E-3</v>
          </cell>
          <cell r="F83">
            <v>-241166.50400688522</v>
          </cell>
          <cell r="G83">
            <v>-0.94519888875453018</v>
          </cell>
          <cell r="H83">
            <v>-9338.1975180475984</v>
          </cell>
          <cell r="I83">
            <v>-2.8745063988651572E-2</v>
          </cell>
          <cell r="J83">
            <v>-14285.469738525928</v>
          </cell>
          <cell r="K83">
            <v>-7.2911566172182227E-3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#REF!</v>
          </cell>
          <cell r="G84" t="e">
            <v>#REF!</v>
          </cell>
          <cell r="H84" t="e">
            <v>#REF!</v>
          </cell>
          <cell r="I84" t="e">
            <v>#REF!</v>
          </cell>
          <cell r="J84" t="e">
            <v>#REF!</v>
          </cell>
          <cell r="K84" t="e">
            <v>#REF!</v>
          </cell>
        </row>
        <row r="85">
          <cell r="A85" t="str">
            <v xml:space="preserve"> Cost of 2nd Leg</v>
          </cell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  <cell r="F85" t="e">
            <v>#REF!</v>
          </cell>
          <cell r="G85" t="e">
            <v>#REF!</v>
          </cell>
          <cell r="H85" t="e">
            <v>#REF!</v>
          </cell>
          <cell r="I85" t="e">
            <v>#REF!</v>
          </cell>
          <cell r="J85" t="e">
            <v>#REF!</v>
          </cell>
          <cell r="K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  <cell r="F86" t="e">
            <v>#REF!</v>
          </cell>
          <cell r="G86" t="e">
            <v>#REF!</v>
          </cell>
          <cell r="H86" t="e">
            <v>#REF!</v>
          </cell>
          <cell r="I86" t="e">
            <v>#REF!</v>
          </cell>
          <cell r="J86" t="e">
            <v>#REF!</v>
          </cell>
          <cell r="K86" t="e">
            <v>#REF!</v>
          </cell>
        </row>
        <row r="87">
          <cell r="A87" t="str">
            <v xml:space="preserve"> Other Costs of Sales</v>
          </cell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  <cell r="H87" t="e">
            <v>#REF!</v>
          </cell>
          <cell r="I87" t="e">
            <v>#REF!</v>
          </cell>
          <cell r="J87" t="e">
            <v>#REF!</v>
          </cell>
          <cell r="K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  <cell r="H88" t="e">
            <v>#REF!</v>
          </cell>
          <cell r="I88" t="e">
            <v>#REF!</v>
          </cell>
          <cell r="J88" t="e">
            <v>#REF!</v>
          </cell>
          <cell r="K88" t="e">
            <v>#REF!</v>
          </cell>
        </row>
        <row r="89">
          <cell r="A89" t="str">
            <v>COST OF GOODS SOLD</v>
          </cell>
          <cell r="B89">
            <v>10042029.864168903</v>
          </cell>
          <cell r="C89">
            <v>6.824454084640923</v>
          </cell>
          <cell r="D89">
            <v>3260567.2803518963</v>
          </cell>
          <cell r="E89">
            <v>6.6840954821979723</v>
          </cell>
          <cell r="F89">
            <v>1946051.7951184807</v>
          </cell>
          <cell r="G89">
            <v>7.6271205314326416</v>
          </cell>
          <cell r="H89">
            <v>3924044.9153330945</v>
          </cell>
          <cell r="I89">
            <v>12.079089349694531</v>
          </cell>
          <cell r="J89">
            <v>13302597.144520799</v>
          </cell>
          <cell r="K89">
            <v>6.7895085686184284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  <cell r="F90" t="e">
            <v>#REF!</v>
          </cell>
          <cell r="G90" t="e">
            <v>#REF!</v>
          </cell>
          <cell r="H90" t="e">
            <v>#REF!</v>
          </cell>
          <cell r="I90" t="e">
            <v>#REF!</v>
          </cell>
          <cell r="J90" t="e">
            <v>#REF!</v>
          </cell>
          <cell r="K90" t="e">
            <v>#REF!</v>
          </cell>
        </row>
        <row r="91">
          <cell r="A91" t="str">
            <v>DC</v>
          </cell>
          <cell r="B91">
            <v>8011194.5243980614</v>
          </cell>
          <cell r="C91">
            <v>5.4443205143172619</v>
          </cell>
          <cell r="D91">
            <v>2569179.4537427742</v>
          </cell>
          <cell r="E91">
            <v>5.2667647385164758</v>
          </cell>
          <cell r="F91">
            <v>1615497.1998193739</v>
          </cell>
          <cell r="G91">
            <v>6.3315847461624823</v>
          </cell>
          <cell r="H91">
            <v>3498443.5610539122</v>
          </cell>
          <cell r="I91">
            <v>10.768993034129586</v>
          </cell>
          <cell r="J91">
            <v>10580373.978140835</v>
          </cell>
          <cell r="K91">
            <v>5.4001139028225751</v>
          </cell>
        </row>
        <row r="92">
          <cell r="A92" t="str">
            <v>MOH</v>
          </cell>
          <cell r="B92">
            <v>2030835.3397708409</v>
          </cell>
          <cell r="C92">
            <v>1.3801335703236606</v>
          </cell>
          <cell r="D92">
            <v>691387.82660912315</v>
          </cell>
          <cell r="E92">
            <v>1.4173307436814988</v>
          </cell>
          <cell r="F92">
            <v>330554.59529910667</v>
          </cell>
          <cell r="G92">
            <v>1.2955357852701594</v>
          </cell>
          <cell r="H92">
            <v>425601.35427918209</v>
          </cell>
          <cell r="I92">
            <v>1.3100963155649432</v>
          </cell>
          <cell r="J92">
            <v>2722223.166379964</v>
          </cell>
          <cell r="K92">
            <v>1.389394665795854</v>
          </cell>
        </row>
        <row r="93">
          <cell r="A93" t="str">
            <v>Other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</row>
        <row r="94">
          <cell r="A94" t="str">
            <v xml:space="preserve"> Total</v>
          </cell>
          <cell r="B94">
            <v>10042029.864168903</v>
          </cell>
          <cell r="C94">
            <v>6.824454084640923</v>
          </cell>
          <cell r="D94">
            <v>3260567.2803518972</v>
          </cell>
          <cell r="E94">
            <v>6.684095482197975</v>
          </cell>
          <cell r="F94">
            <v>1946051.7951184805</v>
          </cell>
          <cell r="G94">
            <v>7.6271205314326416</v>
          </cell>
          <cell r="H94">
            <v>3924044.9153330941</v>
          </cell>
          <cell r="I94">
            <v>12.079089349694529</v>
          </cell>
          <cell r="J94">
            <v>13302597.144520799</v>
          </cell>
          <cell r="K94">
            <v>6.7895085686184293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Data LC"/>
      <sheetName val="Data US"/>
      <sheetName val="Ex Summ"/>
      <sheetName val="Vol_Chart1"/>
      <sheetName val="Vol_Chart2"/>
      <sheetName val="Vol Brand"/>
      <sheetName val="SOM"/>
      <sheetName val="COCH Period vs YAG"/>
      <sheetName val="COCH YTD vs YAG"/>
      <sheetName val="COCH Period vs AOP"/>
      <sheetName val="COCH YTD vs AOP"/>
      <sheetName val="Net Inc Analysis"/>
      <sheetName val="Squeeze USD"/>
      <sheetName val="Squeeze LC"/>
      <sheetName val="Quality"/>
      <sheetName val="Qtr Outlook"/>
      <sheetName val="Seguimiento"/>
      <sheetName val="Proposta"/>
      <sheetName val="Hoja1"/>
      <sheetName val="CATASTRO FUNCIONARIO"/>
      <sheetName val="Filtrado"/>
      <sheetName val="Direct Labor Matrix"/>
      <sheetName val="JAN $"/>
      <sheetName val="JAN"/>
      <sheetName val="OCF Change"/>
      <sheetName val="HP Actual YTD"/>
      <sheetName val="Config"/>
      <sheetName val="AXGAE"/>
      <sheetName val="Report"/>
      <sheetName val="Settings"/>
      <sheetName val="TrialBal"/>
      <sheetName val="Sheet1"/>
      <sheetName val="East &amp; South 2001"/>
      <sheetName val="Instruction"/>
      <sheetName val="Forex"/>
      <sheetName val="Data_LC"/>
      <sheetName val="Data_US"/>
      <sheetName val="Ex_Summ"/>
      <sheetName val="Vol_Brand"/>
      <sheetName val="COCH_Period_vs_YAG"/>
      <sheetName val="COCH_YTD_vs_YAG"/>
      <sheetName val="COCH_Period_vs_AOP"/>
      <sheetName val="COCH_YTD_vs_AOP"/>
      <sheetName val="Net_Inc_Analysis"/>
      <sheetName val="Squeeze_USD"/>
      <sheetName val="Squeeze_LC"/>
      <sheetName val="Qtr_Outlook"/>
      <sheetName val="CATASTRO_FUNCIONARIO"/>
      <sheetName val="Direct_Labor_Matrix"/>
      <sheetName val="JAN_$"/>
      <sheetName val="OCF_Change"/>
      <sheetName val="HP_Actual_YTD"/>
      <sheetName val="Audit Work Plan"/>
      <sheetName val="Calendar"/>
      <sheetName val="Menu"/>
      <sheetName val="East_&amp;_South_2001"/>
      <sheetName val="Data_LC1"/>
      <sheetName val="Data_US1"/>
      <sheetName val="Ex_Summ1"/>
      <sheetName val="Vol_Brand1"/>
      <sheetName val="COCH_Period_vs_YAG1"/>
      <sheetName val="COCH_YTD_vs_YAG1"/>
      <sheetName val="COCH_Period_vs_AOP1"/>
      <sheetName val="COCH_YTD_vs_AOP1"/>
      <sheetName val="Net_Inc_Analysis1"/>
      <sheetName val="Squeeze_USD1"/>
      <sheetName val="Squeeze_LC1"/>
      <sheetName val="Qtr_Outlook1"/>
      <sheetName val="CATASTRO_FUNCIONARIO1"/>
      <sheetName val="Direct_Labor_Matrix1"/>
      <sheetName val="JAN_$1"/>
      <sheetName val="OCF_Change1"/>
      <sheetName val="HP_Actual_YTD1"/>
      <sheetName val="East_&amp;_South_20011"/>
      <sheetName val="Data_LC2"/>
      <sheetName val="Data_US2"/>
      <sheetName val="Ex_Summ2"/>
      <sheetName val="Vol_Brand2"/>
      <sheetName val="COCH_Period_vs_YAG2"/>
      <sheetName val="COCH_YTD_vs_YAG2"/>
      <sheetName val="COCH_Period_vs_AOP2"/>
      <sheetName val="COCH_YTD_vs_AOP2"/>
      <sheetName val="Net_Inc_Analysis2"/>
      <sheetName val="Squeeze_USD2"/>
      <sheetName val="Squeeze_LC2"/>
      <sheetName val="Qtr_Outlook2"/>
      <sheetName val="CATASTRO_FUNCIONARIO2"/>
      <sheetName val="Direct_Labor_Matrix2"/>
      <sheetName val="JAN_$2"/>
      <sheetName val="OCF_Change2"/>
      <sheetName val="HP_Actual_YTD2"/>
      <sheetName val="East_&amp;_South_20012"/>
      <sheetName val="Audit_Work_Plan"/>
      <sheetName val="Costos"/>
      <sheetName val="Deferred tax"/>
      <sheetName val="Fixed Assets"/>
      <sheetName val="Taxation"/>
      <sheetName val="Working capital"/>
      <sheetName val="P&amp;L_orig"/>
      <sheetName val="Sensitivity"/>
      <sheetName val="Large Bags and Others"/>
      <sheetName val="Medium Size"/>
      <sheetName val="Workings"/>
      <sheetName val="Salfinanzas"/>
      <sheetName val="Custos"/>
      <sheetName val="02"/>
      <sheetName val="Gauge"/>
      <sheetName val="MêsBase"/>
      <sheetName val="Scenario"/>
      <sheetName val="2002 Forex Plan"/>
      <sheetName val="NUD"/>
    </sheetNames>
    <sheetDataSet>
      <sheetData sheetId="0" refreshError="1">
        <row r="1">
          <cell r="B1" t="str">
            <v>FLIHQ</v>
          </cell>
        </row>
        <row r="2">
          <cell r="B2" t="str">
            <v>FQT0500T</v>
          </cell>
        </row>
        <row r="3">
          <cell r="B3" t="str">
            <v>FQT0500F</v>
          </cell>
        </row>
        <row r="4">
          <cell r="B4">
            <v>2</v>
          </cell>
          <cell r="D4">
            <v>1</v>
          </cell>
        </row>
        <row r="5">
          <cell r="B5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BS "/>
      <sheetName val="KPI Working (2)"/>
      <sheetName val="BSR POINTS"/>
      <sheetName val="KPI Working"/>
      <sheetName val="BS Month Wise"/>
      <sheetName val="BS Quarter Wise"/>
      <sheetName val="OCF Month Wise"/>
      <sheetName val="sheet1"/>
      <sheetName val="Hyperion"/>
      <sheetName val="objective 1"/>
      <sheetName val="objective 2"/>
      <sheetName val="Title"/>
      <sheetName val="Exec Sum Cover"/>
      <sheetName val="BSWatch Outs"/>
      <sheetName val="BAICWATCH OUTs"/>
      <sheetName val="Reserve Summary"/>
      <sheetName val="BIWatchOuts"/>
      <sheetName val="process review tracking"/>
      <sheetName val="Audit"/>
      <sheetName val="P&amp;L"/>
      <sheetName val="SumBS"/>
      <sheetName val="Cash Flows"/>
      <sheetName val="OCF (2)"/>
      <sheetName val="OCF_Comments"/>
      <sheetName val="Hyp Structure"/>
      <sheetName val="CC&amp;STInv"/>
      <sheetName val="Trade Receivables"/>
      <sheetName val="Rx-MT-Wh"/>
      <sheetName val="FOBO's AR"/>
      <sheetName val="DTS-DSD"/>
      <sheetName val="N&amp;OAR"/>
      <sheetName val="Inventories"/>
      <sheetName val="Inventories_AGING"/>
      <sheetName val="Inventories_CSD"/>
      <sheetName val="Agro"/>
      <sheetName val="Agro Table"/>
      <sheetName val="PP&amp;OtherA"/>
      <sheetName val="Capex&amp;FA"/>
      <sheetName val="GW&amp;OtherInt"/>
      <sheetName val="Intercompany"/>
      <sheetName val="PepsiCo Affiliated Balances"/>
      <sheetName val="Acct Payable"/>
      <sheetName val="AL&amp;OLTL"/>
      <sheetName val="fobo marketing accruals"/>
      <sheetName val="tax"/>
      <sheetName val="Debt &amp; Equity"/>
      <sheetName val="KPI Input"/>
      <sheetName val="KPI definitions"/>
      <sheetName val="OFCF definitions"/>
      <sheetName val="BS_"/>
      <sheetName val="KPI_Working_(2)"/>
      <sheetName val="BSR_POINTS"/>
      <sheetName val="KPI_Working"/>
      <sheetName val="BS_Month_Wise"/>
      <sheetName val="BS_Quarter_Wise"/>
      <sheetName val="OCF_Month_Wise"/>
      <sheetName val="objective_1"/>
      <sheetName val="objective_2"/>
      <sheetName val="Exec_Sum_Cover"/>
      <sheetName val="BSWatch_Outs"/>
      <sheetName val="BAICWATCH_OUTs"/>
      <sheetName val="Reserve_Summary"/>
      <sheetName val="process_review_tracking"/>
      <sheetName val="Cash_Flows"/>
      <sheetName val="OCF_(2)"/>
      <sheetName val="Hyp_Structure"/>
      <sheetName val="Trade_Receivables"/>
      <sheetName val="FOBO's_AR"/>
      <sheetName val="Agro_Table"/>
      <sheetName val="PepsiCo_Affiliated_Balances"/>
      <sheetName val="Acct_Payable"/>
      <sheetName val="fobo_marketing_accruals"/>
      <sheetName val="Debt_&amp;_Equity"/>
      <sheetName val="KPI_Input"/>
      <sheetName val="KPI_definitions"/>
      <sheetName val="OFCF_definitions"/>
      <sheetName val="BS_1"/>
      <sheetName val="KPI_Working_(2)1"/>
      <sheetName val="BSR_POINTS1"/>
      <sheetName val="KPI_Working1"/>
      <sheetName val="BS_Month_Wise1"/>
      <sheetName val="BS_Quarter_Wise1"/>
      <sheetName val="OCF_Month_Wise1"/>
      <sheetName val="objective_11"/>
      <sheetName val="objective_21"/>
      <sheetName val="Exec_Sum_Cover1"/>
      <sheetName val="BSWatch_Outs1"/>
      <sheetName val="BAICWATCH_OUTs1"/>
      <sheetName val="Reserve_Summary1"/>
      <sheetName val="process_review_tracking1"/>
      <sheetName val="Cash_Flows1"/>
      <sheetName val="OCF_(2)1"/>
      <sheetName val="Hyp_Structure1"/>
      <sheetName val="Trade_Receivables1"/>
      <sheetName val="FOBO's_AR1"/>
      <sheetName val="Agro_Table1"/>
      <sheetName val="PepsiCo_Affiliated_Balances1"/>
      <sheetName val="Acct_Payable1"/>
      <sheetName val="fobo_marketing_accruals1"/>
      <sheetName val="Debt_&amp;_Equity1"/>
      <sheetName val="KPI_Input1"/>
      <sheetName val="KPI_definitions1"/>
      <sheetName val="OFCF_definitions1"/>
      <sheetName val="BS_2"/>
      <sheetName val="KPI_Working_(2)2"/>
      <sheetName val="BSR_POINTS2"/>
      <sheetName val="KPI_Working2"/>
      <sheetName val="BS_Month_Wise2"/>
      <sheetName val="BS_Quarter_Wise2"/>
      <sheetName val="OCF_Month_Wise2"/>
      <sheetName val="objective_12"/>
      <sheetName val="objective_22"/>
      <sheetName val="Exec_Sum_Cover2"/>
      <sheetName val="BSWatch_Outs2"/>
      <sheetName val="BAICWATCH_OUTs2"/>
      <sheetName val="Reserve_Summary2"/>
      <sheetName val="process_review_tracking2"/>
      <sheetName val="Cash_Flows2"/>
      <sheetName val="OCF_(2)2"/>
      <sheetName val="Hyp_Structure2"/>
      <sheetName val="Trade_Receivables2"/>
      <sheetName val="FOBO's_AR2"/>
      <sheetName val="Agro_Table2"/>
      <sheetName val="PepsiCo_Affiliated_Balances2"/>
      <sheetName val="Acct_Payable2"/>
      <sheetName val="fobo_marketing_accruals2"/>
      <sheetName val="Debt_&amp;_Equity2"/>
      <sheetName val="KPI_Input2"/>
      <sheetName val="KPI_definitions2"/>
      <sheetName val="OFCF_definition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D5" t="str">
            <v>PEPSICO_INTL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WR"/>
      <sheetName val="CURRENCY RATES"/>
      <sheetName val="Sheet2"/>
      <sheetName val="LAHORE SUN"/>
      <sheetName val="HATTAR SUN"/>
      <sheetName val="CURRENCY_RATES"/>
      <sheetName val="LAHORE_SUN"/>
      <sheetName val="HATTAR_SUN"/>
      <sheetName val="CURRENCY_RATES1"/>
      <sheetName val="LAHORE_SUN1"/>
      <sheetName val="HATTAR_SUN1"/>
      <sheetName val="CURRENCY_RATES2"/>
      <sheetName val="LAHORE_SUN2"/>
      <sheetName val="HATTAR_SU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Front Page and References"/>
      <sheetName val="Packaging Requirements"/>
      <sheetName val="Product Requirements"/>
      <sheetName val="Environmental Data"/>
      <sheetName val="Electrical Requirements"/>
      <sheetName val="Electrical Requirements RFQ"/>
      <sheetName val="Mechanical Requirements"/>
      <sheetName val="Mechanical Requirements RFQ"/>
      <sheetName val="PET Line"/>
      <sheetName val="Equipment Speed"/>
      <sheetName val="Blow Moulder"/>
      <sheetName val="Blow Moulder RFQ"/>
      <sheetName val="Air Conveyor System"/>
      <sheetName val="Air Conveyor System RFQ"/>
      <sheetName val="Bulk Bottle Palletiser"/>
      <sheetName val="Bulk Bottle Palletiser RFQ"/>
      <sheetName val="Pallet Bander"/>
      <sheetName val="Pallet Bander RFQ"/>
      <sheetName val="Pallet Stretchwrapper"/>
      <sheetName val="Pallet Stretchwrapper RFQ"/>
      <sheetName val="Bottle Storage Silo"/>
      <sheetName val="Bottle Storage Silo RFQ"/>
      <sheetName val="Bottle Unscrambler"/>
      <sheetName val="Bottle Unscrambler RFQ"/>
      <sheetName val="Bulk Bottle Depalletiser"/>
      <sheetName val="Bulk Bottle Depalletiser RFQ"/>
      <sheetName val="Bottle Rinser"/>
      <sheetName val="Bottle Rinser RFQ"/>
      <sheetName val="Filler-Capper"/>
      <sheetName val="Filler-Capper RFQ"/>
      <sheetName val="AqFi Filler-Capper"/>
      <sheetName val="AqFi Filler-Capper RFQ"/>
      <sheetName val="Liquid N2 Injection System"/>
      <sheetName val="Liquid N2 Injection System RFQ"/>
      <sheetName val="Mix Processor"/>
      <sheetName val="Mix Processor RFQ"/>
      <sheetName val="Bulk Cap Feeding System"/>
      <sheetName val="Bulk Cap Feeding System RFQ"/>
      <sheetName val="Bulk Crown Feeding System"/>
      <sheetName val="Bulk Crown Feeding System RFQ"/>
      <sheetName val="Elect Fill Level Inspector"/>
      <sheetName val="Elect Fill Level Inspector RFQ"/>
      <sheetName val="Tunnel Pasteurizer"/>
      <sheetName val="Tunnel Pasteurizer RFQ"/>
      <sheetName val="Bottle Warmer"/>
      <sheetName val="Bottle Warmer RFQ"/>
      <sheetName val="Labeller"/>
      <sheetName val="Labeller RFQ"/>
      <sheetName val="Tamper Band Applicator"/>
      <sheetName val="Tamper Band Applicator RFQ"/>
      <sheetName val="Bottle Coder"/>
      <sheetName val="Bottle Coder RFQ"/>
      <sheetName val="Case Washer"/>
      <sheetName val="Case Washer RFQ"/>
      <sheetName val="Caser"/>
      <sheetName val="Caser RFQ"/>
      <sheetName val="Carton Former Packer Sealer"/>
      <sheetName val="Carton Former Packer Sealer RFQ"/>
      <sheetName val="Multi-Packer"/>
      <sheetName val="Multi-Packer RFQ"/>
      <sheetName val="Handle Applicator"/>
      <sheetName val="Handle Applicator RFQ"/>
      <sheetName val="Packer-Shrink Wrapper"/>
      <sheetName val="Packer-Shrink Wrapper RFQ"/>
      <sheetName val="Pack Coder"/>
      <sheetName val="Pack Coder RFQ"/>
      <sheetName val="Pack Labeller"/>
      <sheetName val="Pack Labeller RFQ"/>
      <sheetName val="Pack Palletiser"/>
      <sheetName val="Pack Palletiser RFQ"/>
      <sheetName val="Pack Pallet Stretchwrapper"/>
      <sheetName val="Pack Pallet Stretchwrapper RFQ"/>
      <sheetName val="Pallet Labeller"/>
      <sheetName val="Pallet Labeller RFQ"/>
      <sheetName val="Thermal Processing Skid"/>
      <sheetName val="Thermal Processing Skid RFQ"/>
      <sheetName val="CIP Skid"/>
      <sheetName val="CIP Skid RFQ"/>
      <sheetName val="Bottle Conveyor System"/>
      <sheetName val="Bottle Conveyor System RFQ"/>
      <sheetName val="Pack Conveyor System"/>
      <sheetName val="Pack Conveyor System RFQ"/>
      <sheetName val="Equipment Performance Standards"/>
      <sheetName val="Pricing Summary Schedule"/>
      <sheetName val="Utility Summary Schedule"/>
      <sheetName val="Title_Page"/>
      <sheetName val="Front_Page_and_References"/>
      <sheetName val="Packaging_Requirements"/>
      <sheetName val="Product_Requirements"/>
      <sheetName val="Environmental_Data"/>
      <sheetName val="Electrical_Requirements"/>
      <sheetName val="Electrical_Requirements_RFQ"/>
      <sheetName val="Mechanical_Requirements"/>
      <sheetName val="Mechanical_Requirements_RFQ"/>
      <sheetName val="PET_Line"/>
      <sheetName val="Equipment_Speed"/>
      <sheetName val="Blow_Moulder"/>
      <sheetName val="Blow_Moulder_RFQ"/>
      <sheetName val="Air_Conveyor_System"/>
      <sheetName val="Air_Conveyor_System_RFQ"/>
      <sheetName val="Bulk_Bottle_Palletiser"/>
      <sheetName val="Bulk_Bottle_Palletiser_RFQ"/>
      <sheetName val="Pallet_Bander"/>
      <sheetName val="Pallet_Bander_RFQ"/>
      <sheetName val="Pallet_Stretchwrapper"/>
      <sheetName val="Pallet_Stretchwrapper_RFQ"/>
      <sheetName val="Bottle_Storage_Silo"/>
      <sheetName val="Bottle_Storage_Silo_RFQ"/>
      <sheetName val="Bottle_Unscrambler"/>
      <sheetName val="Bottle_Unscrambler_RFQ"/>
      <sheetName val="Bulk_Bottle_Depalletiser"/>
      <sheetName val="Bulk_Bottle_Depalletiser_RFQ"/>
      <sheetName val="Bottle_Rinser"/>
      <sheetName val="Bottle_Rinser_RFQ"/>
      <sheetName val="Filler-Capper_RFQ"/>
      <sheetName val="AqFi_Filler-Capper"/>
      <sheetName val="AqFi_Filler-Capper_RFQ"/>
      <sheetName val="Liquid_N2_Injection_System"/>
      <sheetName val="Liquid_N2_Injection_System_RFQ"/>
      <sheetName val="Mix_Processor"/>
      <sheetName val="Mix_Processor_RFQ"/>
      <sheetName val="Bulk_Cap_Feeding_System"/>
      <sheetName val="Bulk_Cap_Feeding_System_RFQ"/>
      <sheetName val="Bulk_Crown_Feeding_System"/>
      <sheetName val="Bulk_Crown_Feeding_System_RFQ"/>
      <sheetName val="Elect_Fill_Level_Inspector"/>
      <sheetName val="Elect_Fill_Level_Inspector_RFQ"/>
      <sheetName val="Tunnel_Pasteurizer"/>
      <sheetName val="Tunnel_Pasteurizer_RFQ"/>
      <sheetName val="Bottle_Warmer"/>
      <sheetName val="Bottle_Warmer_RFQ"/>
      <sheetName val="Labeller_RFQ"/>
      <sheetName val="Tamper_Band_Applicator"/>
      <sheetName val="Tamper_Band_Applicator_RFQ"/>
      <sheetName val="Bottle_Coder"/>
      <sheetName val="Bottle_Coder_RFQ"/>
      <sheetName val="Case_Washer"/>
      <sheetName val="Case_Washer_RFQ"/>
      <sheetName val="Caser_RFQ"/>
      <sheetName val="Carton_Former_Packer_Sealer"/>
      <sheetName val="Carton_Former_Packer_Sealer_RFQ"/>
      <sheetName val="Multi-Packer_RFQ"/>
      <sheetName val="Handle_Applicator"/>
      <sheetName val="Handle_Applicator_RFQ"/>
      <sheetName val="Packer-Shrink_Wrapper"/>
      <sheetName val="Packer-Shrink_Wrapper_RFQ"/>
      <sheetName val="Pack_Coder"/>
      <sheetName val="Pack_Coder_RFQ"/>
      <sheetName val="Pack_Labeller"/>
      <sheetName val="Pack_Labeller_RFQ"/>
      <sheetName val="Pack_Palletiser"/>
      <sheetName val="Pack_Palletiser_RFQ"/>
      <sheetName val="Pack_Pallet_Stretchwrapper"/>
      <sheetName val="Pack_Pallet_Stretchwrapper_RFQ"/>
      <sheetName val="Pallet_Labeller"/>
      <sheetName val="Pallet_Labeller_RFQ"/>
      <sheetName val="Thermal_Processing_Skid"/>
      <sheetName val="Thermal_Processing_Skid_RFQ"/>
      <sheetName val="CIP_Skid"/>
      <sheetName val="CIP_Skid_RFQ"/>
      <sheetName val="Bottle_Conveyor_System"/>
      <sheetName val="Bottle_Conveyor_System_RFQ"/>
      <sheetName val="Pack_Conveyor_System"/>
      <sheetName val="Pack_Conveyor_System_RFQ"/>
      <sheetName val="Equipment_Performance_Standards"/>
      <sheetName val="Pricing_Summary_Schedule"/>
      <sheetName val="Utility_Summary_Schedule"/>
      <sheetName val="Title_Page1"/>
      <sheetName val="Front_Page_and_References1"/>
      <sheetName val="Packaging_Requirements1"/>
      <sheetName val="Product_Requirements1"/>
      <sheetName val="Environmental_Data1"/>
      <sheetName val="Electrical_Requirements1"/>
      <sheetName val="Electrical_Requirements_RFQ1"/>
      <sheetName val="Mechanical_Requirements1"/>
      <sheetName val="Mechanical_Requirements_RFQ1"/>
      <sheetName val="PET_Line1"/>
      <sheetName val="Equipment_Speed1"/>
      <sheetName val="Blow_Moulder1"/>
      <sheetName val="Blow_Moulder_RFQ1"/>
      <sheetName val="Air_Conveyor_System1"/>
      <sheetName val="Air_Conveyor_System_RFQ1"/>
      <sheetName val="Bulk_Bottle_Palletiser1"/>
      <sheetName val="Bulk_Bottle_Palletiser_RFQ1"/>
      <sheetName val="Pallet_Bander1"/>
      <sheetName val="Pallet_Bander_RFQ1"/>
      <sheetName val="Pallet_Stretchwrapper1"/>
      <sheetName val="Pallet_Stretchwrapper_RFQ1"/>
      <sheetName val="Bottle_Storage_Silo1"/>
      <sheetName val="Bottle_Storage_Silo_RFQ1"/>
      <sheetName val="Bottle_Unscrambler1"/>
      <sheetName val="Bottle_Unscrambler_RFQ1"/>
      <sheetName val="Bulk_Bottle_Depalletiser1"/>
      <sheetName val="Bulk_Bottle_Depalletiser_RFQ1"/>
      <sheetName val="Bottle_Rinser1"/>
      <sheetName val="Bottle_Rinser_RFQ1"/>
      <sheetName val="Filler-Capper_RFQ1"/>
      <sheetName val="AqFi_Filler-Capper1"/>
      <sheetName val="AqFi_Filler-Capper_RFQ1"/>
      <sheetName val="Liquid_N2_Injection_System1"/>
      <sheetName val="Liquid_N2_Injection_System_RFQ1"/>
      <sheetName val="Mix_Processor1"/>
      <sheetName val="Mix_Processor_RFQ1"/>
      <sheetName val="Bulk_Cap_Feeding_System1"/>
      <sheetName val="Bulk_Cap_Feeding_System_RFQ1"/>
      <sheetName val="Bulk_Crown_Feeding_System1"/>
      <sheetName val="Bulk_Crown_Feeding_System_RFQ1"/>
      <sheetName val="Elect_Fill_Level_Inspector1"/>
      <sheetName val="Elect_Fill_Level_Inspector_RFQ1"/>
      <sheetName val="Tunnel_Pasteurizer1"/>
      <sheetName val="Tunnel_Pasteurizer_RFQ1"/>
      <sheetName val="Bottle_Warmer1"/>
      <sheetName val="Bottle_Warmer_RFQ1"/>
      <sheetName val="Labeller_RFQ1"/>
      <sheetName val="Tamper_Band_Applicator1"/>
      <sheetName val="Tamper_Band_Applicator_RFQ1"/>
      <sheetName val="Bottle_Coder1"/>
      <sheetName val="Bottle_Coder_RFQ1"/>
      <sheetName val="Case_Washer1"/>
      <sheetName val="Case_Washer_RFQ1"/>
      <sheetName val="Caser_RFQ1"/>
      <sheetName val="Carton_Former_Packer_Sealer1"/>
      <sheetName val="Carton_Former_Packer_Sealer_RF1"/>
      <sheetName val="Multi-Packer_RFQ1"/>
      <sheetName val="Handle_Applicator1"/>
      <sheetName val="Handle_Applicator_RFQ1"/>
      <sheetName val="Packer-Shrink_Wrapper1"/>
      <sheetName val="Packer-Shrink_Wrapper_RFQ1"/>
      <sheetName val="Pack_Coder1"/>
      <sheetName val="Pack_Coder_RFQ1"/>
      <sheetName val="Pack_Labeller1"/>
      <sheetName val="Pack_Labeller_RFQ1"/>
      <sheetName val="Pack_Palletiser1"/>
      <sheetName val="Pack_Palletiser_RFQ1"/>
      <sheetName val="Pack_Pallet_Stretchwrapper1"/>
      <sheetName val="Pack_Pallet_Stretchwrapper_RFQ1"/>
      <sheetName val="Pallet_Labeller1"/>
      <sheetName val="Pallet_Labeller_RFQ1"/>
      <sheetName val="Thermal_Processing_Skid1"/>
      <sheetName val="Thermal_Processing_Skid_RFQ1"/>
      <sheetName val="CIP_Skid1"/>
      <sheetName val="CIP_Skid_RFQ1"/>
      <sheetName val="Bottle_Conveyor_System1"/>
      <sheetName val="Bottle_Conveyor_System_RFQ1"/>
      <sheetName val="Pack_Conveyor_System1"/>
      <sheetName val="Pack_Conveyor_System_RFQ1"/>
      <sheetName val="Equipment_Performance_Standard1"/>
      <sheetName val="Pricing_Summary_Schedule1"/>
      <sheetName val="Utility_Summary_Schedule1"/>
      <sheetName val="Title_Page2"/>
      <sheetName val="Front_Page_and_References2"/>
      <sheetName val="Packaging_Requirements2"/>
      <sheetName val="Product_Requirements2"/>
      <sheetName val="Environmental_Data2"/>
      <sheetName val="Electrical_Requirements2"/>
      <sheetName val="Electrical_Requirements_RFQ2"/>
      <sheetName val="Mechanical_Requirements2"/>
      <sheetName val="Mechanical_Requirements_RFQ2"/>
      <sheetName val="PET_Line2"/>
      <sheetName val="Equipment_Speed2"/>
      <sheetName val="Blow_Moulder2"/>
      <sheetName val="Blow_Moulder_RFQ2"/>
      <sheetName val="Air_Conveyor_System2"/>
      <sheetName val="Air_Conveyor_System_RFQ2"/>
      <sheetName val="Bulk_Bottle_Palletiser2"/>
      <sheetName val="Bulk_Bottle_Palletiser_RFQ2"/>
      <sheetName val="Pallet_Bander2"/>
      <sheetName val="Pallet_Bander_RFQ2"/>
      <sheetName val="Pallet_Stretchwrapper2"/>
      <sheetName val="Pallet_Stretchwrapper_RFQ2"/>
      <sheetName val="Bottle_Storage_Silo2"/>
      <sheetName val="Bottle_Storage_Silo_RFQ2"/>
      <sheetName val="Bottle_Unscrambler2"/>
      <sheetName val="Bottle_Unscrambler_RFQ2"/>
      <sheetName val="Bulk_Bottle_Depalletiser2"/>
      <sheetName val="Bulk_Bottle_Depalletiser_RFQ2"/>
      <sheetName val="Bottle_Rinser2"/>
      <sheetName val="Bottle_Rinser_RFQ2"/>
      <sheetName val="Filler-Capper_RFQ2"/>
      <sheetName val="AqFi_Filler-Capper2"/>
      <sheetName val="AqFi_Filler-Capper_RFQ2"/>
      <sheetName val="Liquid_N2_Injection_System2"/>
      <sheetName val="Liquid_N2_Injection_System_RFQ2"/>
      <sheetName val="Mix_Processor2"/>
      <sheetName val="Mix_Processor_RFQ2"/>
      <sheetName val="Bulk_Cap_Feeding_System2"/>
      <sheetName val="Bulk_Cap_Feeding_System_RFQ2"/>
      <sheetName val="Bulk_Crown_Feeding_System2"/>
      <sheetName val="Bulk_Crown_Feeding_System_RFQ2"/>
      <sheetName val="Elect_Fill_Level_Inspector2"/>
      <sheetName val="Elect_Fill_Level_Inspector_RFQ2"/>
      <sheetName val="Tunnel_Pasteurizer2"/>
      <sheetName val="Tunnel_Pasteurizer_RFQ2"/>
      <sheetName val="Bottle_Warmer2"/>
      <sheetName val="Bottle_Warmer_RFQ2"/>
      <sheetName val="Labeller_RFQ2"/>
      <sheetName val="Tamper_Band_Applicator2"/>
      <sheetName val="Tamper_Band_Applicator_RFQ2"/>
      <sheetName val="Bottle_Coder2"/>
      <sheetName val="Bottle_Coder_RFQ2"/>
      <sheetName val="Case_Washer2"/>
      <sheetName val="Case_Washer_RFQ2"/>
      <sheetName val="Caser_RFQ2"/>
      <sheetName val="Carton_Former_Packer_Sealer2"/>
      <sheetName val="Carton_Former_Packer_Sealer_RF2"/>
      <sheetName val="Multi-Packer_RFQ2"/>
      <sheetName val="Handle_Applicator2"/>
      <sheetName val="Handle_Applicator_RFQ2"/>
      <sheetName val="Packer-Shrink_Wrapper2"/>
      <sheetName val="Packer-Shrink_Wrapper_RFQ2"/>
      <sheetName val="Pack_Coder2"/>
      <sheetName val="Pack_Coder_RFQ2"/>
      <sheetName val="Pack_Labeller2"/>
      <sheetName val="Pack_Labeller_RFQ2"/>
      <sheetName val="Pack_Palletiser2"/>
      <sheetName val="Pack_Palletiser_RFQ2"/>
      <sheetName val="Pack_Pallet_Stretchwrapper2"/>
      <sheetName val="Pack_Pallet_Stretchwrapper_RFQ2"/>
      <sheetName val="Pallet_Labeller2"/>
      <sheetName val="Pallet_Labeller_RFQ2"/>
      <sheetName val="Thermal_Processing_Skid2"/>
      <sheetName val="Thermal_Processing_Skid_RFQ2"/>
      <sheetName val="CIP_Skid2"/>
      <sheetName val="CIP_Skid_RFQ2"/>
      <sheetName val="Bottle_Conveyor_System2"/>
      <sheetName val="Bottle_Conveyor_System_RFQ2"/>
      <sheetName val="Pack_Conveyor_System2"/>
      <sheetName val="Pack_Conveyor_System_RFQ2"/>
      <sheetName val="Equipment_Performance_Standard2"/>
      <sheetName val="Pricing_Summary_Schedule2"/>
      <sheetName val="Utility_Summary_Sche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 Trends"/>
      <sheetName val="Remark"/>
      <sheetName val="Print Options"/>
      <sheetName val="Index"/>
      <sheetName val="RTS"/>
      <sheetName val="Pringles"/>
      <sheetName val="Working A&amp;M"/>
      <sheetName val="NPD"/>
      <sheetName val="5% G&amp;A Initiative"/>
      <sheetName val="All Categories (Input)"/>
      <sheetName val="Banner Sun Flat PC"/>
      <sheetName val="Ruffles Ridged PC"/>
      <sheetName val="All Other PC"/>
      <sheetName val="Total PC (Calculated)"/>
      <sheetName val="Doritos"/>
      <sheetName val="Cheetos Extruded Snacks"/>
      <sheetName val="All Other Salty"/>
      <sheetName val="All Other (plug)"/>
      <sheetName val="P&amp;L LC"/>
      <sheetName val="Channel Split"/>
      <sheetName val="AOP 2000 by Quarter"/>
      <sheetName val="P&amp;L $ (Output)"/>
      <sheetName val="OCF $"/>
      <sheetName val="Balance Sheet $"/>
      <sheetName val="P&amp;L Growth Summary"/>
      <sheetName val="ROAE"/>
      <sheetName val="Capex Projects"/>
      <sheetName val="Module1"/>
      <sheetName val="data entry list"/>
      <sheetName val="Market_Trends"/>
      <sheetName val="Print_Options"/>
      <sheetName val="Working_A&amp;M"/>
      <sheetName val="5%_G&amp;A_Initiative"/>
      <sheetName val="All_Categories_(Input)"/>
      <sheetName val="Banner_Sun_Flat_PC"/>
      <sheetName val="Ruffles_Ridged_PC"/>
      <sheetName val="All_Other_PC"/>
      <sheetName val="Total_PC_(Calculated)"/>
      <sheetName val="Cheetos_Extruded_Snacks"/>
      <sheetName val="All_Other_Salty"/>
      <sheetName val="All_Other_(plug)"/>
      <sheetName val="P&amp;L_LC"/>
      <sheetName val="Channel_Split"/>
      <sheetName val="AOP_2000_by_Quarter"/>
      <sheetName val="P&amp;L_$_(Output)"/>
      <sheetName val="OCF_$"/>
      <sheetName val="Balance_Sheet_$"/>
      <sheetName val="P&amp;L_Growth_Summary"/>
      <sheetName val="Capex_Projects"/>
      <sheetName val="data_entry_list"/>
      <sheetName val="Market_Trends1"/>
      <sheetName val="Print_Options1"/>
      <sheetName val="Working_A&amp;M1"/>
      <sheetName val="5%_G&amp;A_Initiative1"/>
      <sheetName val="All_Categories_(Input)1"/>
      <sheetName val="Banner_Sun_Flat_PC1"/>
      <sheetName val="Ruffles_Ridged_PC1"/>
      <sheetName val="All_Other_PC1"/>
      <sheetName val="Total_PC_(Calculated)1"/>
      <sheetName val="Cheetos_Extruded_Snacks1"/>
      <sheetName val="All_Other_Salty1"/>
      <sheetName val="All_Other_(plug)1"/>
      <sheetName val="P&amp;L_LC1"/>
      <sheetName val="Channel_Split1"/>
      <sheetName val="AOP_2000_by_Quarter1"/>
      <sheetName val="P&amp;L_$_(Output)1"/>
      <sheetName val="OCF_$1"/>
      <sheetName val="Balance_Sheet_$1"/>
      <sheetName val="P&amp;L_Growth_Summary1"/>
      <sheetName val="Capex_Projects1"/>
      <sheetName val="data_entry_list1"/>
      <sheetName val="Market_Trends2"/>
      <sheetName val="Print_Options2"/>
      <sheetName val="Working_A&amp;M2"/>
      <sheetName val="5%_G&amp;A_Initiative2"/>
      <sheetName val="All_Categories_(Input)2"/>
      <sheetName val="Banner_Sun_Flat_PC2"/>
      <sheetName val="Ruffles_Ridged_PC2"/>
      <sheetName val="All_Other_PC2"/>
      <sheetName val="Total_PC_(Calculated)2"/>
      <sheetName val="Cheetos_Extruded_Snacks2"/>
      <sheetName val="All_Other_Salty2"/>
      <sheetName val="All_Other_(plug)2"/>
      <sheetName val="P&amp;L_LC2"/>
      <sheetName val="Channel_Split2"/>
      <sheetName val="AOP_2000_by_Quarter2"/>
      <sheetName val="P&amp;L_$_(Output)2"/>
      <sheetName val="OCF_$2"/>
      <sheetName val="Balance_Sheet_$2"/>
      <sheetName val="P&amp;L_Growth_Summary2"/>
      <sheetName val="Capex_Projects2"/>
      <sheetName val="data_entry_list2"/>
    </sheetNames>
    <sheetDataSet>
      <sheetData sheetId="0" refreshError="1">
        <row r="3">
          <cell r="A3" t="str">
            <v>Saudi Arabia -  Market Trends</v>
          </cell>
        </row>
        <row r="5">
          <cell r="E5" t="str">
            <v>History</v>
          </cell>
          <cell r="H5" t="str">
            <v>Current</v>
          </cell>
          <cell r="I5" t="str">
            <v>Plan</v>
          </cell>
          <cell r="M5" t="str">
            <v>CAGR</v>
          </cell>
        </row>
        <row r="6">
          <cell r="C6" t="str">
            <v>Units</v>
          </cell>
          <cell r="E6">
            <v>1996</v>
          </cell>
          <cell r="F6">
            <v>1997</v>
          </cell>
          <cell r="G6">
            <v>1998</v>
          </cell>
          <cell r="H6">
            <v>1999</v>
          </cell>
          <cell r="I6">
            <v>2000</v>
          </cell>
          <cell r="J6">
            <v>2001</v>
          </cell>
          <cell r="K6">
            <v>2002</v>
          </cell>
          <cell r="M6" t="str">
            <v>96-99</v>
          </cell>
          <cell r="N6" t="str">
            <v>99-02</v>
          </cell>
        </row>
        <row r="8">
          <cell r="A8" t="str">
            <v>MACROS</v>
          </cell>
        </row>
        <row r="9">
          <cell r="A9" t="str">
            <v xml:space="preserve">   Population</v>
          </cell>
          <cell r="C9" t="str">
            <v>Millions</v>
          </cell>
          <cell r="E9">
            <v>17.600000000000001</v>
          </cell>
          <cell r="F9">
            <v>18.37</v>
          </cell>
          <cell r="G9">
            <v>19.18</v>
          </cell>
          <cell r="H9">
            <v>20.78</v>
          </cell>
          <cell r="I9">
            <v>21.486520000000002</v>
          </cell>
          <cell r="J9">
            <v>22.217061680000004</v>
          </cell>
          <cell r="K9">
            <v>22.972441777120004</v>
          </cell>
          <cell r="M9">
            <v>5.6925294923920289E-2</v>
          </cell>
          <cell r="N9">
            <v>3.400000000000003E-2</v>
          </cell>
        </row>
        <row r="10">
          <cell r="A10" t="str">
            <v xml:space="preserve">   GDP/Capita</v>
          </cell>
          <cell r="C10" t="str">
            <v>$'000/Head</v>
          </cell>
          <cell r="E10">
            <v>7.75</v>
          </cell>
          <cell r="F10">
            <v>7.87</v>
          </cell>
          <cell r="G10">
            <v>7.99</v>
          </cell>
          <cell r="H10">
            <v>10</v>
          </cell>
          <cell r="I10">
            <v>10.15</v>
          </cell>
          <cell r="J10">
            <v>10.15</v>
          </cell>
          <cell r="K10">
            <v>10.15</v>
          </cell>
          <cell r="M10">
            <v>8.8677964177928281E-2</v>
          </cell>
          <cell r="N10">
            <v>4.975206272652466E-3</v>
          </cell>
        </row>
        <row r="11">
          <cell r="A11" t="str">
            <v xml:space="preserve">   Forex Rate (Average)</v>
          </cell>
          <cell r="C11" t="str">
            <v>LCY/$</v>
          </cell>
          <cell r="E11">
            <v>3.7495164410058028</v>
          </cell>
          <cell r="F11">
            <v>3.7403100775193798</v>
          </cell>
          <cell r="G11">
            <v>3.749918487120965</v>
          </cell>
          <cell r="H11">
            <v>3.7503722824381209</v>
          </cell>
          <cell r="I11">
            <v>3.7504000000000004</v>
          </cell>
          <cell r="J11">
            <v>3.7504</v>
          </cell>
          <cell r="K11">
            <v>3.7504</v>
          </cell>
          <cell r="M11">
            <v>7.6078816889424417E-5</v>
          </cell>
          <cell r="N11">
            <v>2.4635326405508806E-6</v>
          </cell>
        </row>
        <row r="12">
          <cell r="A12" t="str">
            <v xml:space="preserve">   Inflation Rate (CPI)</v>
          </cell>
          <cell r="C12" t="str">
            <v>%</v>
          </cell>
          <cell r="E12">
            <v>1.7000000000000001E-2</v>
          </cell>
          <cell r="F12">
            <v>1.7000000000000001E-2</v>
          </cell>
          <cell r="G12">
            <v>1.7000000000000001E-2</v>
          </cell>
          <cell r="H12">
            <v>1.7000000000000001E-2</v>
          </cell>
          <cell r="I12">
            <v>1.7000000000000001E-2</v>
          </cell>
          <cell r="J12">
            <v>1.7000000000000001E-2</v>
          </cell>
          <cell r="K12">
            <v>1.7000000000000001E-2</v>
          </cell>
        </row>
        <row r="13">
          <cell r="A13" t="str">
            <v xml:space="preserve">   Inflation Index</v>
          </cell>
          <cell r="C13" t="str">
            <v xml:space="preserve"> (1994=100)</v>
          </cell>
          <cell r="E13">
            <v>101.69999999999999</v>
          </cell>
          <cell r="F13">
            <v>103.42889999999998</v>
          </cell>
          <cell r="G13">
            <v>105.18719129999998</v>
          </cell>
          <cell r="H13">
            <v>106.97537355209997</v>
          </cell>
          <cell r="I13">
            <v>108.79395490248565</v>
          </cell>
          <cell r="J13">
            <v>110.6434521358279</v>
          </cell>
          <cell r="K13">
            <v>112.52439082213697</v>
          </cell>
        </row>
        <row r="15">
          <cell r="A15" t="str">
            <v>MACRO SNACK MARKET</v>
          </cell>
        </row>
        <row r="16">
          <cell r="A16" t="str">
            <v xml:space="preserve">   Macro Snack Market </v>
          </cell>
          <cell r="C16" t="str">
            <v>$MM</v>
          </cell>
          <cell r="E16">
            <v>0</v>
          </cell>
          <cell r="F16">
            <v>0</v>
          </cell>
          <cell r="G16">
            <v>0</v>
          </cell>
          <cell r="M16" t="str">
            <v xml:space="preserve"> </v>
          </cell>
          <cell r="N16" t="str">
            <v xml:space="preserve"> </v>
          </cell>
        </row>
        <row r="17">
          <cell r="A17" t="str">
            <v xml:space="preserve">     Index</v>
          </cell>
          <cell r="F17" t="str">
            <v xml:space="preserve"> </v>
          </cell>
          <cell r="G17" t="str">
            <v xml:space="preserve"> </v>
          </cell>
          <cell r="H17" t="str">
            <v xml:space="preserve"> </v>
          </cell>
          <cell r="I17" t="str">
            <v xml:space="preserve"> </v>
          </cell>
          <cell r="J17" t="str">
            <v xml:space="preserve"> </v>
          </cell>
          <cell r="K17" t="str">
            <v xml:space="preserve"> </v>
          </cell>
        </row>
        <row r="18">
          <cell r="A18" t="str">
            <v xml:space="preserve">   Salty as % of Macro Snack Market </v>
          </cell>
          <cell r="C18" t="str">
            <v>%</v>
          </cell>
          <cell r="E18" t="str">
            <v xml:space="preserve"> </v>
          </cell>
          <cell r="F18" t="str">
            <v xml:space="preserve"> </v>
          </cell>
          <cell r="G18" t="str">
            <v xml:space="preserve"> </v>
          </cell>
          <cell r="H18" t="str">
            <v xml:space="preserve"> </v>
          </cell>
          <cell r="I18" t="str">
            <v xml:space="preserve"> </v>
          </cell>
          <cell r="J18" t="str">
            <v xml:space="preserve"> </v>
          </cell>
          <cell r="K18" t="str">
            <v xml:space="preserve"> </v>
          </cell>
        </row>
        <row r="19">
          <cell r="A19" t="str">
            <v xml:space="preserve">     Growth</v>
          </cell>
          <cell r="C19" t="str">
            <v>pp</v>
          </cell>
          <cell r="F19" t="str">
            <v xml:space="preserve"> </v>
          </cell>
          <cell r="G19" t="str">
            <v xml:space="preserve"> </v>
          </cell>
          <cell r="H19" t="str">
            <v xml:space="preserve"> </v>
          </cell>
          <cell r="I19" t="str">
            <v xml:space="preserve"> </v>
          </cell>
          <cell r="J19" t="str">
            <v xml:space="preserve"> </v>
          </cell>
          <cell r="K19" t="str">
            <v xml:space="preserve"> </v>
          </cell>
        </row>
        <row r="21">
          <cell r="A21" t="str">
            <v>SALTY MARKET</v>
          </cell>
        </row>
        <row r="22">
          <cell r="A22" t="str">
            <v xml:space="preserve">  Salty per caps consumption</v>
          </cell>
          <cell r="C22" t="str">
            <v>Kg/Head</v>
          </cell>
          <cell r="E22">
            <v>0.85227272727272718</v>
          </cell>
          <cell r="F22">
            <v>0.87098530212302661</v>
          </cell>
          <cell r="G22">
            <v>0.86027111574556836</v>
          </cell>
          <cell r="H22">
            <v>0.84215591915303167</v>
          </cell>
          <cell r="I22">
            <v>0.87962126952154174</v>
          </cell>
          <cell r="J22">
            <v>0.9362174125268935</v>
          </cell>
          <cell r="K22">
            <v>0.97943441181814006</v>
          </cell>
          <cell r="M22">
            <v>-3.972556371475533E-3</v>
          </cell>
          <cell r="N22">
            <v>5.1625118958309457E-2</v>
          </cell>
        </row>
        <row r="23">
          <cell r="A23" t="str">
            <v xml:space="preserve">      Western</v>
          </cell>
          <cell r="C23" t="str">
            <v>Kg/Head</v>
          </cell>
          <cell r="E23">
            <v>0.625</v>
          </cell>
          <cell r="F23">
            <v>0.62602068590092541</v>
          </cell>
          <cell r="G23">
            <v>0.57351407716371217</v>
          </cell>
          <cell r="H23">
            <v>0.61116458132820017</v>
          </cell>
          <cell r="I23">
            <v>0.66087947233893607</v>
          </cell>
          <cell r="J23">
            <v>0.69766201414263695</v>
          </cell>
          <cell r="K23">
            <v>0.73566406932118067</v>
          </cell>
          <cell r="M23">
            <v>-7.4340176303734351E-3</v>
          </cell>
          <cell r="N23">
            <v>6.3752162070324081E-2</v>
          </cell>
        </row>
        <row r="24">
          <cell r="A24" t="str">
            <v xml:space="preserve">      Traditional (e.g. Prawn Crackers, Banana Sn. ...)</v>
          </cell>
          <cell r="C24" t="str">
            <v>Kg/Head</v>
          </cell>
          <cell r="E24">
            <v>0.22727272727272727</v>
          </cell>
          <cell r="F24">
            <v>0.24496461622210125</v>
          </cell>
          <cell r="G24">
            <v>0.28675703858185608</v>
          </cell>
          <cell r="H24">
            <v>0.23099133782483156</v>
          </cell>
          <cell r="I24">
            <v>0.21874179718260564</v>
          </cell>
          <cell r="J24">
            <v>0.23855539838425649</v>
          </cell>
          <cell r="K24">
            <v>0.24377034249695931</v>
          </cell>
          <cell r="M24">
            <v>5.4244839121799782E-3</v>
          </cell>
          <cell r="N24">
            <v>1.8110831343710387E-2</v>
          </cell>
        </row>
        <row r="26">
          <cell r="A26" t="str">
            <v xml:space="preserve">  Salty Volume Market Size</v>
          </cell>
        </row>
        <row r="27">
          <cell r="A27" t="str">
            <v xml:space="preserve">      Potato Chips</v>
          </cell>
          <cell r="C27" t="str">
            <v>MTons</v>
          </cell>
          <cell r="E27">
            <v>7</v>
          </cell>
          <cell r="F27">
            <v>7.5</v>
          </cell>
          <cell r="G27">
            <v>7</v>
          </cell>
          <cell r="H27">
            <v>8.5</v>
          </cell>
          <cell r="I27">
            <v>9.5</v>
          </cell>
          <cell r="J27">
            <v>11</v>
          </cell>
          <cell r="K27">
            <v>12.3</v>
          </cell>
          <cell r="M27">
            <v>6.6858844342181811E-2</v>
          </cell>
          <cell r="N27">
            <v>0.13108539654380236</v>
          </cell>
        </row>
        <row r="28">
          <cell r="A28" t="str">
            <v xml:space="preserve">      Tortilla Chips</v>
          </cell>
          <cell r="C28" t="str">
            <v>MTons</v>
          </cell>
          <cell r="E28">
            <v>0</v>
          </cell>
          <cell r="F28">
            <v>0</v>
          </cell>
          <cell r="G28">
            <v>0</v>
          </cell>
          <cell r="M28" t="str">
            <v xml:space="preserve"> </v>
          </cell>
          <cell r="N28" t="str">
            <v xml:space="preserve"> </v>
          </cell>
        </row>
        <row r="29">
          <cell r="A29" t="str">
            <v xml:space="preserve">      Extruded</v>
          </cell>
          <cell r="C29" t="str">
            <v>MTons</v>
          </cell>
          <cell r="E29">
            <v>4</v>
          </cell>
          <cell r="F29">
            <v>4</v>
          </cell>
          <cell r="G29">
            <v>4</v>
          </cell>
          <cell r="H29">
            <v>4.2</v>
          </cell>
          <cell r="I29">
            <v>4.7</v>
          </cell>
          <cell r="J29">
            <v>4.5</v>
          </cell>
          <cell r="K29">
            <v>4.5999999999999996</v>
          </cell>
          <cell r="M29">
            <v>1.6396356814853519E-2</v>
          </cell>
          <cell r="N29">
            <v>3.0788379107201225E-2</v>
          </cell>
        </row>
        <row r="30">
          <cell r="A30" t="str">
            <v xml:space="preserve">      Other Salty (Western)</v>
          </cell>
          <cell r="C30" t="str">
            <v>MTons</v>
          </cell>
          <cell r="E30">
            <v>0</v>
          </cell>
          <cell r="F30">
            <v>0</v>
          </cell>
          <cell r="G30">
            <v>0</v>
          </cell>
          <cell r="M30" t="str">
            <v xml:space="preserve"> </v>
          </cell>
          <cell r="N30" t="str">
            <v xml:space="preserve"> </v>
          </cell>
        </row>
        <row r="31">
          <cell r="A31" t="str">
            <v xml:space="preserve">      Other Salty (Traditional) (e.g. Prawn Crackers...)</v>
          </cell>
          <cell r="C31" t="str">
            <v>MTons</v>
          </cell>
          <cell r="E31">
            <v>4</v>
          </cell>
          <cell r="F31">
            <v>4.5</v>
          </cell>
          <cell r="G31">
            <v>5.5</v>
          </cell>
          <cell r="H31">
            <v>4.8</v>
          </cell>
          <cell r="I31">
            <v>4.7</v>
          </cell>
          <cell r="J31">
            <v>5.3</v>
          </cell>
          <cell r="K31">
            <v>5.6</v>
          </cell>
          <cell r="M31">
            <v>6.2658569182611146E-2</v>
          </cell>
          <cell r="N31">
            <v>5.2726599609396629E-2</v>
          </cell>
        </row>
        <row r="32">
          <cell r="A32" t="str">
            <v xml:space="preserve">  Total Salty</v>
          </cell>
          <cell r="C32" t="str">
            <v>MTons</v>
          </cell>
          <cell r="E32">
            <v>15</v>
          </cell>
          <cell r="F32">
            <v>16</v>
          </cell>
          <cell r="G32">
            <v>16.5</v>
          </cell>
          <cell r="H32">
            <v>17.5</v>
          </cell>
          <cell r="I32">
            <v>18.899999999999999</v>
          </cell>
          <cell r="J32">
            <v>20.8</v>
          </cell>
          <cell r="K32">
            <v>22.5</v>
          </cell>
          <cell r="M32">
            <v>5.2726599609396629E-2</v>
          </cell>
          <cell r="N32">
            <v>8.7380373002892142E-2</v>
          </cell>
        </row>
        <row r="34">
          <cell r="A34" t="str">
            <v xml:space="preserve">  FLI Volume Share of Segment (at Retail per Nielsen/IRI)</v>
          </cell>
        </row>
        <row r="35">
          <cell r="A35" t="str">
            <v xml:space="preserve">          If Nielsen/IRI not available, use local source</v>
          </cell>
        </row>
        <row r="36">
          <cell r="A36" t="str">
            <v xml:space="preserve">      Lays/Flat PC</v>
          </cell>
          <cell r="C36" t="str">
            <v>% of PC</v>
          </cell>
          <cell r="E36">
            <v>6.5000000000000002E-2</v>
          </cell>
          <cell r="F36">
            <v>0.23300000000000001</v>
          </cell>
          <cell r="G36">
            <v>0.23100000000000001</v>
          </cell>
          <cell r="H36">
            <v>0.25</v>
          </cell>
          <cell r="I36">
            <v>0.3</v>
          </cell>
          <cell r="J36">
            <v>0.31</v>
          </cell>
          <cell r="K36">
            <v>0.33</v>
          </cell>
          <cell r="M36">
            <v>18.5</v>
          </cell>
          <cell r="N36">
            <v>8.0000000000000018</v>
          </cell>
        </row>
        <row r="37">
          <cell r="A37" t="str">
            <v xml:space="preserve">      Ruffles/Ridged PC</v>
          </cell>
          <cell r="C37" t="str">
            <v>% of PC</v>
          </cell>
          <cell r="I37">
            <v>0.02</v>
          </cell>
          <cell r="J37">
            <v>0.04</v>
          </cell>
          <cell r="K37">
            <v>7.0000000000000007E-2</v>
          </cell>
          <cell r="M37">
            <v>0</v>
          </cell>
          <cell r="N37">
            <v>0</v>
          </cell>
        </row>
        <row r="38">
          <cell r="A38" t="str">
            <v xml:space="preserve">      PC Total</v>
          </cell>
          <cell r="C38" t="str">
            <v>% of PC</v>
          </cell>
          <cell r="E38">
            <v>0.47</v>
          </cell>
          <cell r="F38">
            <v>0.47</v>
          </cell>
          <cell r="G38">
            <v>0.42</v>
          </cell>
          <cell r="H38">
            <v>0.49</v>
          </cell>
          <cell r="I38">
            <v>0.5</v>
          </cell>
          <cell r="J38">
            <v>0.52</v>
          </cell>
          <cell r="K38">
            <v>0.55000000000000004</v>
          </cell>
          <cell r="M38">
            <v>2.0000000000000018</v>
          </cell>
          <cell r="N38">
            <v>6.0000000000000053</v>
          </cell>
        </row>
        <row r="39">
          <cell r="A39" t="str">
            <v xml:space="preserve">      Doritos</v>
          </cell>
          <cell r="C39" t="str">
            <v>% of TC</v>
          </cell>
          <cell r="M39">
            <v>0</v>
          </cell>
          <cell r="N39">
            <v>0</v>
          </cell>
        </row>
        <row r="40">
          <cell r="A40" t="str">
            <v xml:space="preserve">      TC Total</v>
          </cell>
          <cell r="C40" t="str">
            <v>% of TC</v>
          </cell>
          <cell r="M40">
            <v>0</v>
          </cell>
          <cell r="N40">
            <v>0</v>
          </cell>
        </row>
        <row r="41">
          <cell r="A41" t="str">
            <v xml:space="preserve">      Cheetos</v>
          </cell>
          <cell r="C41" t="str">
            <v>% of Extruded</v>
          </cell>
          <cell r="E41">
            <v>0</v>
          </cell>
          <cell r="F41">
            <v>4.8000000000000001E-2</v>
          </cell>
          <cell r="G41">
            <v>6.9000000000000006E-2</v>
          </cell>
          <cell r="H41">
            <v>5.8999999999999997E-2</v>
          </cell>
          <cell r="I41">
            <v>0.08</v>
          </cell>
          <cell r="J41">
            <v>0.1</v>
          </cell>
          <cell r="K41">
            <v>0.15</v>
          </cell>
          <cell r="M41">
            <v>5.8999999999999995</v>
          </cell>
          <cell r="N41">
            <v>9.1</v>
          </cell>
        </row>
        <row r="42">
          <cell r="A42" t="str">
            <v xml:space="preserve">      Extruded Total</v>
          </cell>
          <cell r="C42" t="str">
            <v>% of Extruded</v>
          </cell>
          <cell r="E42">
            <v>0.27</v>
          </cell>
          <cell r="F42">
            <v>0.26</v>
          </cell>
          <cell r="G42">
            <v>0.26</v>
          </cell>
          <cell r="H42">
            <v>0.24</v>
          </cell>
          <cell r="I42">
            <v>0.25</v>
          </cell>
          <cell r="J42">
            <v>0.22</v>
          </cell>
          <cell r="K42">
            <v>0.2</v>
          </cell>
          <cell r="M42">
            <v>-3.0000000000000027</v>
          </cell>
          <cell r="N42">
            <v>-3.9999999999999982</v>
          </cell>
        </row>
        <row r="43">
          <cell r="A43" t="str">
            <v xml:space="preserve">      Traditional (e.g. Prawn Crackers, Banana Sn. ...)</v>
          </cell>
          <cell r="C43" t="str">
            <v>% of O. Salty (Trad'l)</v>
          </cell>
          <cell r="E43">
            <v>0.26</v>
          </cell>
          <cell r="F43">
            <v>0.27</v>
          </cell>
          <cell r="G43">
            <v>0.32</v>
          </cell>
          <cell r="H43">
            <v>0.27</v>
          </cell>
          <cell r="I43">
            <v>0.25</v>
          </cell>
          <cell r="J43">
            <v>0.26</v>
          </cell>
          <cell r="K43">
            <v>0.25</v>
          </cell>
          <cell r="M43">
            <v>1.0000000000000009</v>
          </cell>
          <cell r="N43">
            <v>-2.0000000000000018</v>
          </cell>
        </row>
        <row r="44">
          <cell r="A44" t="str">
            <v xml:space="preserve">  Total Salty</v>
          </cell>
          <cell r="C44" t="str">
            <v>% of Total</v>
          </cell>
          <cell r="M44">
            <v>0</v>
          </cell>
          <cell r="N44">
            <v>0</v>
          </cell>
        </row>
        <row r="45">
          <cell r="A45" t="str">
            <v xml:space="preserve">  Implied Total Salty from P&amp;L</v>
          </cell>
          <cell r="C45" t="str">
            <v>% of Total</v>
          </cell>
          <cell r="E45">
            <v>0.12593333333333334</v>
          </cell>
          <cell r="F45">
            <v>0.23075000000000001</v>
          </cell>
          <cell r="G45">
            <v>0.20230303030303029</v>
          </cell>
          <cell r="H45">
            <v>0.16611428571428571</v>
          </cell>
          <cell r="I45">
            <v>0.19523809523809524</v>
          </cell>
          <cell r="J45">
            <v>0.21057692307692308</v>
          </cell>
          <cell r="K45">
            <v>0.2252888888888889</v>
          </cell>
        </row>
        <row r="47">
          <cell r="A47" t="str">
            <v xml:space="preserve">  Salty Value Market Size (@ Retail per Nielsen/IRI)</v>
          </cell>
        </row>
        <row r="48">
          <cell r="A48" t="str">
            <v xml:space="preserve">          If Nielsen/IRI not available, use local source</v>
          </cell>
        </row>
        <row r="49">
          <cell r="A49" t="str">
            <v xml:space="preserve">      Potato Chips</v>
          </cell>
          <cell r="C49" t="str">
            <v>$MM</v>
          </cell>
          <cell r="E49">
            <v>40</v>
          </cell>
          <cell r="F49">
            <v>43</v>
          </cell>
          <cell r="G49">
            <v>41</v>
          </cell>
          <cell r="H49">
            <v>52</v>
          </cell>
          <cell r="I49">
            <v>61</v>
          </cell>
          <cell r="J49">
            <v>71</v>
          </cell>
          <cell r="K49">
            <v>79</v>
          </cell>
          <cell r="M49">
            <v>9.1392883061105934E-2</v>
          </cell>
          <cell r="N49">
            <v>0.14958542566957855</v>
          </cell>
        </row>
        <row r="50">
          <cell r="A50" t="str">
            <v xml:space="preserve">      Tortilla Chips</v>
          </cell>
          <cell r="C50" t="str">
            <v>$MM</v>
          </cell>
          <cell r="E50">
            <v>0</v>
          </cell>
          <cell r="F50">
            <v>0</v>
          </cell>
          <cell r="G50">
            <v>0</v>
          </cell>
          <cell r="M50" t="str">
            <v xml:space="preserve"> </v>
          </cell>
          <cell r="N50" t="str">
            <v xml:space="preserve"> </v>
          </cell>
        </row>
        <row r="51">
          <cell r="A51" t="str">
            <v xml:space="preserve">      Extruded</v>
          </cell>
          <cell r="C51" t="str">
            <v>$MM</v>
          </cell>
          <cell r="E51">
            <v>11</v>
          </cell>
          <cell r="F51">
            <v>11</v>
          </cell>
          <cell r="G51">
            <v>11</v>
          </cell>
          <cell r="H51">
            <v>11.4</v>
          </cell>
          <cell r="I51">
            <v>13</v>
          </cell>
          <cell r="J51">
            <v>12</v>
          </cell>
          <cell r="K51">
            <v>12</v>
          </cell>
          <cell r="M51">
            <v>1.197718640592571E-2</v>
          </cell>
          <cell r="N51">
            <v>1.724476819110099E-2</v>
          </cell>
        </row>
        <row r="52">
          <cell r="A52" t="str">
            <v xml:space="preserve">      Other Salty (Western)</v>
          </cell>
          <cell r="C52" t="str">
            <v>$MM</v>
          </cell>
          <cell r="E52">
            <v>0</v>
          </cell>
          <cell r="F52">
            <v>0</v>
          </cell>
          <cell r="G52">
            <v>0</v>
          </cell>
          <cell r="M52" t="str">
            <v xml:space="preserve"> </v>
          </cell>
          <cell r="N52" t="str">
            <v xml:space="preserve"> </v>
          </cell>
        </row>
        <row r="53">
          <cell r="A53" t="str">
            <v xml:space="preserve">      Other Salty (Traditional) (e.g. Prawn Crackers...)</v>
          </cell>
          <cell r="C53" t="str">
            <v>$MM</v>
          </cell>
          <cell r="E53">
            <v>17</v>
          </cell>
          <cell r="F53">
            <v>19</v>
          </cell>
          <cell r="G53">
            <v>23</v>
          </cell>
          <cell r="H53">
            <v>20</v>
          </cell>
          <cell r="I53">
            <v>21</v>
          </cell>
          <cell r="J53">
            <v>23</v>
          </cell>
          <cell r="K53">
            <v>25</v>
          </cell>
          <cell r="M53">
            <v>5.5667191978000741E-2</v>
          </cell>
          <cell r="N53">
            <v>7.7217345015941907E-2</v>
          </cell>
        </row>
        <row r="54">
          <cell r="A54" t="str">
            <v xml:space="preserve">  Total Salty</v>
          </cell>
          <cell r="C54" t="str">
            <v>$MM</v>
          </cell>
          <cell r="E54">
            <v>68</v>
          </cell>
          <cell r="F54">
            <v>73</v>
          </cell>
          <cell r="G54">
            <v>75</v>
          </cell>
          <cell r="H54">
            <v>83.4</v>
          </cell>
          <cell r="I54">
            <v>95</v>
          </cell>
          <cell r="J54">
            <v>106</v>
          </cell>
          <cell r="K54">
            <v>116</v>
          </cell>
          <cell r="M54">
            <v>7.041547560294914E-2</v>
          </cell>
          <cell r="N54">
            <v>0.11625644528925005</v>
          </cell>
        </row>
        <row r="56">
          <cell r="A56" t="str">
            <v xml:space="preserve">  FLI Value Share of Segment (@ Retail per Nielsen/IRI)</v>
          </cell>
        </row>
        <row r="57">
          <cell r="A57" t="str">
            <v xml:space="preserve">          If Nielsen/IRI not available, use local source</v>
          </cell>
        </row>
        <row r="58">
          <cell r="A58" t="str">
            <v xml:space="preserve">      Lays/Flat PC</v>
          </cell>
          <cell r="C58" t="str">
            <v>% of PC</v>
          </cell>
          <cell r="E58">
            <v>0</v>
          </cell>
          <cell r="F58">
            <v>0</v>
          </cell>
          <cell r="G58">
            <v>0</v>
          </cell>
          <cell r="M58">
            <v>0</v>
          </cell>
          <cell r="N58">
            <v>0</v>
          </cell>
        </row>
        <row r="59">
          <cell r="A59" t="str">
            <v xml:space="preserve">      Ruffles/Ridged PC</v>
          </cell>
          <cell r="C59" t="str">
            <v>% of PC</v>
          </cell>
          <cell r="E59">
            <v>0</v>
          </cell>
          <cell r="F59">
            <v>0</v>
          </cell>
          <cell r="G59">
            <v>0</v>
          </cell>
          <cell r="M59">
            <v>0</v>
          </cell>
          <cell r="N59">
            <v>0</v>
          </cell>
        </row>
        <row r="60">
          <cell r="A60" t="str">
            <v xml:space="preserve">      PC Total</v>
          </cell>
          <cell r="C60" t="str">
            <v>% of PC</v>
          </cell>
          <cell r="E60">
            <v>0.17</v>
          </cell>
          <cell r="F60">
            <v>0.28000000000000003</v>
          </cell>
          <cell r="G60">
            <v>0.28999999999999998</v>
          </cell>
          <cell r="M60">
            <v>0</v>
          </cell>
          <cell r="N60">
            <v>0</v>
          </cell>
        </row>
        <row r="61">
          <cell r="A61" t="str">
            <v xml:space="preserve">      Doritos</v>
          </cell>
          <cell r="C61" t="str">
            <v>% of TC</v>
          </cell>
          <cell r="E61">
            <v>0</v>
          </cell>
          <cell r="F61">
            <v>0</v>
          </cell>
          <cell r="G61">
            <v>0</v>
          </cell>
          <cell r="M61">
            <v>0</v>
          </cell>
          <cell r="N61">
            <v>0</v>
          </cell>
        </row>
        <row r="62">
          <cell r="A62" t="str">
            <v xml:space="preserve">      TC Total</v>
          </cell>
          <cell r="C62" t="str">
            <v>% of TC</v>
          </cell>
          <cell r="E62">
            <v>0</v>
          </cell>
          <cell r="F62">
            <v>0</v>
          </cell>
          <cell r="G62">
            <v>0</v>
          </cell>
          <cell r="M62">
            <v>0</v>
          </cell>
          <cell r="N62">
            <v>0</v>
          </cell>
        </row>
        <row r="63">
          <cell r="A63" t="str">
            <v xml:space="preserve">      Cheetos</v>
          </cell>
          <cell r="C63" t="str">
            <v>% of Extruded</v>
          </cell>
          <cell r="E63">
            <v>0</v>
          </cell>
          <cell r="F63">
            <v>0</v>
          </cell>
          <cell r="G63">
            <v>0</v>
          </cell>
          <cell r="M63">
            <v>0</v>
          </cell>
          <cell r="N63">
            <v>0</v>
          </cell>
        </row>
        <row r="64">
          <cell r="A64" t="str">
            <v xml:space="preserve">      Extruded Total</v>
          </cell>
          <cell r="C64" t="str">
            <v>% of Extruded</v>
          </cell>
          <cell r="E64">
            <v>0.03</v>
          </cell>
          <cell r="F64">
            <v>7.0000000000000007E-2</v>
          </cell>
          <cell r="G64">
            <v>0.12</v>
          </cell>
          <cell r="M64">
            <v>0</v>
          </cell>
          <cell r="N64">
            <v>0</v>
          </cell>
        </row>
        <row r="65">
          <cell r="A65" t="str">
            <v xml:space="preserve">      Traditional (e.g. Prawn Crackers, Banana Sn. ...)</v>
          </cell>
          <cell r="C65" t="str">
            <v>% of O. Salty (Trad'l)</v>
          </cell>
          <cell r="E65">
            <v>0</v>
          </cell>
          <cell r="F65">
            <v>0</v>
          </cell>
          <cell r="G65">
            <v>0</v>
          </cell>
          <cell r="M65">
            <v>0</v>
          </cell>
          <cell r="N65">
            <v>0</v>
          </cell>
        </row>
        <row r="66">
          <cell r="A66" t="str">
            <v xml:space="preserve">  Total Salty</v>
          </cell>
          <cell r="C66" t="str">
            <v>% of Total</v>
          </cell>
          <cell r="E66">
            <v>0.1</v>
          </cell>
          <cell r="F66">
            <v>0.17</v>
          </cell>
          <cell r="G66">
            <v>0.2</v>
          </cell>
          <cell r="M66">
            <v>0</v>
          </cell>
          <cell r="N6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3">
          <cell r="A3" t="str">
            <v>Saudi Arabia -  Market Trends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3">
          <cell r="A3" t="str">
            <v>Saudi Arabia -  Market Trends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Market Trends"/>
      <sheetName val="Print Options"/>
      <sheetName val="Index"/>
      <sheetName val="Salty Market Trends"/>
      <sheetName val="Pringles"/>
      <sheetName val="Volume Build-up"/>
      <sheetName val="P&amp;L LC"/>
      <sheetName val="P&amp;L $"/>
      <sheetName val="AOP 2000 by Quarter"/>
      <sheetName val="P&amp;L Channel"/>
      <sheetName val="P&amp;L Category"/>
      <sheetName val="OCF $"/>
      <sheetName val="Balance Sheet $"/>
      <sheetName val="Capex Projects"/>
      <sheetName val="G&amp;A Breakdown"/>
      <sheetName val="A&amp;M"/>
      <sheetName val="Purchasing"/>
      <sheetName val="Innovation"/>
      <sheetName val="Virtuous Circle"/>
      <sheetName val="Module1"/>
      <sheetName val="Module2"/>
      <sheetName val="Module3"/>
      <sheetName val="Sab"/>
      <sheetName val="TRIAL_BAL"/>
      <sheetName val="Macro_Market_Trends"/>
      <sheetName val="Print_Options"/>
      <sheetName val="Salty_Market_Trends"/>
      <sheetName val="Volume_Build-up"/>
      <sheetName val="P&amp;L_LC"/>
      <sheetName val="P&amp;L_$"/>
      <sheetName val="AOP_2000_by_Quarter"/>
      <sheetName val="P&amp;L_Channel"/>
      <sheetName val="P&amp;L_Category"/>
      <sheetName val="OCF_$"/>
      <sheetName val="Balance_Sheet_$"/>
      <sheetName val="Capex_Projects"/>
      <sheetName val="G&amp;A_Breakdown"/>
      <sheetName val="Virtuous_Circle"/>
      <sheetName val="Macro_Market_Trends1"/>
      <sheetName val="Print_Options1"/>
      <sheetName val="Salty_Market_Trends1"/>
      <sheetName val="Volume_Build-up1"/>
      <sheetName val="P&amp;L_LC1"/>
      <sheetName val="P&amp;L_$1"/>
      <sheetName val="AOP_2000_by_Quarter1"/>
      <sheetName val="P&amp;L_Channel1"/>
      <sheetName val="P&amp;L_Category1"/>
      <sheetName val="OCF_$1"/>
      <sheetName val="Balance_Sheet_$1"/>
      <sheetName val="Capex_Projects1"/>
      <sheetName val="G&amp;A_Breakdown1"/>
      <sheetName val="Virtuous_Circle1"/>
      <sheetName val="Macro_Market_Trends2"/>
      <sheetName val="Print_Options2"/>
      <sheetName val="Salty_Market_Trends2"/>
      <sheetName val="Volume_Build-up2"/>
      <sheetName val="P&amp;L_LC2"/>
      <sheetName val="P&amp;L_$2"/>
      <sheetName val="AOP_2000_by_Quarter2"/>
      <sheetName val="P&amp;L_Channel2"/>
      <sheetName val="P&amp;L_Category2"/>
      <sheetName val="OCF_$2"/>
      <sheetName val="Balance_Sheet_$2"/>
      <sheetName val="Capex_Projects2"/>
      <sheetName val="G&amp;A_Breakdown2"/>
      <sheetName val="Virtuous_Circle2"/>
    </sheetNames>
    <sheetDataSet>
      <sheetData sheetId="0" refreshError="1">
        <row r="3">
          <cell r="A3" t="str">
            <v>Sabritas -  Macro Snacks Market Trends</v>
          </cell>
        </row>
        <row r="5">
          <cell r="E5" t="str">
            <v>History</v>
          </cell>
          <cell r="H5" t="str">
            <v>Current</v>
          </cell>
          <cell r="I5" t="str">
            <v>AOP</v>
          </cell>
          <cell r="M5" t="str">
            <v>CAGR</v>
          </cell>
        </row>
        <row r="6">
          <cell r="C6" t="str">
            <v>Units</v>
          </cell>
          <cell r="E6">
            <v>1997</v>
          </cell>
          <cell r="F6">
            <v>1998</v>
          </cell>
          <cell r="G6">
            <v>1999</v>
          </cell>
          <cell r="H6">
            <v>2000</v>
          </cell>
          <cell r="I6">
            <v>2001</v>
          </cell>
          <cell r="J6">
            <v>2002</v>
          </cell>
          <cell r="K6">
            <v>2003</v>
          </cell>
          <cell r="M6" t="str">
            <v>97-00</v>
          </cell>
          <cell r="N6" t="str">
            <v>00-03</v>
          </cell>
        </row>
        <row r="8">
          <cell r="A8" t="str">
            <v>MACROS</v>
          </cell>
        </row>
        <row r="9">
          <cell r="A9" t="str">
            <v xml:space="preserve">   Population</v>
          </cell>
          <cell r="C9" t="str">
            <v>Millions</v>
          </cell>
          <cell r="E9">
            <v>92.42</v>
          </cell>
          <cell r="F9">
            <v>94.08</v>
          </cell>
          <cell r="G9">
            <v>95.77</v>
          </cell>
          <cell r="H9">
            <v>97.5</v>
          </cell>
          <cell r="I9">
            <v>99.25</v>
          </cell>
          <cell r="J9">
            <v>101.04</v>
          </cell>
          <cell r="K9">
            <v>102.86</v>
          </cell>
          <cell r="M9">
            <v>1.7996341374530544E-2</v>
          </cell>
          <cell r="N9">
            <v>1.7998882901019364E-2</v>
          </cell>
        </row>
        <row r="10">
          <cell r="A10" t="str">
            <v xml:space="preserve">   Unemployment Rate</v>
          </cell>
          <cell r="C10" t="str">
            <v>%</v>
          </cell>
          <cell r="E10">
            <v>3.6999999999999998E-2</v>
          </cell>
          <cell r="F10">
            <v>3.2000000000000001E-2</v>
          </cell>
          <cell r="G10">
            <v>2.5000000000000001E-2</v>
          </cell>
          <cell r="H10">
            <v>2.4E-2</v>
          </cell>
          <cell r="I10">
            <v>2.5000000000000001E-2</v>
          </cell>
          <cell r="J10">
            <v>2.7E-2</v>
          </cell>
          <cell r="K10">
            <v>2.4E-2</v>
          </cell>
          <cell r="M10">
            <v>-1.2999999999999998</v>
          </cell>
          <cell r="N10">
            <v>0</v>
          </cell>
        </row>
        <row r="11">
          <cell r="A11" t="str">
            <v xml:space="preserve">   $LC GDP Growth</v>
          </cell>
          <cell r="C11" t="str">
            <v>%</v>
          </cell>
          <cell r="E11">
            <v>6.8000000000000005E-2</v>
          </cell>
          <cell r="F11">
            <v>4.9000000000000002E-2</v>
          </cell>
          <cell r="G11">
            <v>3.6999999999999998E-2</v>
          </cell>
          <cell r="H11">
            <v>5.6000000000000001E-2</v>
          </cell>
          <cell r="I11">
            <v>4.3999999999999997E-2</v>
          </cell>
          <cell r="J11">
            <v>4.9000000000000002E-2</v>
          </cell>
          <cell r="K11">
            <v>5.0999999999999997E-2</v>
          </cell>
          <cell r="M11">
            <v>-1.2000000000000004</v>
          </cell>
          <cell r="N11">
            <v>-0.50000000000000044</v>
          </cell>
        </row>
        <row r="12">
          <cell r="A12" t="str">
            <v xml:space="preserve">   GDP/Capita</v>
          </cell>
          <cell r="C12" t="str">
            <v>$'000/Head</v>
          </cell>
          <cell r="E12">
            <v>4.21</v>
          </cell>
          <cell r="F12">
            <v>4.3099999999999996</v>
          </cell>
          <cell r="G12">
            <v>4.8600000000000003</v>
          </cell>
          <cell r="H12">
            <v>5.42</v>
          </cell>
          <cell r="I12">
            <v>5.72</v>
          </cell>
          <cell r="J12">
            <v>5.77</v>
          </cell>
          <cell r="K12">
            <v>6.16</v>
          </cell>
          <cell r="M12">
            <v>8.7858468550337854E-2</v>
          </cell>
          <cell r="N12">
            <v>4.3583350974131685E-2</v>
          </cell>
        </row>
        <row r="14">
          <cell r="A14" t="str">
            <v xml:space="preserve">   Market Wage Rate Inflation</v>
          </cell>
          <cell r="C14" t="str">
            <v>%</v>
          </cell>
          <cell r="E14">
            <v>0.185</v>
          </cell>
          <cell r="F14">
            <v>0.156</v>
          </cell>
          <cell r="G14">
            <v>0.126</v>
          </cell>
          <cell r="H14">
            <v>0.1</v>
          </cell>
          <cell r="I14">
            <v>0.08</v>
          </cell>
          <cell r="J14">
            <v>7.6999999999999999E-2</v>
          </cell>
          <cell r="K14">
            <v>6.7000000000000004E-2</v>
          </cell>
          <cell r="M14">
            <v>-8.5</v>
          </cell>
          <cell r="N14">
            <v>-3.3000000000000003</v>
          </cell>
        </row>
        <row r="15">
          <cell r="A15" t="str">
            <v xml:space="preserve">  FL-Sabritas Wage Rate Inflation</v>
          </cell>
          <cell r="C15" t="str">
            <v>%</v>
          </cell>
          <cell r="E15">
            <v>0.26</v>
          </cell>
          <cell r="F15">
            <v>0.158</v>
          </cell>
          <cell r="G15">
            <v>0.152</v>
          </cell>
          <cell r="H15">
            <v>0.14000000000000001</v>
          </cell>
          <cell r="I15">
            <v>0.112</v>
          </cell>
          <cell r="J15">
            <v>9.4E-2</v>
          </cell>
          <cell r="K15">
            <v>7.8E-2</v>
          </cell>
          <cell r="M15">
            <v>-12</v>
          </cell>
          <cell r="N15">
            <v>-6.2000000000000011</v>
          </cell>
        </row>
        <row r="16">
          <cell r="A16" t="str">
            <v xml:space="preserve">  FL-Sabritas vs. Market Inflation Index</v>
          </cell>
          <cell r="C16">
            <v>100</v>
          </cell>
          <cell r="E16">
            <v>1.4054054054054055</v>
          </cell>
          <cell r="F16">
            <v>1.0128205128205128</v>
          </cell>
          <cell r="G16">
            <v>1.2063492063492063</v>
          </cell>
          <cell r="H16">
            <v>1.4000000000000001</v>
          </cell>
          <cell r="I16">
            <v>1.4</v>
          </cell>
          <cell r="J16">
            <v>1.2207792207792207</v>
          </cell>
          <cell r="K16">
            <v>1.164179104477612</v>
          </cell>
        </row>
        <row r="18">
          <cell r="A18" t="str">
            <v xml:space="preserve">   Forex Rate (Average)</v>
          </cell>
          <cell r="C18" t="str">
            <v>LCY/$</v>
          </cell>
          <cell r="E18">
            <v>7.93</v>
          </cell>
          <cell r="F18">
            <v>9.15</v>
          </cell>
          <cell r="G18">
            <v>9.56</v>
          </cell>
          <cell r="H18">
            <v>9.5</v>
          </cell>
          <cell r="I18">
            <v>10.112299999999999</v>
          </cell>
          <cell r="J18">
            <v>10.9718</v>
          </cell>
          <cell r="K18">
            <v>11.904400000000001</v>
          </cell>
          <cell r="M18">
            <v>6.2062657901508445E-2</v>
          </cell>
          <cell r="N18">
            <v>7.8105600162386102E-2</v>
          </cell>
        </row>
        <row r="19">
          <cell r="A19" t="str">
            <v xml:space="preserve">   Devaluation (Average)</v>
          </cell>
          <cell r="C19" t="str">
            <v>%</v>
          </cell>
          <cell r="F19">
            <v>0.15384615384615397</v>
          </cell>
          <cell r="G19">
            <v>4.4808743169398868E-2</v>
          </cell>
          <cell r="H19">
            <v>-6.2761506276151069E-3</v>
          </cell>
          <cell r="I19">
            <v>6.4452631578947317E-2</v>
          </cell>
          <cell r="J19">
            <v>8.4995500529058798E-2</v>
          </cell>
          <cell r="K19">
            <v>8.4999726571756806E-2</v>
          </cell>
          <cell r="M19">
            <v>-0.62761506276151069</v>
          </cell>
          <cell r="N19">
            <v>9.1275877199371909</v>
          </cell>
        </row>
        <row r="20">
          <cell r="A20" t="str">
            <v xml:space="preserve">   Forex Rate (Year-End)</v>
          </cell>
          <cell r="C20" t="str">
            <v>LCY/$</v>
          </cell>
          <cell r="E20">
            <v>8.06</v>
          </cell>
          <cell r="F20">
            <v>9.9</v>
          </cell>
          <cell r="G20">
            <v>9.5</v>
          </cell>
          <cell r="H20">
            <v>9.5066000000000006</v>
          </cell>
          <cell r="I20">
            <v>10.2125</v>
          </cell>
          <cell r="J20">
            <v>10.740399999999999</v>
          </cell>
          <cell r="K20">
            <v>11.2301</v>
          </cell>
          <cell r="M20">
            <v>5.6566231768412356E-2</v>
          </cell>
          <cell r="N20">
            <v>5.7108262967937584E-2</v>
          </cell>
        </row>
        <row r="21">
          <cell r="A21" t="str">
            <v xml:space="preserve">   Inflation Rate (CPI)</v>
          </cell>
          <cell r="C21" t="str">
            <v>%</v>
          </cell>
          <cell r="E21">
            <v>0.157</v>
          </cell>
          <cell r="F21">
            <v>0.186</v>
          </cell>
          <cell r="G21">
            <v>0.123</v>
          </cell>
          <cell r="H21">
            <v>0.09</v>
          </cell>
          <cell r="I21">
            <v>8.5000000000000006E-2</v>
          </cell>
          <cell r="J21">
            <v>7.0000000000000007E-2</v>
          </cell>
          <cell r="K21">
            <v>0.05</v>
          </cell>
          <cell r="M21">
            <v>-6.7</v>
          </cell>
          <cell r="N21">
            <v>-3.9999999999999996</v>
          </cell>
        </row>
        <row r="22">
          <cell r="A22" t="str">
            <v xml:space="preserve">   Inflation Index</v>
          </cell>
          <cell r="C22" t="str">
            <v xml:space="preserve"> (1996=100)</v>
          </cell>
          <cell r="E22">
            <v>115.7</v>
          </cell>
          <cell r="F22">
            <v>137.22020000000001</v>
          </cell>
          <cell r="G22">
            <v>154.0982846</v>
          </cell>
          <cell r="H22">
            <v>167.96713021400001</v>
          </cell>
          <cell r="I22">
            <v>182.24433628219001</v>
          </cell>
          <cell r="J22">
            <v>195.00143982194331</v>
          </cell>
          <cell r="K22">
            <v>204.75151181304048</v>
          </cell>
        </row>
        <row r="24">
          <cell r="A24" t="str">
            <v>MACRO SNACK MARKET</v>
          </cell>
        </row>
        <row r="25">
          <cell r="A25" t="str">
            <v xml:space="preserve">   Total Macro Snack Market </v>
          </cell>
          <cell r="C25" t="str">
            <v>$MM</v>
          </cell>
          <cell r="E25">
            <v>3770.37</v>
          </cell>
          <cell r="F25">
            <v>4074.8600000000006</v>
          </cell>
          <cell r="G25">
            <v>4536.09</v>
          </cell>
          <cell r="H25">
            <v>5567.03</v>
          </cell>
          <cell r="I25">
            <v>6039.829999999999</v>
          </cell>
          <cell r="J25">
            <v>6522.3899999999994</v>
          </cell>
          <cell r="K25">
            <v>6972.51</v>
          </cell>
          <cell r="M25">
            <v>0.13871016320938256</v>
          </cell>
          <cell r="N25">
            <v>7.7924959143311989E-2</v>
          </cell>
        </row>
        <row r="26">
          <cell r="A26" t="str">
            <v xml:space="preserve">     Index</v>
          </cell>
          <cell r="F26">
            <v>108.0758652333856</v>
          </cell>
          <cell r="G26">
            <v>111.31891647811211</v>
          </cell>
          <cell r="H26">
            <v>122.72750320209695</v>
          </cell>
          <cell r="I26">
            <v>108.49285884933258</v>
          </cell>
          <cell r="J26">
            <v>107.98962884716954</v>
          </cell>
          <cell r="K26">
            <v>106.90115126510375</v>
          </cell>
        </row>
        <row r="27">
          <cell r="A27" t="str">
            <v xml:space="preserve">       Western Salty % Macro</v>
          </cell>
          <cell r="C27" t="str">
            <v>%</v>
          </cell>
          <cell r="E27">
            <v>0.22317703567554373</v>
          </cell>
          <cell r="F27">
            <v>0.2445850900399032</v>
          </cell>
          <cell r="G27">
            <v>0.24041630567294739</v>
          </cell>
          <cell r="H27">
            <v>0.24189019998095931</v>
          </cell>
          <cell r="I27">
            <v>0.24195714117781458</v>
          </cell>
          <cell r="J27">
            <v>0.25048640145713452</v>
          </cell>
          <cell r="K27">
            <v>0.25096844608326119</v>
          </cell>
          <cell r="M27">
            <v>1.8713164305415586</v>
          </cell>
          <cell r="N27">
            <v>0.90782461023018735</v>
          </cell>
        </row>
        <row r="28">
          <cell r="A28" t="str">
            <v xml:space="preserve">         pp Growth</v>
          </cell>
          <cell r="C28" t="str">
            <v>pp</v>
          </cell>
          <cell r="F28">
            <v>2.1408054364359468</v>
          </cell>
          <cell r="G28">
            <v>-0.41687843669558078</v>
          </cell>
          <cell r="H28">
            <v>0.14738943080119249</v>
          </cell>
          <cell r="I28">
            <v>6.6941196855269114E-3</v>
          </cell>
          <cell r="J28">
            <v>0.8529260279319939</v>
          </cell>
          <cell r="K28">
            <v>4.8204462612666532E-2</v>
          </cell>
        </row>
        <row r="29">
          <cell r="A29" t="str">
            <v xml:space="preserve">       Traditional Salty % Macro</v>
          </cell>
          <cell r="C29" t="str">
            <v>%</v>
          </cell>
          <cell r="E29">
            <v>1.4669647806448706E-2</v>
          </cell>
          <cell r="F29">
            <v>1.3426228140353286E-2</v>
          </cell>
          <cell r="G29">
            <v>1.6675154152585154E-2</v>
          </cell>
          <cell r="H29">
            <v>1.6673163248626287E-2</v>
          </cell>
          <cell r="I29">
            <v>1.0803284198396315E-2</v>
          </cell>
          <cell r="J29">
            <v>9.386129930899564E-3</v>
          </cell>
          <cell r="K29">
            <v>9.0684703213046655E-3</v>
          </cell>
          <cell r="M29">
            <v>0.20035154421775819</v>
          </cell>
          <cell r="N29">
            <v>-0.76046929273216224</v>
          </cell>
        </row>
        <row r="30">
          <cell r="A30" t="str">
            <v xml:space="preserve">         pp Growth</v>
          </cell>
          <cell r="C30" t="str">
            <v>pp</v>
          </cell>
          <cell r="F30">
            <v>-0.12434196660954192</v>
          </cell>
          <cell r="G30">
            <v>0.32489260122318675</v>
          </cell>
          <cell r="H30">
            <v>-1.990903958866419E-4</v>
          </cell>
          <cell r="I30">
            <v>-0.58698790502299725</v>
          </cell>
          <cell r="J30">
            <v>-0.14171542674967508</v>
          </cell>
          <cell r="K30">
            <v>-3.1765960959489851E-2</v>
          </cell>
        </row>
        <row r="31">
          <cell r="A31" t="str">
            <v xml:space="preserve">       Biscuits % Macro</v>
          </cell>
          <cell r="C31" t="str">
            <v>%</v>
          </cell>
          <cell r="E31">
            <v>0.34134580956245675</v>
          </cell>
          <cell r="F31">
            <v>0.36516591981074192</v>
          </cell>
          <cell r="G31">
            <v>0.38601526865648605</v>
          </cell>
          <cell r="H31">
            <v>0.34165434711147596</v>
          </cell>
          <cell r="I31">
            <v>0.33312195873062656</v>
          </cell>
          <cell r="J31">
            <v>0.31661706828325203</v>
          </cell>
          <cell r="K31">
            <v>0.30141226043419084</v>
          </cell>
          <cell r="M31">
            <v>3.0853754901921659E-2</v>
          </cell>
          <cell r="N31">
            <v>-4.0242086677285123</v>
          </cell>
        </row>
        <row r="32">
          <cell r="A32" t="str">
            <v xml:space="preserve">         pp Growth</v>
          </cell>
          <cell r="C32" t="str">
            <v>pp</v>
          </cell>
          <cell r="F32">
            <v>2.3820110248285173</v>
          </cell>
          <cell r="G32">
            <v>2.0849348845744133</v>
          </cell>
          <cell r="H32">
            <v>-4.4360921545010088</v>
          </cell>
          <cell r="I32">
            <v>-0.85323883808494094</v>
          </cell>
          <cell r="J32">
            <v>-1.6504890447374521</v>
          </cell>
          <cell r="K32">
            <v>-1.5204807849061197</v>
          </cell>
        </row>
        <row r="33">
          <cell r="A33" t="str">
            <v xml:space="preserve">       Confectionery % Macro</v>
          </cell>
          <cell r="C33" t="str">
            <v>%</v>
          </cell>
          <cell r="E33">
            <v>0.39144699326591292</v>
          </cell>
          <cell r="F33">
            <v>0.34904266649651761</v>
          </cell>
          <cell r="G33">
            <v>0.32988763450460634</v>
          </cell>
          <cell r="H33">
            <v>0.37319719850620531</v>
          </cell>
          <cell r="I33">
            <v>0.38716321485869643</v>
          </cell>
          <cell r="J33">
            <v>0.39660308567871594</v>
          </cell>
          <cell r="K33">
            <v>0.41140134614364121</v>
          </cell>
          <cell r="M33">
            <v>-1.8249794759707616</v>
          </cell>
          <cell r="N33">
            <v>3.8204147637435906</v>
          </cell>
        </row>
        <row r="34">
          <cell r="A34" t="str">
            <v xml:space="preserve">         pp Growth</v>
          </cell>
          <cell r="C34" t="str">
            <v>pp</v>
          </cell>
          <cell r="F34">
            <v>-4.2404326769395322</v>
          </cell>
          <cell r="G34">
            <v>-1.9155031991911264</v>
          </cell>
          <cell r="H34">
            <v>4.3309564001598968</v>
          </cell>
          <cell r="I34">
            <v>1.3966016352491117</v>
          </cell>
          <cell r="J34">
            <v>0.94398708200195136</v>
          </cell>
          <cell r="K34">
            <v>1.4798260464925272</v>
          </cell>
        </row>
        <row r="35">
          <cell r="A35" t="str">
            <v xml:space="preserve">       Nuts  % Macro</v>
          </cell>
          <cell r="C35" t="str">
            <v>%</v>
          </cell>
          <cell r="E35">
            <v>2.936051368963789E-2</v>
          </cell>
          <cell r="F35">
            <v>2.7780095512483862E-2</v>
          </cell>
          <cell r="G35">
            <v>2.7005637013374953E-2</v>
          </cell>
          <cell r="H35">
            <v>2.6585091152733147E-2</v>
          </cell>
          <cell r="I35">
            <v>2.6954401034466207E-2</v>
          </cell>
          <cell r="J35">
            <v>2.6907314649997932E-2</v>
          </cell>
          <cell r="K35">
            <v>2.7149477017601984E-2</v>
          </cell>
          <cell r="M35">
            <v>-0.27754225369047425</v>
          </cell>
          <cell r="N35">
            <v>5.6438586486883685E-2</v>
          </cell>
        </row>
        <row r="36">
          <cell r="A36" t="str">
            <v xml:space="preserve">         pp Growth</v>
          </cell>
          <cell r="C36" t="str">
            <v>pp</v>
          </cell>
          <cell r="F36">
            <v>-0.15804181771540277</v>
          </cell>
          <cell r="G36">
            <v>-7.7445849910890915E-2</v>
          </cell>
          <cell r="H36">
            <v>-4.2054586064180569E-2</v>
          </cell>
          <cell r="I36">
            <v>3.6930988173305979E-2</v>
          </cell>
          <cell r="J36">
            <v>-4.7086384468274928E-3</v>
          </cell>
          <cell r="K36">
            <v>2.4216236760405199E-2</v>
          </cell>
        </row>
        <row r="37">
          <cell r="A37" t="str">
            <v xml:space="preserve">       Ice Cream % Macro</v>
          </cell>
          <cell r="C37" t="str">
            <v>%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M37">
            <v>0</v>
          </cell>
          <cell r="N37">
            <v>0</v>
          </cell>
        </row>
        <row r="38">
          <cell r="A38" t="str">
            <v xml:space="preserve">         pp Growth</v>
          </cell>
          <cell r="C38" t="str">
            <v>pp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</row>
        <row r="40">
          <cell r="A40" t="str">
            <v xml:space="preserve">  Macro Snack per caps consumption</v>
          </cell>
        </row>
        <row r="41">
          <cell r="A41" t="str">
            <v xml:space="preserve">      Western Salty</v>
          </cell>
          <cell r="C41" t="str">
            <v>Kg/Head</v>
          </cell>
          <cell r="E41">
            <v>1.8982904133304477</v>
          </cell>
          <cell r="F41">
            <v>2.1372236394557831</v>
          </cell>
          <cell r="G41">
            <v>2.3509449723295401</v>
          </cell>
          <cell r="H41">
            <v>2.6840000000000002</v>
          </cell>
          <cell r="I41">
            <v>2.7826700251889172</v>
          </cell>
          <cell r="J41">
            <v>3.0590855106888362</v>
          </cell>
          <cell r="K41">
            <v>3.2371184133774062</v>
          </cell>
          <cell r="M41">
            <v>0.12238008544229473</v>
          </cell>
          <cell r="N41">
            <v>6.4450225257854488E-2</v>
          </cell>
        </row>
        <row r="42">
          <cell r="A42" t="str">
            <v xml:space="preserve">      Traditional Salty Snacks</v>
          </cell>
          <cell r="C42" t="str">
            <v>Kg/Head</v>
          </cell>
          <cell r="E42">
            <v>0.13579311837264663</v>
          </cell>
          <cell r="F42">
            <v>0.14030612244897958</v>
          </cell>
          <cell r="G42">
            <v>0.15829591730186907</v>
          </cell>
          <cell r="H42">
            <v>0.19384615384615383</v>
          </cell>
          <cell r="I42">
            <v>0.14760705289672543</v>
          </cell>
          <cell r="J42">
            <v>0.1542953285827395</v>
          </cell>
          <cell r="K42">
            <v>0.16362045498736144</v>
          </cell>
          <cell r="M42">
            <v>0.12596910852879128</v>
          </cell>
          <cell r="N42">
            <v>-5.4938359338042697E-2</v>
          </cell>
        </row>
        <row r="43">
          <cell r="A43" t="str">
            <v xml:space="preserve">      Biscuits</v>
          </cell>
          <cell r="C43" t="str">
            <v>Kg/Head</v>
          </cell>
          <cell r="E43">
            <v>6.4661328716727979</v>
          </cell>
          <cell r="F43">
            <v>6.4041241496598644</v>
          </cell>
          <cell r="G43">
            <v>6.7213114754098369</v>
          </cell>
          <cell r="H43">
            <v>6.5405128205128209</v>
          </cell>
          <cell r="I43">
            <v>6.5874055415617123</v>
          </cell>
          <cell r="J43">
            <v>6.6369754552652411</v>
          </cell>
          <cell r="K43">
            <v>6.7693952945751503</v>
          </cell>
          <cell r="M43">
            <v>3.8197256082450615E-3</v>
          </cell>
          <cell r="N43">
            <v>1.1531374993756227E-2</v>
          </cell>
        </row>
        <row r="44">
          <cell r="A44" t="str">
            <v xml:space="preserve">      Confectionery</v>
          </cell>
          <cell r="C44" t="str">
            <v>Kg/Head</v>
          </cell>
          <cell r="E44">
            <v>3.3650724951309239</v>
          </cell>
          <cell r="F44">
            <v>4.2517006802721093</v>
          </cell>
          <cell r="G44">
            <v>4.1453482301346982</v>
          </cell>
          <cell r="H44">
            <v>4.7076923076923078</v>
          </cell>
          <cell r="I44">
            <v>5.3198992443324933</v>
          </cell>
          <cell r="J44">
            <v>6.0273159144893107</v>
          </cell>
          <cell r="K44">
            <v>6.8539762784367104</v>
          </cell>
          <cell r="M44">
            <v>0.11841903079196903</v>
          </cell>
          <cell r="N44">
            <v>0.13338686629304108</v>
          </cell>
        </row>
        <row r="45">
          <cell r="A45" t="str">
            <v xml:space="preserve">      Nuts</v>
          </cell>
          <cell r="C45" t="str">
            <v>Kg/Head</v>
          </cell>
          <cell r="E45">
            <v>0.30296472624972948</v>
          </cell>
          <cell r="F45">
            <v>0.30824829931972791</v>
          </cell>
          <cell r="G45">
            <v>0.26104207998329332</v>
          </cell>
          <cell r="H45">
            <v>0.31794871794871793</v>
          </cell>
          <cell r="I45">
            <v>0.32241813602015112</v>
          </cell>
          <cell r="J45">
            <v>0.32660332541567694</v>
          </cell>
          <cell r="K45">
            <v>0.34026832587983669</v>
          </cell>
          <cell r="M45">
            <v>1.6221401809189073E-2</v>
          </cell>
          <cell r="N45">
            <v>2.2872451361820589E-2</v>
          </cell>
        </row>
        <row r="46">
          <cell r="A46" t="str">
            <v xml:space="preserve">      Ice Cream</v>
          </cell>
          <cell r="C46" t="str">
            <v>Kg/Head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M46" t="str">
            <v xml:space="preserve"> </v>
          </cell>
          <cell r="N46" t="str">
            <v xml:space="preserve"> </v>
          </cell>
        </row>
        <row r="47">
          <cell r="A47" t="str">
            <v xml:space="preserve">  Total Macro Snack</v>
          </cell>
          <cell r="C47" t="str">
            <v>Kg/Head</v>
          </cell>
          <cell r="E47">
            <v>12.168253624756545</v>
          </cell>
          <cell r="F47">
            <v>13.241602891156463</v>
          </cell>
          <cell r="G47">
            <v>13.636942675159238</v>
          </cell>
          <cell r="H47">
            <v>14.443999999999999</v>
          </cell>
          <cell r="I47">
            <v>15.159999999999998</v>
          </cell>
          <cell r="J47">
            <v>16.204275534441805</v>
          </cell>
          <cell r="K47">
            <v>17.364378767256465</v>
          </cell>
          <cell r="M47">
            <v>5.8814163654160811E-2</v>
          </cell>
          <cell r="N47">
            <v>6.3303533041195958E-2</v>
          </cell>
        </row>
        <row r="49">
          <cell r="A49" t="str">
            <v xml:space="preserve">  Macro Snack SRP/kg</v>
          </cell>
          <cell r="M49" t="str">
            <v xml:space="preserve"> </v>
          </cell>
          <cell r="N49" t="str">
            <v xml:space="preserve"> </v>
          </cell>
        </row>
        <row r="50">
          <cell r="A50" t="str">
            <v xml:space="preserve">      Western Salty</v>
          </cell>
          <cell r="C50" t="str">
            <v>$/kg</v>
          </cell>
          <cell r="E50">
            <v>4.7962836297309623</v>
          </cell>
          <cell r="F50">
            <v>4.9567314865469729</v>
          </cell>
          <cell r="G50">
            <v>4.8436597823673093</v>
          </cell>
          <cell r="H50">
            <v>5.1458213917230307</v>
          </cell>
          <cell r="I50">
            <v>5.2914041567093912</v>
          </cell>
          <cell r="J50">
            <v>5.2857420168882827</v>
          </cell>
          <cell r="K50">
            <v>5.2553683515031366</v>
          </cell>
          <cell r="M50">
            <v>2.3724939691224245E-2</v>
          </cell>
          <cell r="N50">
            <v>7.046407327010229E-3</v>
          </cell>
        </row>
        <row r="51">
          <cell r="A51" t="str">
            <v xml:space="preserve">      Traditional Salty Snacks</v>
          </cell>
          <cell r="C51" t="str">
            <v>$/kg</v>
          </cell>
          <cell r="E51">
            <v>4.4071713147410359</v>
          </cell>
          <cell r="F51">
            <v>4.1446969696969695</v>
          </cell>
          <cell r="G51">
            <v>4.9894459102902378</v>
          </cell>
          <cell r="H51">
            <v>4.9111111111111114</v>
          </cell>
          <cell r="I51">
            <v>4.4539249146757678</v>
          </cell>
          <cell r="J51">
            <v>3.9268762026940345</v>
          </cell>
          <cell r="K51">
            <v>3.7569815805109923</v>
          </cell>
          <cell r="M51">
            <v>3.6748165951330014E-2</v>
          </cell>
          <cell r="N51">
            <v>-8.5424067261937076E-2</v>
          </cell>
        </row>
        <row r="52">
          <cell r="A52" t="str">
            <v xml:space="preserve">      Biscuits</v>
          </cell>
          <cell r="C52" t="str">
            <v>$/kg</v>
          </cell>
          <cell r="E52">
            <v>2.1536144578313254</v>
          </cell>
          <cell r="F52">
            <v>2.4697095435684648</v>
          </cell>
          <cell r="G52">
            <v>2.7202112785459063</v>
          </cell>
          <cell r="H52">
            <v>2.9825936960953423</v>
          </cell>
          <cell r="I52">
            <v>3.0773936983787094</v>
          </cell>
          <cell r="J52">
            <v>3.0794810617357586</v>
          </cell>
          <cell r="K52">
            <v>3.0182392646847624</v>
          </cell>
          <cell r="M52">
            <v>0.11465904844523855</v>
          </cell>
          <cell r="N52">
            <v>3.9679671648273906E-3</v>
          </cell>
        </row>
        <row r="53">
          <cell r="A53" t="str">
            <v xml:space="preserve">      Confectionery</v>
          </cell>
          <cell r="C53" t="str">
            <v>$/kg</v>
          </cell>
          <cell r="E53">
            <v>4.7456591639871384</v>
          </cell>
          <cell r="F53">
            <v>3.5557499999999997</v>
          </cell>
          <cell r="G53">
            <v>3.7692695214105791</v>
          </cell>
          <cell r="H53">
            <v>4.5263616557734201</v>
          </cell>
          <cell r="I53">
            <v>4.4287878787878787</v>
          </cell>
          <cell r="J53">
            <v>4.2476190476190467</v>
          </cell>
          <cell r="K53">
            <v>4.068794326241135</v>
          </cell>
          <cell r="M53">
            <v>-1.5646924679863505E-2</v>
          </cell>
          <cell r="N53">
            <v>-3.4900341275769464E-2</v>
          </cell>
        </row>
        <row r="54">
          <cell r="A54" t="str">
            <v xml:space="preserve">      Nuts</v>
          </cell>
          <cell r="C54" t="str">
            <v>$/kg</v>
          </cell>
          <cell r="E54">
            <v>3.9535714285714287</v>
          </cell>
          <cell r="F54">
            <v>3.9034482758620692</v>
          </cell>
          <cell r="G54">
            <v>4.9000000000000004</v>
          </cell>
          <cell r="H54">
            <v>4.774193548387097</v>
          </cell>
          <cell r="I54">
            <v>5.0875000000000004</v>
          </cell>
          <cell r="J54">
            <v>5.3181818181818183</v>
          </cell>
          <cell r="K54">
            <v>5.4085714285714293</v>
          </cell>
          <cell r="M54">
            <v>6.4886882508406574E-2</v>
          </cell>
          <cell r="N54">
            <v>4.246347956231622E-2</v>
          </cell>
        </row>
        <row r="55">
          <cell r="A55" t="str">
            <v xml:space="preserve">      Ice Cream</v>
          </cell>
          <cell r="C55" t="str">
            <v>$/kg</v>
          </cell>
          <cell r="E55" t="str">
            <v xml:space="preserve"> </v>
          </cell>
          <cell r="F55" t="str">
            <v xml:space="preserve"> </v>
          </cell>
          <cell r="G55" t="str">
            <v xml:space="preserve"> </v>
          </cell>
          <cell r="H55" t="str">
            <v xml:space="preserve"> </v>
          </cell>
          <cell r="I55" t="str">
            <v xml:space="preserve"> </v>
          </cell>
          <cell r="J55" t="str">
            <v xml:space="preserve"> </v>
          </cell>
          <cell r="K55" t="str">
            <v xml:space="preserve"> </v>
          </cell>
          <cell r="M55" t="str">
            <v xml:space="preserve"> </v>
          </cell>
          <cell r="N55" t="str">
            <v xml:space="preserve"> </v>
          </cell>
        </row>
        <row r="56">
          <cell r="A56" t="str">
            <v xml:space="preserve">  Total Macro Snack</v>
          </cell>
          <cell r="C56" t="str">
            <v>$/kg</v>
          </cell>
          <cell r="E56">
            <v>3.3526618589886086</v>
          </cell>
          <cell r="F56">
            <v>3.2709569182112275</v>
          </cell>
          <cell r="G56">
            <v>3.4732429307585697</v>
          </cell>
          <cell r="H56">
            <v>3.9530423421312371</v>
          </cell>
          <cell r="I56">
            <v>4.0141629503598892</v>
          </cell>
          <cell r="J56">
            <v>3.9836741424802105</v>
          </cell>
          <cell r="K56">
            <v>3.9037623873243383</v>
          </cell>
          <cell r="M56">
            <v>5.6445840385037194E-2</v>
          </cell>
          <cell r="N56">
            <v>-4.172833717734914E-3</v>
          </cell>
        </row>
        <row r="59">
          <cell r="A59" t="str">
            <v xml:space="preserve">  Macro Snack Volume Market Size (ex Salty)</v>
          </cell>
        </row>
        <row r="61">
          <cell r="A61" t="str">
            <v>Total Biscuits</v>
          </cell>
          <cell r="C61" t="str">
            <v>MTons</v>
          </cell>
          <cell r="E61">
            <v>597.6</v>
          </cell>
          <cell r="F61">
            <v>602.5</v>
          </cell>
          <cell r="G61">
            <v>643.70000000000005</v>
          </cell>
          <cell r="H61">
            <v>637.70000000000005</v>
          </cell>
          <cell r="I61">
            <v>653.79999999999995</v>
          </cell>
          <cell r="J61">
            <v>670.6</v>
          </cell>
          <cell r="K61">
            <v>696.3</v>
          </cell>
          <cell r="M61">
            <v>2.1884808068778794E-2</v>
          </cell>
          <cell r="N61">
            <v>2.9737809762975909E-2</v>
          </cell>
        </row>
        <row r="64">
          <cell r="A64" t="str">
            <v xml:space="preserve">  Total Chocolate Confectionery</v>
          </cell>
          <cell r="C64" t="str">
            <v>MTons</v>
          </cell>
          <cell r="E64">
            <v>24</v>
          </cell>
          <cell r="F64">
            <v>26</v>
          </cell>
          <cell r="G64">
            <v>25</v>
          </cell>
          <cell r="H64">
            <v>36</v>
          </cell>
          <cell r="I64">
            <v>41</v>
          </cell>
          <cell r="J64">
            <v>47</v>
          </cell>
          <cell r="K64">
            <v>54</v>
          </cell>
          <cell r="M64">
            <v>0.14471424255333187</v>
          </cell>
          <cell r="N64">
            <v>0.14471424255333187</v>
          </cell>
        </row>
        <row r="65">
          <cell r="A65" t="str">
            <v xml:space="preserve">  Total Sugar Confectionery</v>
          </cell>
          <cell r="C65" t="str">
            <v>MTons</v>
          </cell>
          <cell r="E65">
            <v>233</v>
          </cell>
          <cell r="F65">
            <v>316</v>
          </cell>
          <cell r="G65">
            <v>309</v>
          </cell>
          <cell r="H65">
            <v>355</v>
          </cell>
          <cell r="I65">
            <v>413</v>
          </cell>
          <cell r="J65">
            <v>482</v>
          </cell>
          <cell r="K65">
            <v>564</v>
          </cell>
          <cell r="M65">
            <v>0.15068771725129726</v>
          </cell>
          <cell r="N65">
            <v>0.16685506842093778</v>
          </cell>
        </row>
        <row r="66">
          <cell r="A66" t="str">
            <v xml:space="preserve">  Total Gum </v>
          </cell>
          <cell r="C66" t="str">
            <v>MTons</v>
          </cell>
          <cell r="E66">
            <v>54</v>
          </cell>
          <cell r="F66">
            <v>58</v>
          </cell>
          <cell r="G66">
            <v>63</v>
          </cell>
          <cell r="H66">
            <v>68</v>
          </cell>
          <cell r="I66">
            <v>74</v>
          </cell>
          <cell r="J66">
            <v>80</v>
          </cell>
          <cell r="K66">
            <v>87</v>
          </cell>
        </row>
        <row r="67">
          <cell r="A67" t="str">
            <v>Total Confectionery</v>
          </cell>
          <cell r="C67" t="str">
            <v>MTons</v>
          </cell>
          <cell r="E67">
            <v>311</v>
          </cell>
          <cell r="F67">
            <v>400</v>
          </cell>
          <cell r="G67">
            <v>397</v>
          </cell>
          <cell r="H67">
            <v>459</v>
          </cell>
          <cell r="I67">
            <v>528</v>
          </cell>
          <cell r="J67">
            <v>609</v>
          </cell>
          <cell r="K67">
            <v>705</v>
          </cell>
          <cell r="M67">
            <v>0.13854648146987292</v>
          </cell>
          <cell r="N67">
            <v>0.15378656378100275</v>
          </cell>
        </row>
        <row r="69">
          <cell r="A69" t="str">
            <v>Total Ice Cream</v>
          </cell>
          <cell r="C69" t="str">
            <v>MTons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M69" t="str">
            <v xml:space="preserve"> </v>
          </cell>
          <cell r="N69" t="str">
            <v xml:space="preserve">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3">
          <cell r="A3" t="str">
            <v>Sabritas -  Macro Snacks Market Trends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3">
          <cell r="A3" t="str">
            <v>Sabritas -  Macro Snacks Market Trends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Standard Report Input Sheet"/>
      <sheetName val="Input"/>
      <sheetName val="Macro Market Trends"/>
      <sheetName val="Input_Sheet"/>
      <sheetName val="Standard_Report_Input_Sheet"/>
      <sheetName val="Macro_Market_Trends"/>
      <sheetName val="Input_Sheet1"/>
      <sheetName val="Standard_Report_Input_Sheet1"/>
      <sheetName val="Macro_Market_Trends1"/>
      <sheetName val="Input_Sheet2"/>
      <sheetName val="Standard_Report_Input_Sheet2"/>
      <sheetName val="Macro_Market_Trends2"/>
    </sheetNames>
    <sheetDataSet>
      <sheetData sheetId="0" refreshError="1">
        <row r="1">
          <cell r="A1" t="str">
            <v>Month?</v>
          </cell>
          <cell r="B1">
            <v>1</v>
          </cell>
        </row>
        <row r="2">
          <cell r="A2" t="str">
            <v>Hyperion Forecast Category?</v>
          </cell>
          <cell r="B2" t="str">
            <v>plan</v>
          </cell>
        </row>
        <row r="4">
          <cell r="B4" t="str">
            <v>January</v>
          </cell>
          <cell r="C4" t="str">
            <v>January YTD</v>
          </cell>
          <cell r="F4">
            <v>1</v>
          </cell>
          <cell r="G4" t="str">
            <v>January</v>
          </cell>
          <cell r="H4" t="str">
            <v>January YTD</v>
          </cell>
          <cell r="I4" t="str">
            <v>January QTD</v>
          </cell>
          <cell r="J4" t="str">
            <v>Quarter 1</v>
          </cell>
          <cell r="K4">
            <v>2</v>
          </cell>
        </row>
        <row r="5">
          <cell r="F5">
            <v>2</v>
          </cell>
          <cell r="G5" t="str">
            <v>February</v>
          </cell>
          <cell r="H5" t="str">
            <v>February YTD</v>
          </cell>
          <cell r="I5" t="str">
            <v>February QTD</v>
          </cell>
          <cell r="J5" t="str">
            <v>Quarter 1</v>
          </cell>
          <cell r="K5">
            <v>2</v>
          </cell>
        </row>
        <row r="6">
          <cell r="A6" t="str">
            <v>Quarter Ends?</v>
          </cell>
          <cell r="B6">
            <v>1</v>
          </cell>
          <cell r="C6" t="str">
            <v>January QTD</v>
          </cell>
          <cell r="D6" t="str">
            <v>Quarter 1</v>
          </cell>
          <cell r="F6">
            <v>3</v>
          </cell>
          <cell r="G6" t="str">
            <v>March</v>
          </cell>
          <cell r="H6" t="str">
            <v>March YTD</v>
          </cell>
          <cell r="I6" t="str">
            <v>March QTD</v>
          </cell>
          <cell r="J6" t="str">
            <v>Quarter 2</v>
          </cell>
          <cell r="K6">
            <v>5</v>
          </cell>
        </row>
        <row r="7">
          <cell r="F7">
            <v>4</v>
          </cell>
          <cell r="G7" t="str">
            <v>April</v>
          </cell>
          <cell r="H7" t="str">
            <v>April YTD</v>
          </cell>
          <cell r="I7" t="str">
            <v>April QTD</v>
          </cell>
          <cell r="J7" t="str">
            <v>Quarter 2</v>
          </cell>
          <cell r="K7">
            <v>5</v>
          </cell>
        </row>
        <row r="8">
          <cell r="F8">
            <v>5</v>
          </cell>
          <cell r="G8" t="str">
            <v>May</v>
          </cell>
          <cell r="H8" t="str">
            <v>May YTD</v>
          </cell>
          <cell r="I8" t="str">
            <v>May QTD</v>
          </cell>
          <cell r="J8" t="str">
            <v>Quarter 2</v>
          </cell>
          <cell r="K8">
            <v>5</v>
          </cell>
        </row>
        <row r="9">
          <cell r="F9">
            <v>6</v>
          </cell>
          <cell r="G9" t="str">
            <v>June</v>
          </cell>
          <cell r="H9" t="str">
            <v>June YTD</v>
          </cell>
          <cell r="I9" t="str">
            <v>June QTD</v>
          </cell>
          <cell r="J9" t="str">
            <v>Quarter 3</v>
          </cell>
          <cell r="K9">
            <v>8</v>
          </cell>
        </row>
        <row r="10">
          <cell r="F10">
            <v>7</v>
          </cell>
          <cell r="G10" t="str">
            <v>July</v>
          </cell>
          <cell r="H10" t="str">
            <v>July YTD</v>
          </cell>
          <cell r="I10" t="str">
            <v>July QTD</v>
          </cell>
          <cell r="J10" t="str">
            <v>Quarter 3</v>
          </cell>
          <cell r="K10">
            <v>8</v>
          </cell>
        </row>
        <row r="11">
          <cell r="F11">
            <v>8</v>
          </cell>
          <cell r="G11" t="str">
            <v>August</v>
          </cell>
          <cell r="H11" t="str">
            <v>August YTD</v>
          </cell>
          <cell r="I11" t="str">
            <v>August QTD</v>
          </cell>
          <cell r="J11" t="str">
            <v>Quarter 3</v>
          </cell>
          <cell r="K11">
            <v>8</v>
          </cell>
        </row>
        <row r="12">
          <cell r="F12">
            <v>9</v>
          </cell>
          <cell r="G12" t="str">
            <v>September</v>
          </cell>
          <cell r="H12" t="str">
            <v>September YTD</v>
          </cell>
          <cell r="I12" t="str">
            <v>September QTD</v>
          </cell>
          <cell r="J12" t="str">
            <v>Quarter 4</v>
          </cell>
          <cell r="K12">
            <v>12</v>
          </cell>
        </row>
        <row r="13">
          <cell r="F13">
            <v>10</v>
          </cell>
          <cell r="G13" t="str">
            <v>October</v>
          </cell>
          <cell r="H13" t="str">
            <v>October YTD</v>
          </cell>
          <cell r="I13" t="str">
            <v>October QTD</v>
          </cell>
          <cell r="J13" t="str">
            <v>Quarter 4</v>
          </cell>
          <cell r="K13">
            <v>12</v>
          </cell>
        </row>
        <row r="14">
          <cell r="F14">
            <v>11</v>
          </cell>
          <cell r="G14" t="str">
            <v>November</v>
          </cell>
          <cell r="H14" t="str">
            <v>November YTD</v>
          </cell>
          <cell r="I14" t="str">
            <v>November QTD</v>
          </cell>
          <cell r="J14" t="str">
            <v>Quarter 4</v>
          </cell>
          <cell r="K14">
            <v>12</v>
          </cell>
        </row>
        <row r="15">
          <cell r="F15">
            <v>12</v>
          </cell>
          <cell r="G15" t="str">
            <v>December</v>
          </cell>
          <cell r="H15" t="str">
            <v>December YTD</v>
          </cell>
          <cell r="I15" t="str">
            <v>December QTD</v>
          </cell>
          <cell r="J15" t="str">
            <v>Quarter 4</v>
          </cell>
          <cell r="K15">
            <v>12</v>
          </cell>
        </row>
      </sheetData>
      <sheetData sheetId="1" refreshError="1"/>
      <sheetData sheetId="2" refreshError="1"/>
      <sheetData sheetId="3" refreshError="1"/>
      <sheetData sheetId="4">
        <row r="1">
          <cell r="A1" t="str">
            <v>Month?</v>
          </cell>
        </row>
      </sheetData>
      <sheetData sheetId="5"/>
      <sheetData sheetId="6"/>
      <sheetData sheetId="7"/>
      <sheetData sheetId="8"/>
      <sheetData sheetId="9"/>
      <sheetData sheetId="10">
        <row r="1">
          <cell r="A1" t="str">
            <v>Month?</v>
          </cell>
        </row>
      </sheetData>
      <sheetData sheetId="11"/>
      <sheetData sheetId="12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OP-JUNE FCST"/>
      <sheetName val="MARCH FCST-JUNE FCST"/>
      <sheetName val="Forex_and_Lookups"/>
      <sheetName val="AOP-JUNE_FCST"/>
      <sheetName val="MARCH_FCST-JUNE_FCST"/>
      <sheetName val="AOP-JUNE_FCST1"/>
      <sheetName val="MARCH_FCST-JUNE_FCST1"/>
      <sheetName val="AOP-JUNE_FCST2"/>
      <sheetName val="MARCH_FCST-JUNE_FCST2"/>
    </sheetNames>
    <sheetDataSet>
      <sheetData sheetId="0" refreshError="1"/>
      <sheetData sheetId="1" refreshError="1">
        <row r="1">
          <cell r="A1">
            <v>0</v>
          </cell>
        </row>
        <row r="704">
          <cell r="S704" t="str">
            <v>PEPSI-COLA INTERNATIONAL - CA</v>
          </cell>
          <cell r="AF704" t="str">
            <v>DATE:</v>
          </cell>
          <cell r="AG704">
            <v>37496.90309537037</v>
          </cell>
        </row>
        <row r="705">
          <cell r="S705" t="str">
            <v xml:space="preserve">VARIANCE ANALYSIS  SUMMARY -  JUNE FCST VRS. AOP </v>
          </cell>
          <cell r="AF705" t="str">
            <v>TIME:</v>
          </cell>
          <cell r="AG705">
            <v>37496.90309537037</v>
          </cell>
        </row>
        <row r="707">
          <cell r="S707" t="str">
            <v>REGION SUMMARY:</v>
          </cell>
          <cell r="T707" t="str">
            <v>VOLUME</v>
          </cell>
          <cell r="U707" t="str">
            <v>NOPBT</v>
          </cell>
        </row>
        <row r="710">
          <cell r="S710" t="str">
            <v>B/(W)</v>
          </cell>
          <cell r="T710">
            <v>0</v>
          </cell>
          <cell r="U710">
            <v>0</v>
          </cell>
        </row>
        <row r="712">
          <cell r="AB712" t="str">
            <v>NON</v>
          </cell>
        </row>
        <row r="713">
          <cell r="T713" t="str">
            <v>VOLUME</v>
          </cell>
          <cell r="W713" t="str">
            <v xml:space="preserve">   INVENTORY</v>
          </cell>
          <cell r="AB713" t="str">
            <v>VOL</v>
          </cell>
          <cell r="AG713" t="str">
            <v>NOPBT</v>
          </cell>
        </row>
        <row r="714">
          <cell r="S714" t="str">
            <v>AREA/COUNTRY</v>
          </cell>
          <cell r="T714" t="str">
            <v>CASES</v>
          </cell>
          <cell r="U714" t="str">
            <v>NOPBT</v>
          </cell>
          <cell r="W714" t="str">
            <v>UNITS</v>
          </cell>
          <cell r="X714" t="str">
            <v>NOPBT</v>
          </cell>
          <cell r="Z714" t="str">
            <v>PRICE</v>
          </cell>
          <cell r="AA714" t="str">
            <v>COGS</v>
          </cell>
          <cell r="AB714" t="str">
            <v>MKTG</v>
          </cell>
          <cell r="AC714" t="str">
            <v>FOREX</v>
          </cell>
          <cell r="AD714" t="str">
            <v xml:space="preserve"> G&amp;A </v>
          </cell>
          <cell r="AE714" t="str">
            <v>CANS</v>
          </cell>
          <cell r="AF714" t="str">
            <v>OTHER</v>
          </cell>
          <cell r="AG714" t="str">
            <v>TOTAL</v>
          </cell>
        </row>
        <row r="716">
          <cell r="S716" t="str">
            <v>BELIZE</v>
          </cell>
          <cell r="T716">
            <v>50.000000434043443</v>
          </cell>
          <cell r="U716">
            <v>31.069548714870848</v>
          </cell>
          <cell r="W716">
            <v>5.5112219810869938</v>
          </cell>
          <cell r="X716">
            <v>9.1118012804514574</v>
          </cell>
          <cell r="Z716">
            <v>-9.106942790580252</v>
          </cell>
          <cell r="AA716">
            <v>1.4928633047307045</v>
          </cell>
          <cell r="AB716">
            <v>4.4432958124768156</v>
          </cell>
          <cell r="AC716">
            <v>0</v>
          </cell>
          <cell r="AD716">
            <v>0</v>
          </cell>
          <cell r="AE716">
            <v>0</v>
          </cell>
          <cell r="AF716" t="e">
            <v>#NAME?</v>
          </cell>
          <cell r="AG716" t="e">
            <v>#NAME?</v>
          </cell>
        </row>
        <row r="717">
          <cell r="S717" t="str">
            <v>CENTRAL AMERICA G&amp;A</v>
          </cell>
          <cell r="T717">
            <v>0</v>
          </cell>
          <cell r="U717">
            <v>0</v>
          </cell>
          <cell r="W717">
            <v>0</v>
          </cell>
          <cell r="X717">
            <v>0</v>
          </cell>
          <cell r="Z717">
            <v>0</v>
          </cell>
          <cell r="AA717">
            <v>0</v>
          </cell>
          <cell r="AB717" t="e">
            <v>#NAME?</v>
          </cell>
          <cell r="AC717">
            <v>0</v>
          </cell>
          <cell r="AD717">
            <v>114.63300000000027</v>
          </cell>
          <cell r="AE717">
            <v>0</v>
          </cell>
          <cell r="AF717" t="e">
            <v>#NAME?</v>
          </cell>
          <cell r="AG717" t="e">
            <v>#NAME?</v>
          </cell>
        </row>
        <row r="718">
          <cell r="S718" t="str">
            <v>COSTA RICA</v>
          </cell>
          <cell r="T718">
            <v>-199.99999999999955</v>
          </cell>
          <cell r="U718">
            <v>-72.799998380836925</v>
          </cell>
          <cell r="W718">
            <v>-22.532888888889147</v>
          </cell>
          <cell r="X718">
            <v>-23.79508887541089</v>
          </cell>
          <cell r="Z718">
            <v>89.288342910294446</v>
          </cell>
          <cell r="AA718">
            <v>-22.398016357191793</v>
          </cell>
          <cell r="AB718">
            <v>20.489652958530172</v>
          </cell>
          <cell r="AC718">
            <v>39.233440330578517</v>
          </cell>
          <cell r="AD718">
            <v>0</v>
          </cell>
          <cell r="AE718">
            <v>0</v>
          </cell>
          <cell r="AF718" t="e">
            <v>#NAME?</v>
          </cell>
          <cell r="AG718" t="e">
            <v>#NAME?</v>
          </cell>
        </row>
        <row r="719">
          <cell r="S719" t="str">
            <v>EL SALVADOR</v>
          </cell>
          <cell r="T719">
            <v>-3.1337549444288015E-8</v>
          </cell>
          <cell r="U719">
            <v>-7.9706351057822309E-10</v>
          </cell>
          <cell r="W719">
            <v>-60.301999982590843</v>
          </cell>
          <cell r="X719">
            <v>-35.10708999512682</v>
          </cell>
          <cell r="Z719">
            <v>42.95055863361938</v>
          </cell>
          <cell r="AA719">
            <v>-32.799739926587712</v>
          </cell>
          <cell r="AB719">
            <v>34.394049584947908</v>
          </cell>
          <cell r="AC719">
            <v>-0.71745308924482742</v>
          </cell>
          <cell r="AD719">
            <v>0</v>
          </cell>
          <cell r="AE719">
            <v>0</v>
          </cell>
          <cell r="AF719" t="e">
            <v>#NAME?</v>
          </cell>
          <cell r="AG719" t="e">
            <v>#NAME?</v>
          </cell>
        </row>
        <row r="720">
          <cell r="S720" t="str">
            <v>GUATEMALA TOTAL</v>
          </cell>
          <cell r="T720">
            <v>-2200.0000000411383</v>
          </cell>
          <cell r="U720">
            <v>-789.55065308978817</v>
          </cell>
          <cell r="W720">
            <v>-23.723777754923049</v>
          </cell>
          <cell r="X720">
            <v>-24.584369502124638</v>
          </cell>
          <cell r="Z720">
            <v>-113.14683075110901</v>
          </cell>
          <cell r="AA720">
            <v>129.80890025694188</v>
          </cell>
          <cell r="AB720">
            <v>39.826496954677623</v>
          </cell>
          <cell r="AC720">
            <v>608.73057475308565</v>
          </cell>
          <cell r="AD720">
            <v>0</v>
          </cell>
          <cell r="AE720">
            <v>0</v>
          </cell>
          <cell r="AF720" t="e">
            <v>#NAME?</v>
          </cell>
          <cell r="AG720" t="e">
            <v>#NAME?</v>
          </cell>
        </row>
        <row r="721">
          <cell r="S721" t="str">
            <v>TEGUCIGALPA - HONDURAS</v>
          </cell>
          <cell r="T721">
            <v>699.99999995608778</v>
          </cell>
          <cell r="U721">
            <v>180.54379355264251</v>
          </cell>
          <cell r="W721">
            <v>65.320111135505726</v>
          </cell>
          <cell r="X721">
            <v>49.400481519392642</v>
          </cell>
          <cell r="Z721">
            <v>-228.87262870531913</v>
          </cell>
          <cell r="AA721">
            <v>-10.683022314319743</v>
          </cell>
          <cell r="AB721">
            <v>-21.419253074220009</v>
          </cell>
          <cell r="AC721">
            <v>187.21816203539734</v>
          </cell>
          <cell r="AD721">
            <v>0</v>
          </cell>
          <cell r="AE721">
            <v>0</v>
          </cell>
          <cell r="AF721" t="e">
            <v>#NAME?</v>
          </cell>
          <cell r="AG721" t="e">
            <v>#NAME?</v>
          </cell>
        </row>
        <row r="722">
          <cell r="S722" t="str">
            <v>SAN PEDRO SULA - HONDURAS</v>
          </cell>
          <cell r="T722">
            <v>2849.9999999519387</v>
          </cell>
          <cell r="U722">
            <v>763.64846632455328</v>
          </cell>
          <cell r="W722">
            <v>-145.65733330663306</v>
          </cell>
          <cell r="X722">
            <v>-105.02977833009867</v>
          </cell>
          <cell r="Z722">
            <v>-465.0913553559177</v>
          </cell>
          <cell r="AA722">
            <v>-16.259154104653085</v>
          </cell>
          <cell r="AB722">
            <v>37.591818115094725</v>
          </cell>
          <cell r="AC722">
            <v>317.95993921327329</v>
          </cell>
          <cell r="AD722">
            <v>0</v>
          </cell>
          <cell r="AE722">
            <v>0</v>
          </cell>
          <cell r="AF722" t="e">
            <v>#NAME?</v>
          </cell>
          <cell r="AG722" t="e">
            <v>#NAME?</v>
          </cell>
        </row>
        <row r="723">
          <cell r="S723" t="str">
            <v>NICARAGUA</v>
          </cell>
          <cell r="T723">
            <v>-100.00000002984416</v>
          </cell>
          <cell r="U723">
            <v>-23.564251723753713</v>
          </cell>
          <cell r="W723">
            <v>113.02155557213509</v>
          </cell>
          <cell r="X723">
            <v>78.074392666962652</v>
          </cell>
          <cell r="Z723">
            <v>-91.316948944528633</v>
          </cell>
          <cell r="AA723">
            <v>-6.3163361387135728</v>
          </cell>
          <cell r="AB723">
            <v>58.526753464271742</v>
          </cell>
          <cell r="AC723">
            <v>-5.271335088339038</v>
          </cell>
          <cell r="AD723">
            <v>0</v>
          </cell>
          <cell r="AE723">
            <v>0</v>
          </cell>
          <cell r="AF723" t="e">
            <v>#NAME?</v>
          </cell>
          <cell r="AG723" t="e">
            <v>#NAME?</v>
          </cell>
        </row>
        <row r="724">
          <cell r="S724" t="str">
            <v>PANAMA</v>
          </cell>
          <cell r="T724">
            <v>300.00000000472846</v>
          </cell>
          <cell r="U724">
            <v>104.59665464727303</v>
          </cell>
          <cell r="W724">
            <v>-1.8986666692935614</v>
          </cell>
          <cell r="X724">
            <v>-1.7849142900312247</v>
          </cell>
          <cell r="Z724">
            <v>-37.074361532935399</v>
          </cell>
          <cell r="AA724">
            <v>-9.4331368441867003</v>
          </cell>
          <cell r="AB724">
            <v>22.056743169488662</v>
          </cell>
          <cell r="AC724">
            <v>0</v>
          </cell>
          <cell r="AD724">
            <v>0</v>
          </cell>
          <cell r="AE724">
            <v>0</v>
          </cell>
          <cell r="AF724" t="e">
            <v>#NAME?</v>
          </cell>
          <cell r="AG724" t="e">
            <v>#NAME?</v>
          </cell>
        </row>
        <row r="725">
          <cell r="S725" t="str">
            <v>TOTAL CENTRAL AMERICA</v>
          </cell>
          <cell r="T725">
            <v>1400.000000244479</v>
          </cell>
          <cell r="U725">
            <v>193.9435600441638</v>
          </cell>
          <cell r="W725">
            <v>-70.261777913601847</v>
          </cell>
          <cell r="X725">
            <v>-53.714565525985492</v>
          </cell>
          <cell r="Z725">
            <v>-812.37016653647629</v>
          </cell>
          <cell r="AA725">
            <v>33.412357876019989</v>
          </cell>
          <cell r="AB725" t="e">
            <v>#NAME?</v>
          </cell>
          <cell r="AC725">
            <v>1147.1533281547509</v>
          </cell>
          <cell r="AD725">
            <v>114.63300000000027</v>
          </cell>
          <cell r="AE725">
            <v>0</v>
          </cell>
          <cell r="AF725" t="e">
            <v>#NAME?</v>
          </cell>
          <cell r="AG725" t="e">
            <v>#NAME?</v>
          </cell>
        </row>
      </sheetData>
      <sheetData sheetId="2"/>
      <sheetData sheetId="3" refreshError="1"/>
      <sheetData sheetId="4">
        <row r="1">
          <cell r="A1">
            <v>0</v>
          </cell>
        </row>
      </sheetData>
      <sheetData sheetId="5"/>
      <sheetData sheetId="6"/>
      <sheetData sheetId="7"/>
      <sheetData sheetId="8">
        <row r="1">
          <cell r="A1">
            <v>0</v>
          </cell>
        </row>
      </sheetData>
      <sheetData sheetId="9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PHIL"/>
      <sheetName val="P&amp;L"/>
      <sheetName val="QTRSUM"/>
      <sheetName val="Sheet4"/>
      <sheetName val="Sheet2"/>
      <sheetName val="Philippines"/>
      <sheetName val="Summary"/>
      <sheetName val="Sheet1"/>
      <sheetName val="P_L"/>
      <sheetName val="npln"/>
      <sheetName val="A1 Macro Trends"/>
      <sheetName val="Driver"/>
      <sheetName val="Input Sheet"/>
      <sheetName val="2003 Act"/>
      <sheetName val="Lookups"/>
      <sheetName val="Axe Download"/>
      <sheetName val="Brut Download"/>
      <sheetName val="Category Download"/>
      <sheetName val="Degree  Download"/>
      <sheetName val="Dove - Download"/>
      <sheetName val="Suave Download"/>
      <sheetName val="OCF Change"/>
      <sheetName val="RPT 71-VOLUME DATA-PCI "/>
      <sheetName val="Push Diag on Premise"/>
      <sheetName val="CChannel Attract Input"/>
      <sheetName val="FStratPlan"/>
      <sheetName val="Puerto Rico"/>
      <sheetName val="Formulas ME"/>
      <sheetName val="Formulas MP"/>
      <sheetName val="Input_Sheet"/>
      <sheetName val="A1_Macro_Trends"/>
      <sheetName val="Puerto_Rico"/>
      <sheetName val="2003_Act"/>
      <sheetName val="Target"/>
      <sheetName val="SH P&amp;L"/>
      <sheetName val="packs"/>
      <sheetName val="2012 AOP Spain"/>
      <sheetName val="2012 AOP Alvalle"/>
      <sheetName val="Code base"/>
      <sheetName val="Barcodes"/>
      <sheetName val="Volume"/>
      <sheetName val="RATES"/>
      <sheetName val=" nfcst_py"/>
      <sheetName val="W210"/>
      <sheetName val=""/>
      <sheetName val="TRIAL_BAL"/>
      <sheetName val="Entity Mapping"/>
      <sheetName val="Adm-Fin"/>
      <sheetName val="Debt"/>
      <sheetName val="Instruction"/>
      <sheetName val="COSTING"/>
      <sheetName val="FMT 14 -VOLUME BY BRANDS"/>
      <sheetName val="RPT 50-VOLUME DATA-PCI "/>
      <sheetName val="Input_Sheet1"/>
      <sheetName val="A1_Macro_Trends1"/>
      <sheetName val="2003_Act1"/>
      <sheetName val="Axe_Download"/>
      <sheetName val="Brut_Download"/>
      <sheetName val="Category_Download"/>
      <sheetName val="Degree__Download"/>
      <sheetName val="Dove_-_Download"/>
      <sheetName val="Suave_Download"/>
      <sheetName val="OCF_Change"/>
      <sheetName val="RPT_71-VOLUME_DATA-PCI_"/>
      <sheetName val="Push_Diag_on_Premise"/>
      <sheetName val="CChannel_Attract_Input"/>
      <sheetName val="Puerto_Rico1"/>
      <sheetName val="Formulas_ME"/>
      <sheetName val="Formulas_MP"/>
      <sheetName val="SH_P&amp;L"/>
      <sheetName val="Code_base"/>
      <sheetName val="2012_AOP_Spain"/>
      <sheetName val="2012_AOP_Alvalle"/>
      <sheetName val="_nfcst_py"/>
      <sheetName val="Parameters"/>
      <sheetName val="RAPOR"/>
      <sheetName val="Vergi_Karşılıkları"/>
      <sheetName val="Input_Sheet2"/>
      <sheetName val="A1_Macro_Trends2"/>
      <sheetName val="2003_Act2"/>
      <sheetName val="Axe_Download1"/>
      <sheetName val="Brut_Download1"/>
      <sheetName val="Category_Download1"/>
      <sheetName val="Degree__Download1"/>
      <sheetName val="Dove_-_Download1"/>
      <sheetName val="Suave_Download1"/>
      <sheetName val="OCF_Change1"/>
      <sheetName val="RPT_71-VOLUME_DATA-PCI_1"/>
      <sheetName val="Push_Diag_on_Premise1"/>
      <sheetName val="CChannel_Attract_Input1"/>
      <sheetName val="Puerto_Rico2"/>
      <sheetName val="Formulas_ME1"/>
      <sheetName val="Formulas_MP1"/>
      <sheetName val="SH_P&amp;L1"/>
      <sheetName val="2012_AOP_Spain1"/>
      <sheetName val="2012_AOP_Alvalle1"/>
      <sheetName val="Code_base1"/>
      <sheetName val="_nfcst_py1"/>
      <sheetName val="Entity_Mapping"/>
      <sheetName val="FMT_14_-VOLUME_BY_BRANDS"/>
      <sheetName val="RPT_50-VOLUME_DATA-PCI_"/>
      <sheetName val="VL,NC,MTC"/>
      <sheetName val="COMICRO ROM"/>
      <sheetName val="A1_Macro_Trends3"/>
      <sheetName val="Input_Sheet3"/>
      <sheetName val="2003_Act3"/>
      <sheetName val="Axe_Download2"/>
      <sheetName val="Brut_Download2"/>
      <sheetName val="Category_Download2"/>
      <sheetName val="Degree__Download2"/>
      <sheetName val="Dove_-_Download2"/>
      <sheetName val="Suave_Download2"/>
      <sheetName val="OCF_Change2"/>
      <sheetName val="RPT_71-VOLUME_DATA-PCI_2"/>
      <sheetName val="Push_Diag_on_Premise2"/>
      <sheetName val="CChannel_Attract_Input2"/>
      <sheetName val="Puerto_Rico3"/>
      <sheetName val="Formulas_ME2"/>
      <sheetName val="Formulas_MP2"/>
      <sheetName val="SH_P&amp;L2"/>
      <sheetName val="2012_AOP_Spain2"/>
      <sheetName val="2012_AOP_Alvalle2"/>
      <sheetName val="Code_base2"/>
      <sheetName val="_nfcst_py2"/>
      <sheetName val="Entity_Mapping1"/>
      <sheetName val="FMT_14_-VOLUME_BY_BRANDS1"/>
      <sheetName val="RPT_50-VOLUME_DATA-PCI_1"/>
      <sheetName val="COMICRO_ROM"/>
      <sheetName val="A1_Macro_Trends4"/>
      <sheetName val="Input_Sheet4"/>
      <sheetName val="2003_Act4"/>
      <sheetName val="Axe_Download3"/>
      <sheetName val="Brut_Download3"/>
      <sheetName val="Category_Download3"/>
      <sheetName val="Degree__Download3"/>
      <sheetName val="Dove_-_Download3"/>
      <sheetName val="Suave_Download3"/>
      <sheetName val="OCF_Change3"/>
      <sheetName val="RPT_71-VOLUME_DATA-PCI_3"/>
      <sheetName val="Push_Diag_on_Premise3"/>
      <sheetName val="CChannel_Attract_Input3"/>
      <sheetName val="Puerto_Rico4"/>
      <sheetName val="Formulas_ME3"/>
      <sheetName val="Formulas_MP3"/>
      <sheetName val="SH_P&amp;L3"/>
      <sheetName val="2012_AOP_Spain3"/>
      <sheetName val="2012_AOP_Alvalle3"/>
      <sheetName val="Code_base3"/>
      <sheetName val="_nfcst_py3"/>
      <sheetName val="Entity_Mapping2"/>
      <sheetName val="FMT_14_-VOLUME_BY_BRANDS2"/>
      <sheetName val="RPT_50-VOLUME_DATA-PCI_2"/>
      <sheetName val="COMICRO_ROM1"/>
      <sheetName val="Reference"/>
      <sheetName val="Org1"/>
      <sheetName val="OCF wtg"/>
      <sheetName val="Detail"/>
      <sheetName val="Historical"/>
      <sheetName val="Sheet5"/>
      <sheetName val="Consol with Adjustments  (2)"/>
      <sheetName val="LTIP"/>
      <sheetName val="Consol"/>
      <sheetName val="Ph&gt;nippines"/>
      <sheetName val="AOP-JUNE FCST"/>
      <sheetName val="A1_Macro_Trends5"/>
      <sheetName val="Axe_Download4"/>
      <sheetName val="Brut_Download4"/>
      <sheetName val="Category_Download4"/>
      <sheetName val="Degree__Download4"/>
      <sheetName val="Dove_-_Download4"/>
      <sheetName val="Suave_Download4"/>
      <sheetName val="2003_Act5"/>
      <sheetName val="Input_Sheet5"/>
      <sheetName val="Formulas_ME4"/>
      <sheetName val="Formulas_MP4"/>
      <sheetName val="OCF_Change4"/>
      <sheetName val="Puerto_Rico5"/>
      <sheetName val="RPT_71-VOLUME_DATA-PCI_4"/>
      <sheetName val="Push_Diag_on_Premise4"/>
      <sheetName val="CChannel_Attract_Input4"/>
      <sheetName val="Code_base4"/>
      <sheetName val="SH_P&amp;L4"/>
      <sheetName val="2012_AOP_Spain4"/>
      <sheetName val="2012_AOP_Alvalle4"/>
      <sheetName val="_nfcst_py4"/>
      <sheetName val="A1_Macro_Trends6"/>
      <sheetName val="2003_Act6"/>
      <sheetName val="Input_Sheet6"/>
      <sheetName val="OCF_Change5"/>
      <sheetName val="Axe_Download5"/>
      <sheetName val="Brut_Download5"/>
      <sheetName val="Category_Download5"/>
      <sheetName val="Degree__Download5"/>
      <sheetName val="Dove_-_Download5"/>
      <sheetName val="Suave_Download5"/>
      <sheetName val="Puerto_Rico6"/>
      <sheetName val="RPT_71-VOLUME_DATA-PCI_5"/>
      <sheetName val="Push_Diag_on_Premise5"/>
      <sheetName val="CChannel_Attract_Input5"/>
      <sheetName val="Formulas_ME5"/>
      <sheetName val="Formulas_MP5"/>
      <sheetName val="SH_P&amp;L5"/>
      <sheetName val="Code_base5"/>
      <sheetName val="2012_AOP_Spain5"/>
      <sheetName val="2012_AOP_Alvalle5"/>
      <sheetName val="_nfcst_py5"/>
      <sheetName val="OCF_wtg"/>
      <sheetName val="Consol_with_Adjustments__(2)"/>
      <sheetName val="AOP-JUNE_FCST"/>
      <sheetName val="Entity_Mapping3"/>
      <sheetName val="FMT_14_-VOLUME_BY_BRANDS3"/>
      <sheetName val="RPT_50-VOLUME_DATA-PCI_3"/>
      <sheetName val="COMICRO_ROM2"/>
      <sheetName val="Entity_Mapping4"/>
      <sheetName val="FMT_14_-VOLUME_BY_BRANDS4"/>
      <sheetName val="RPT_50-VOLUME_DATA-PCI_4"/>
      <sheetName val="COMICRO_ROM3"/>
      <sheetName val="Input_Sheet7"/>
      <sheetName val="A1_Macro_Trends7"/>
      <sheetName val="2003_Act7"/>
      <sheetName val="OCF_Change6"/>
      <sheetName val="Axe_Download6"/>
      <sheetName val="Brut_Download6"/>
      <sheetName val="Category_Download6"/>
      <sheetName val="Degree__Download6"/>
      <sheetName val="Dove_-_Download6"/>
      <sheetName val="Suave_Download6"/>
      <sheetName val="RPT_71-VOLUME_DATA-PCI_6"/>
      <sheetName val="Push_Diag_on_Premise6"/>
      <sheetName val="CChannel_Attract_Input6"/>
      <sheetName val="Puerto_Rico7"/>
      <sheetName val="Formulas_ME6"/>
      <sheetName val="Formulas_MP6"/>
      <sheetName val="SH_P&amp;L6"/>
      <sheetName val="Code_base6"/>
      <sheetName val="2012_AOP_Spain6"/>
      <sheetName val="2012_AOP_Alvalle6"/>
      <sheetName val="_nfcst_py6"/>
      <sheetName val="Entity_Mapping5"/>
      <sheetName val="FMT_14_-VOLUME_BY_BRANDS5"/>
      <sheetName val="RPT_50-VOLUME_DATA-PCI_5"/>
      <sheetName val="COMICRO_ROM4"/>
      <sheetName val="A1_Macro_Trends8"/>
      <sheetName val="Input_Sheet8"/>
      <sheetName val="2003_Act8"/>
      <sheetName val="Axe_Download7"/>
      <sheetName val="Brut_Download7"/>
      <sheetName val="Category_Download7"/>
      <sheetName val="Degree__Download7"/>
      <sheetName val="Dove_-_Download7"/>
      <sheetName val="Suave_Download7"/>
      <sheetName val="OCF_Change7"/>
      <sheetName val="RPT_71-VOLUME_DATA-PCI_7"/>
      <sheetName val="Push_Diag_on_Premise7"/>
      <sheetName val="CChannel_Attract_Input7"/>
      <sheetName val="Puerto_Rico8"/>
      <sheetName val="Formulas_ME7"/>
      <sheetName val="Formulas_MP7"/>
      <sheetName val="SH_P&amp;L7"/>
      <sheetName val="2012_AOP_Spain7"/>
      <sheetName val="2012_AOP_Alvalle7"/>
      <sheetName val="Code_base7"/>
      <sheetName val="_nfcst_py7"/>
      <sheetName val="Entity_Mapping6"/>
      <sheetName val="FMT_14_-VOLUME_BY_BRANDS6"/>
      <sheetName val="RPT_50-VOLUME_DATA-PCI_6"/>
      <sheetName val="COMICRO_ROM5"/>
      <sheetName val="OCF_wtg1"/>
      <sheetName val="Consol_with_Adjustments__(2)1"/>
      <sheetName val="AOP-JUNE_FCST1"/>
      <sheetName val="CURRENCY RATES"/>
      <sheetName val="2005"/>
      <sheetName val="configuracion"/>
      <sheetName val="NOMINA"/>
      <sheetName val="PLANopex"/>
      <sheetName val="Hyper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ctual 2007 GAAP"/>
      <sheetName val="Supports-GAAP"/>
      <sheetName val="Supports-GAAP (2)"/>
      <sheetName val="HYP_Mapping"/>
      <sheetName val="GAAP - Adj."/>
      <sheetName val="Adjustments"/>
      <sheetName val="Comparison SR-GAAP"/>
      <sheetName val="Comparison $ GAAP"/>
      <sheetName val="Actuals 2007-$ GAAP"/>
      <sheetName val="June FCST"/>
      <sheetName val="JUN FCST"/>
      <sheetName val="AOP 2007"/>
      <sheetName val="Actuals 2006 - SR"/>
      <sheetName val="Cash Flow 2006 - SR-GAAP"/>
      <sheetName val="Cash Flow 2005 $-GAAP"/>
      <sheetName val="Actuals 2005 - SR"/>
      <sheetName val="Comparison $ - Outlook"/>
      <sheetName val="Actuals 2003 - SR"/>
      <sheetName val="Actuals 2002 - SR"/>
      <sheetName val="Actuals 2001 - SR"/>
      <sheetName val="Actuals 2000 - SR"/>
      <sheetName val="Actuals 1999 - SR"/>
      <sheetName val="Actuals 1998 - SR"/>
      <sheetName val="Actuals 1997 - SR"/>
      <sheetName val="Actuals 1996 - SR"/>
      <sheetName val="Cash Flow 2002 - SR"/>
      <sheetName val="Actuals 2004 - SR"/>
      <sheetName val="Supports-GAAP 2005"/>
      <sheetName val="Hyp_Rates"/>
      <sheetName val="BS-Ass"/>
      <sheetName val="BS-Lia"/>
      <sheetName val="P&amp;L-SR jUNE fcst"/>
      <sheetName val="Actual_2007_GAAP"/>
      <sheetName val="Supports-GAAP_(2)"/>
      <sheetName val="GAAP_-_Adj_"/>
      <sheetName val="Comparison_SR-GAAP"/>
      <sheetName val="Comparison_$_GAAP"/>
      <sheetName val="Actuals_2007-$_GAAP"/>
      <sheetName val="June_FCST"/>
      <sheetName val="JUN_FCST"/>
      <sheetName val="AOP_2007"/>
      <sheetName val="Actuals_2006_-_SR"/>
      <sheetName val="Cash_Flow_2006_-_SR-GAAP"/>
      <sheetName val="Cash_Flow_2005_$-GAAP"/>
      <sheetName val="Actuals_2005_-_SR"/>
      <sheetName val="Comparison_$_-_Outlook"/>
      <sheetName val="Actuals_2003_-_SR"/>
      <sheetName val="Actuals_2002_-_SR"/>
      <sheetName val="Actuals_2001_-_SR"/>
      <sheetName val="Actuals_2000_-_SR"/>
      <sheetName val="Actuals_1999_-_SR"/>
      <sheetName val="Actuals_1998_-_SR"/>
      <sheetName val="Actuals_1997_-_SR"/>
      <sheetName val="Actuals_1996_-_SR"/>
      <sheetName val="Cash_Flow_2002_-_SR"/>
      <sheetName val="Actuals_2004_-_SR"/>
      <sheetName val="Supports-GAAP_2005"/>
      <sheetName val="P&amp;L-SR_jUNE_fcst"/>
      <sheetName val="Actual_2007_GAAP1"/>
      <sheetName val="Supports-GAAP_(2)1"/>
      <sheetName val="GAAP_-_Adj_1"/>
      <sheetName val="Comparison_SR-GAAP1"/>
      <sheetName val="Comparison_$_GAAP1"/>
      <sheetName val="Actuals_2007-$_GAAP1"/>
      <sheetName val="June_FCST1"/>
      <sheetName val="JUN_FCST1"/>
      <sheetName val="AOP_20071"/>
      <sheetName val="Actuals_2006_-_SR1"/>
      <sheetName val="Cash_Flow_2006_-_SR-GAAP1"/>
      <sheetName val="Cash_Flow_2005_$-GAAP1"/>
      <sheetName val="Actuals_2005_-_SR1"/>
      <sheetName val="Comparison_$_-_Outlook1"/>
      <sheetName val="Actuals_2003_-_SR1"/>
      <sheetName val="Actuals_2002_-_SR1"/>
      <sheetName val="Actuals_2001_-_SR1"/>
      <sheetName val="Actuals_2000_-_SR1"/>
      <sheetName val="Actuals_1999_-_SR1"/>
      <sheetName val="Actuals_1998_-_SR1"/>
      <sheetName val="Actuals_1997_-_SR1"/>
      <sheetName val="Actuals_1996_-_SR1"/>
      <sheetName val="Cash_Flow_2002_-_SR1"/>
      <sheetName val="Actuals_2004_-_SR1"/>
      <sheetName val="Supports-GAAP_20051"/>
      <sheetName val="P&amp;L-SR_jUNE_fcst1"/>
      <sheetName val="Actual_2007_GAAP2"/>
      <sheetName val="Supports-GAAP_(2)2"/>
      <sheetName val="GAAP_-_Adj_2"/>
      <sheetName val="Comparison_SR-GAAP2"/>
      <sheetName val="Comparison_$_GAAP2"/>
      <sheetName val="Actuals_2007-$_GAAP2"/>
      <sheetName val="June_FCST2"/>
      <sheetName val="JUN_FCST2"/>
      <sheetName val="AOP_20072"/>
      <sheetName val="Actuals_2006_-_SR2"/>
      <sheetName val="Cash_Flow_2006_-_SR-GAAP2"/>
      <sheetName val="Cash_Flow_2005_$-GAAP2"/>
      <sheetName val="Actuals_2005_-_SR2"/>
      <sheetName val="Comparison_$_-_Outlook2"/>
      <sheetName val="Actuals_2003_-_SR2"/>
      <sheetName val="Actuals_2002_-_SR2"/>
      <sheetName val="Actuals_2001_-_SR2"/>
      <sheetName val="Actuals_2000_-_SR2"/>
      <sheetName val="Actuals_1999_-_SR2"/>
      <sheetName val="Actuals_1998_-_SR2"/>
      <sheetName val="Actuals_1997_-_SR2"/>
      <sheetName val="Actuals_1996_-_SR2"/>
      <sheetName val="Cash_Flow_2002_-_SR2"/>
      <sheetName val="Actuals_2004_-_SR2"/>
      <sheetName val="Supports-GAAP_20052"/>
      <sheetName val="P&amp;L-SR_jUNE_fcs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140A (2)"/>
      <sheetName val="PRES"/>
      <sheetName val="PRESENTACION 2004"/>
      <sheetName val="SumaryOpex"/>
      <sheetName val="PLANopex"/>
      <sheetName val="NOMINA"/>
      <sheetName val="Depreciacion"/>
      <sheetName val="Telephone"/>
      <sheetName val="attach2"/>
      <sheetName val="attach4"/>
      <sheetName val="SCH50"/>
      <sheetName val="SCH102"/>
      <sheetName val="SCH520"/>
      <sheetName val="SCH520 (A)"/>
      <sheetName val="COST ADAYT 30"/>
      <sheetName val="COMP ADAYT"/>
      <sheetName val="COST ADAYT 29"/>
      <sheetName val="Sheet1"/>
      <sheetName val="ANALISYS"/>
      <sheetName val="Assumptions"/>
      <sheetName val="Summary1"/>
      <sheetName val="COGSSUMMARY-A"/>
      <sheetName val="COGSSUMMARY-B"/>
      <sheetName val="SCH140A"/>
      <sheetName val="SCH140B"/>
      <sheetName val="SCH200"/>
      <sheetName val="SCH201A"/>
      <sheetName val="Sch201b"/>
      <sheetName val="sch500 plant"/>
      <sheetName val="sch500 Bev Lab"/>
      <sheetName val="SCH300-A"/>
      <sheetName val="SCH300-B"/>
      <sheetName val="configuracion"/>
      <sheetName val="VOLM CA"/>
      <sheetName val="EXP"/>
      <sheetName val="attach1"/>
      <sheetName val="Attach3"/>
      <sheetName val="SCH220A"/>
      <sheetName val="SCH220B"/>
      <sheetName val="ANAS"/>
      <sheetName val="ExpComp2"/>
      <sheetName val="ExpComp1"/>
      <sheetName val="VOL"/>
      <sheetName val="EXP1"/>
      <sheetName val="PLAN"/>
      <sheetName val="COM"/>
      <sheetName val="SCH101A"/>
      <sheetName val="CCOS"/>
      <sheetName val="presentacion"/>
      <sheetName val="30's-Components"/>
      <sheetName val="30_s_Components"/>
      <sheetName val="2005"/>
      <sheetName val="Jan"/>
      <sheetName val="1. Input data &amp; Assumptions"/>
      <sheetName val="CAL"/>
      <sheetName val="AOP-JUNE FCST"/>
      <sheetName val="SCH140A_(2)"/>
      <sheetName val="PRESENTACION_2004"/>
      <sheetName val="SCH520_(A)"/>
      <sheetName val="COST_ADAYT_30"/>
      <sheetName val="COMP_ADAYT"/>
      <sheetName val="COST_ADAYT_29"/>
      <sheetName val="sch500_plant"/>
      <sheetName val="sch500_Bev_Lab"/>
      <sheetName val="VOLM_CA"/>
      <sheetName val="1__Input_data_&amp;_Assumptions"/>
      <sheetName val="WCOL INDEX"/>
      <sheetName val="WCOL INPUT"/>
      <sheetName val="Gain on sale"/>
      <sheetName val="LayB"/>
      <sheetName val="qkAPPS"/>
      <sheetName val="Validation Rules"/>
      <sheetName val="Macro Market Trends"/>
      <sheetName val="SCH140A_(2)1"/>
      <sheetName val="PRESENTACION_20041"/>
      <sheetName val="SCH520_(A)1"/>
      <sheetName val="COST_ADAYT_301"/>
      <sheetName val="COMP_ADAYT1"/>
      <sheetName val="COST_ADAYT_291"/>
      <sheetName val="sch500_plant1"/>
      <sheetName val="sch500_Bev_Lab1"/>
      <sheetName val="VOLM_CA1"/>
      <sheetName val="1__Input_data_&amp;_Assumptions1"/>
      <sheetName val="AOP-JUNE_FCST"/>
      <sheetName val="WCOL_INDEX"/>
      <sheetName val="WCOL_INPUT"/>
      <sheetName val="Gain_on_sale"/>
      <sheetName val="Validation_Rules"/>
      <sheetName val="Macro_Market_Trends"/>
      <sheetName val="SCH140A_(2)2"/>
      <sheetName val="PRESENTACION_20042"/>
      <sheetName val="SCH520_(A)2"/>
      <sheetName val="COST_ADAYT_302"/>
      <sheetName val="COMP_ADAYT2"/>
      <sheetName val="COST_ADAYT_292"/>
      <sheetName val="sch500_plant2"/>
      <sheetName val="sch500_Bev_Lab2"/>
      <sheetName val="VOLM_CA2"/>
      <sheetName val="1__Input_data_&amp;_Assumptions2"/>
      <sheetName val="AOP-JUNE_FCST1"/>
      <sheetName val="WCOL_INDEX1"/>
      <sheetName val="WCOL_INPUT1"/>
      <sheetName val="Gain_on_sale1"/>
      <sheetName val="Validation_Rules1"/>
      <sheetName val="Macro_Market_Trends1"/>
      <sheetName val="SCH140A_(2)3"/>
      <sheetName val="PRESENTACION_20043"/>
      <sheetName val="SCH520_(A)3"/>
      <sheetName val="COST_ADAYT_303"/>
      <sheetName val="COMP_ADAYT3"/>
      <sheetName val="COST_ADAYT_293"/>
      <sheetName val="sch500_plant3"/>
      <sheetName val="sch500_Bev_Lab3"/>
      <sheetName val="VOLM_CA3"/>
      <sheetName val="1__Input_data_&amp;_Assumptions3"/>
      <sheetName val="AOP-JUNE_FCST2"/>
      <sheetName val="WCOL_INDEX2"/>
      <sheetName val="WCOL_INPUT2"/>
      <sheetName val="Gain_on_sale2"/>
      <sheetName val="Validation_Rules2"/>
      <sheetName val="Macro_Market_Trend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BEV FC Input"/>
      <sheetName val="BEV FC Link"/>
      <sheetName val="BEV Report"/>
      <sheetName val="SNK FC Input"/>
      <sheetName val="SNK FC Link"/>
      <sheetName val="SNK Report"/>
      <sheetName val="PL FC Input"/>
      <sheetName val="PL FC Link"/>
      <sheetName val="PL Report"/>
      <sheetName val="BS FC Input"/>
      <sheetName val="BS FC Link"/>
      <sheetName val="BS Report"/>
      <sheetName val="CF Report"/>
      <sheetName val="Forex Rates"/>
      <sheetName val="BS Validation"/>
      <sheetName val="TAR BEV Report"/>
      <sheetName val="TAR SNK Report"/>
      <sheetName val="Profit and Loss"/>
      <sheetName val="Balance Sheet"/>
      <sheetName val="Beverage Volume"/>
      <sheetName val="Snacks Volume &amp; Gross Sales"/>
      <sheetName val="Beverage Entities"/>
      <sheetName val="Snacks Entities"/>
      <sheetName val="Reference"/>
      <sheetName val="Basespend"/>
      <sheetName val="PSDload"/>
      <sheetName val="DEP12"/>
      <sheetName val="Control_Panel"/>
      <sheetName val="BEV_FC_Input"/>
      <sheetName val="BEV_FC_Link"/>
      <sheetName val="BEV_Report"/>
      <sheetName val="SNK_FC_Input"/>
      <sheetName val="SNK_FC_Link"/>
      <sheetName val="SNK_Report"/>
      <sheetName val="PL_FC_Input"/>
      <sheetName val="PL_FC_Link"/>
      <sheetName val="PL_Report"/>
      <sheetName val="BS_FC_Input"/>
      <sheetName val="BS_FC_Link"/>
      <sheetName val="BS_Report"/>
      <sheetName val="CF_Report"/>
      <sheetName val="Forex_Rates"/>
      <sheetName val="BS_Validation"/>
      <sheetName val="TAR_BEV_Report"/>
      <sheetName val="TAR_SNK_Report"/>
      <sheetName val="Profit_and_Loss"/>
      <sheetName val="Balance_Sheet"/>
      <sheetName val="Beverage_Volume"/>
      <sheetName val="Snacks_Volume_&amp;_Gross_Sales"/>
      <sheetName val="Beverage_Entities"/>
      <sheetName val="Snacks_Entities"/>
      <sheetName val="Control_Panel1"/>
      <sheetName val="BEV_FC_Input1"/>
      <sheetName val="BEV_FC_Link1"/>
      <sheetName val="BEV_Report1"/>
      <sheetName val="SNK_FC_Input1"/>
      <sheetName val="SNK_FC_Link1"/>
      <sheetName val="SNK_Report1"/>
      <sheetName val="PL_FC_Input1"/>
      <sheetName val="PL_FC_Link1"/>
      <sheetName val="PL_Report1"/>
      <sheetName val="BS_FC_Input1"/>
      <sheetName val="BS_FC_Link1"/>
      <sheetName val="BS_Report1"/>
      <sheetName val="CF_Report1"/>
      <sheetName val="Forex_Rates1"/>
      <sheetName val="BS_Validation1"/>
      <sheetName val="TAR_BEV_Report1"/>
      <sheetName val="TAR_SNK_Report1"/>
      <sheetName val="Profit_and_Loss1"/>
      <sheetName val="Balance_Sheet1"/>
      <sheetName val="Beverage_Volume1"/>
      <sheetName val="Snacks_Volume_&amp;_Gross_Sales1"/>
      <sheetName val="Beverage_Entities1"/>
      <sheetName val="Snacks_Entities1"/>
      <sheetName val="Control_Panel2"/>
      <sheetName val="BEV_FC_Input2"/>
      <sheetName val="BEV_FC_Link2"/>
      <sheetName val="BEV_Report2"/>
      <sheetName val="SNK_FC_Input2"/>
      <sheetName val="SNK_FC_Link2"/>
      <sheetName val="SNK_Report2"/>
      <sheetName val="PL_FC_Input2"/>
      <sheetName val="PL_FC_Link2"/>
      <sheetName val="PL_Report2"/>
      <sheetName val="BS_FC_Input2"/>
      <sheetName val="BS_FC_Link2"/>
      <sheetName val="BS_Report2"/>
      <sheetName val="CF_Report2"/>
      <sheetName val="Forex_Rates2"/>
      <sheetName val="BS_Validation2"/>
      <sheetName val="TAR_BEV_Report2"/>
      <sheetName val="TAR_SNK_Report2"/>
      <sheetName val="Profit_and_Loss2"/>
      <sheetName val="Balance_Sheet2"/>
      <sheetName val="Beverage_Volume2"/>
      <sheetName val="Snacks_Volume_&amp;_Gross_Sales2"/>
      <sheetName val="Beverage_Entities2"/>
      <sheetName val="Snacks_Entities2"/>
    </sheetNames>
    <sheetDataSet>
      <sheetData sheetId="0" refreshError="1">
        <row r="17">
          <cell r="B17" t="str">
            <v>Beverage Volume Forecast - Link</v>
          </cell>
        </row>
        <row r="21">
          <cell r="B21" t="str">
            <v>Profit and Loss Forecast - Link</v>
          </cell>
        </row>
        <row r="29">
          <cell r="B29" t="str">
            <v>Balance Sheet Forecast - Link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9">
          <cell r="C9" t="str">
            <v>AS1000</v>
          </cell>
        </row>
        <row r="289">
          <cell r="C289" t="str">
            <v>DASUS100007</v>
          </cell>
          <cell r="D289" t="str">
            <v>CASH - UNRESTRICTED</v>
          </cell>
        </row>
        <row r="290">
          <cell r="C290" t="str">
            <v>DASUS1610.55</v>
          </cell>
          <cell r="D290" t="str">
            <v>AR Other - Other</v>
          </cell>
        </row>
        <row r="291">
          <cell r="C291" t="str">
            <v>DASUS180210</v>
          </cell>
          <cell r="D291" t="str">
            <v>Ext Accrd Int Rec-External Int Income</v>
          </cell>
        </row>
        <row r="292">
          <cell r="C292" t="str">
            <v>DASUS180215</v>
          </cell>
          <cell r="D292" t="str">
            <v>Ext Accrd Int Rec-Cash Receipts</v>
          </cell>
        </row>
        <row r="293">
          <cell r="C293" t="str">
            <v>DASUS180410</v>
          </cell>
          <cell r="D293" t="str">
            <v>Ext Accrd Int Rec-External Int Income</v>
          </cell>
        </row>
        <row r="294">
          <cell r="C294" t="str">
            <v>DASUS180415</v>
          </cell>
          <cell r="D294" t="str">
            <v>Ext Accrd Int Rec-Cash Receipts</v>
          </cell>
        </row>
        <row r="295">
          <cell r="C295" t="str">
            <v>DASUS180610</v>
          </cell>
          <cell r="D295" t="str">
            <v>Ext Accrd Int - Other - Ext Int Income</v>
          </cell>
        </row>
        <row r="296">
          <cell r="C296" t="str">
            <v>DASUS180615</v>
          </cell>
          <cell r="D296" t="str">
            <v>Ext Accrd Int - Other - Cash Receipts</v>
          </cell>
        </row>
        <row r="297">
          <cell r="C297" t="str">
            <v>DASUS190005.Previous</v>
          </cell>
          <cell r="D297" t="str">
            <v>*ADA - Beginning of Year - Previous</v>
          </cell>
        </row>
        <row r="298">
          <cell r="C298" t="str">
            <v>DASUS190005.Activity</v>
          </cell>
          <cell r="D298" t="str">
            <v>*ADA - Beginning of Year - Activity</v>
          </cell>
        </row>
        <row r="299">
          <cell r="C299" t="str">
            <v>DASUS190010</v>
          </cell>
          <cell r="D299" t="str">
            <v>ADA - Current Year Provision</v>
          </cell>
        </row>
        <row r="300">
          <cell r="C300" t="str">
            <v>DASUS190020</v>
          </cell>
          <cell r="D300" t="str">
            <v>ADA - Translation Adj for additions</v>
          </cell>
        </row>
        <row r="301">
          <cell r="C301" t="str">
            <v>DASUS190050</v>
          </cell>
          <cell r="D301" t="str">
            <v>ADA - Write off of uncollectable accts.</v>
          </cell>
        </row>
        <row r="302">
          <cell r="C302" t="str">
            <v>DASUS190055</v>
          </cell>
          <cell r="D302" t="str">
            <v>ADA - Translation Adjust. for Deductions</v>
          </cell>
        </row>
        <row r="303">
          <cell r="C303" t="str">
            <v>DASUS190057</v>
          </cell>
          <cell r="D303" t="str">
            <v>ADA - Translation Adjustment for Beg Bal</v>
          </cell>
        </row>
        <row r="304">
          <cell r="C304" t="str">
            <v>DASUS3500.55.03</v>
          </cell>
          <cell r="D304" t="str">
            <v>Prepaid - Other</v>
          </cell>
        </row>
        <row r="305">
          <cell r="C305" t="str">
            <v>DASUS4150</v>
          </cell>
          <cell r="D305" t="str">
            <v>Detail AR Trade - Intracompany</v>
          </cell>
        </row>
        <row r="306">
          <cell r="C306" t="str">
            <v>DASUS4200.HCHN2375</v>
          </cell>
          <cell r="D306" t="str">
            <v>PEPSICO INVESTMENTS CHINA LTD (PICL)</v>
          </cell>
        </row>
        <row r="307">
          <cell r="C307" t="str">
            <v>DASUS4250.PBIRE850</v>
          </cell>
          <cell r="D307" t="str">
            <v>CONCENTRATE MFG CO. OF IRELAND</v>
          </cell>
        </row>
        <row r="308">
          <cell r="C308" t="str">
            <v>DASUS600015</v>
          </cell>
          <cell r="D308" t="str">
            <v>Invst Affil at Equity - Beg Balance</v>
          </cell>
        </row>
        <row r="309">
          <cell r="C309" t="str">
            <v>DASUS600020.68</v>
          </cell>
          <cell r="D309" t="str">
            <v>FLI - Chipima (Portugal)</v>
          </cell>
        </row>
        <row r="310">
          <cell r="C310" t="str">
            <v>DASUS600020.503</v>
          </cell>
          <cell r="D310" t="str">
            <v>PCI - Lipton</v>
          </cell>
        </row>
        <row r="311">
          <cell r="C311" t="str">
            <v>DASUS600025.151</v>
          </cell>
          <cell r="D311" t="str">
            <v>TROP - Kirin Lemon Corp. (Japan)</v>
          </cell>
        </row>
        <row r="312">
          <cell r="C312" t="str">
            <v>DASUS600025.208</v>
          </cell>
          <cell r="D312" t="str">
            <v>PCI - Chan_Chung (China)</v>
          </cell>
        </row>
        <row r="313">
          <cell r="C313" t="str">
            <v>DASUS600025.212</v>
          </cell>
          <cell r="D313" t="str">
            <v>PCI - Shanghai (China)</v>
          </cell>
        </row>
        <row r="314">
          <cell r="C314" t="str">
            <v>DASUS600025.213</v>
          </cell>
          <cell r="D314" t="str">
            <v>PCI - Shenzhen (China)</v>
          </cell>
        </row>
        <row r="315">
          <cell r="C315" t="str">
            <v>DASUS600025.224</v>
          </cell>
          <cell r="D315" t="str">
            <v>PCI - Guesa (Mexico)</v>
          </cell>
        </row>
        <row r="316">
          <cell r="C316" t="str">
            <v>DASUS600025.239</v>
          </cell>
          <cell r="D316" t="str">
            <v>PCI - Britvic (UK)</v>
          </cell>
        </row>
        <row r="317">
          <cell r="C317" t="str">
            <v>DASUS600025.506</v>
          </cell>
          <cell r="D317" t="str">
            <v>PCI - Fuzhou</v>
          </cell>
        </row>
        <row r="318">
          <cell r="C318" t="str">
            <v>DASUS600030.503</v>
          </cell>
          <cell r="D318" t="str">
            <v>PCI - Lipton</v>
          </cell>
        </row>
        <row r="319">
          <cell r="C319" t="str">
            <v>DASUS600035.239</v>
          </cell>
          <cell r="D319" t="str">
            <v>PCI - Britvic (UK)</v>
          </cell>
        </row>
        <row r="320">
          <cell r="C320" t="str">
            <v>DASUS600050.207</v>
          </cell>
          <cell r="D320" t="str">
            <v>PCI - Beijing (China)</v>
          </cell>
        </row>
        <row r="321">
          <cell r="C321" t="str">
            <v>DASUS600050.214</v>
          </cell>
          <cell r="D321" t="str">
            <v>PCI - ChongQuing TianFu (China)</v>
          </cell>
        </row>
        <row r="322">
          <cell r="C322" t="str">
            <v>DASUS600050.221</v>
          </cell>
          <cell r="D322" t="str">
            <v>PCI - Constar Pet (Mexico)</v>
          </cell>
        </row>
        <row r="323">
          <cell r="C323" t="str">
            <v>DASUS600055.239</v>
          </cell>
          <cell r="D323" t="str">
            <v>PCI - Britvic (UK)</v>
          </cell>
        </row>
        <row r="324">
          <cell r="C324" t="str">
            <v>DASUS600070</v>
          </cell>
          <cell r="D324" t="str">
            <v>Invst Affil at Equity - Profit in Inv</v>
          </cell>
        </row>
        <row r="325">
          <cell r="C325" t="str">
            <v>DASUS6100.1000.Previous</v>
          </cell>
          <cell r="D325" t="str">
            <v>PCI Venezuela - Frito-Lay Venezuela</v>
          </cell>
        </row>
        <row r="326">
          <cell r="C326" t="str">
            <v>DASUS6100.1024.Previous</v>
          </cell>
          <cell r="D326" t="str">
            <v>PCI Inversiones Chile - PFI Chile</v>
          </cell>
        </row>
        <row r="327">
          <cell r="C327" t="str">
            <v>DASUS6100.1030.Previous</v>
          </cell>
          <cell r="D327" t="str">
            <v>PCI - Polis SRL Italy -Grocery Intl Hold</v>
          </cell>
        </row>
        <row r="328">
          <cell r="C328" t="str">
            <v>DASUS6100.1032.Previous</v>
          </cell>
          <cell r="D328" t="str">
            <v>PCI - Pep-Cola MX Inv in Pep-Cola MX Fin</v>
          </cell>
        </row>
        <row r="329">
          <cell r="C329" t="str">
            <v>DASUS6100.1033.Previous</v>
          </cell>
          <cell r="D329" t="str">
            <v>PCI - Open 5</v>
          </cell>
        </row>
        <row r="330">
          <cell r="C330" t="str">
            <v>DASUS6100.1034.PREVIOUS</v>
          </cell>
          <cell r="D330" t="str">
            <v>PCI - Open 6</v>
          </cell>
        </row>
        <row r="331">
          <cell r="C331" t="str">
            <v>DASUS6100.1043.Previous</v>
          </cell>
          <cell r="D331" t="str">
            <v>PCI - Open</v>
          </cell>
        </row>
        <row r="332">
          <cell r="C332" t="str">
            <v>DASUS6100.2016.Previous</v>
          </cell>
          <cell r="D332" t="str">
            <v>FLI - Open 2</v>
          </cell>
        </row>
        <row r="333">
          <cell r="C333" t="str">
            <v>DASUS6100.2016.Activity</v>
          </cell>
          <cell r="D333" t="str">
            <v>FLI - Open 2</v>
          </cell>
        </row>
        <row r="334">
          <cell r="C334" t="str">
            <v>DASUS6150.Previous</v>
          </cell>
          <cell r="D334" t="str">
            <v>*Detail Invest in Affil Consol w/in Divis - Previous</v>
          </cell>
        </row>
        <row r="335">
          <cell r="C335" t="str">
            <v>DASUS6150.Activity</v>
          </cell>
          <cell r="D335" t="str">
            <v>*Detail Invest in Affil Consol w/in Divis - Activity</v>
          </cell>
        </row>
        <row r="336">
          <cell r="C336" t="str">
            <v>DASUS630005</v>
          </cell>
          <cell r="D336" t="str">
            <v>Other Investments Beg Balance</v>
          </cell>
        </row>
        <row r="337">
          <cell r="C337" t="str">
            <v>DASUS630010.02</v>
          </cell>
          <cell r="D337" t="str">
            <v>Oth2-Double Click to Insert Description</v>
          </cell>
        </row>
        <row r="338">
          <cell r="C338" t="str">
            <v>DASUS630017.01</v>
          </cell>
          <cell r="D338" t="str">
            <v>OTHER REMAINING BALANCES (IMMATERIAL)</v>
          </cell>
        </row>
        <row r="339">
          <cell r="C339" t="str">
            <v>DASUS720005.05</v>
          </cell>
          <cell r="D339" t="str">
            <v>Beginning Balance PP&amp;E - Land</v>
          </cell>
        </row>
        <row r="340">
          <cell r="C340" t="str">
            <v>DASUS720005.07</v>
          </cell>
          <cell r="D340" t="str">
            <v>Beginning Balance PP&amp;E - Land Improvements</v>
          </cell>
        </row>
        <row r="341">
          <cell r="C341" t="str">
            <v>DASUS720005.10</v>
          </cell>
          <cell r="D341" t="str">
            <v>Beginning Balance PP&amp;E - Buildings</v>
          </cell>
        </row>
        <row r="342">
          <cell r="C342" t="str">
            <v>DASUS720005.15</v>
          </cell>
          <cell r="D342" t="str">
            <v>Beginning Balance PP&amp;E - Leasehold Improvements</v>
          </cell>
        </row>
        <row r="343">
          <cell r="C343" t="str">
            <v>DASUS720005.20</v>
          </cell>
          <cell r="D343" t="str">
            <v>Beginning Balance PP&amp;E - Machinery and Equipment</v>
          </cell>
        </row>
        <row r="344">
          <cell r="C344" t="str">
            <v>DASUS720005.25</v>
          </cell>
          <cell r="D344" t="str">
            <v>Beginning Balance PP&amp;E - Vending Machines</v>
          </cell>
        </row>
        <row r="345">
          <cell r="C345" t="str">
            <v>DASUS720005.30</v>
          </cell>
          <cell r="D345" t="str">
            <v>Beginning Balance PP&amp;E - Transportation Equipment</v>
          </cell>
        </row>
        <row r="346">
          <cell r="C346" t="str">
            <v>DASUS720005.35</v>
          </cell>
          <cell r="D346" t="str">
            <v>Beginning Balance PP&amp;E - Computer Equipment</v>
          </cell>
        </row>
        <row r="347">
          <cell r="C347" t="str">
            <v>DASUS720005.40</v>
          </cell>
          <cell r="D347" t="str">
            <v>Beginning Balance PP&amp;E - Furniture and Fixtures</v>
          </cell>
        </row>
        <row r="348">
          <cell r="C348" t="str">
            <v>DASUS720005.45</v>
          </cell>
          <cell r="D348" t="str">
            <v>Beginning Balance PP&amp;E - Construction Work in Progress</v>
          </cell>
        </row>
        <row r="349">
          <cell r="C349" t="str">
            <v>DASUS720005.50</v>
          </cell>
          <cell r="D349" t="str">
            <v>Beginning Balance PP&amp;E - Software Costs</v>
          </cell>
        </row>
        <row r="350">
          <cell r="C350" t="str">
            <v>DASUS720005.57</v>
          </cell>
          <cell r="D350" t="str">
            <v>Beginning Balance PP&amp;E - Capital Leases - Machinery and Equipment</v>
          </cell>
        </row>
        <row r="351">
          <cell r="C351" t="str">
            <v>DASUS720010</v>
          </cell>
          <cell r="D351" t="str">
            <v>Purchases PP&amp;E</v>
          </cell>
        </row>
        <row r="352">
          <cell r="C352" t="str">
            <v>DASUS720020</v>
          </cell>
          <cell r="D352" t="str">
            <v>Acquistions -  PP&amp;E</v>
          </cell>
        </row>
        <row r="353">
          <cell r="C353" t="str">
            <v>DASUS720030.05</v>
          </cell>
          <cell r="D353" t="str">
            <v>Intercompany Transfers In PP&amp;E - Land</v>
          </cell>
        </row>
        <row r="354">
          <cell r="C354" t="str">
            <v>DASUS720030.10</v>
          </cell>
          <cell r="D354" t="str">
            <v>Intercompany Transfers In PP&amp;E - Buildings</v>
          </cell>
        </row>
        <row r="355">
          <cell r="C355" t="str">
            <v>DASUS720030.20</v>
          </cell>
          <cell r="D355" t="str">
            <v>Intercompany Transfers In PP&amp;E -Machinery and Equipment</v>
          </cell>
        </row>
        <row r="356">
          <cell r="C356" t="str">
            <v>DASUS720030.30</v>
          </cell>
          <cell r="D356" t="str">
            <v>Intercompany Transfers In PP&amp;E - Transportation Equipment</v>
          </cell>
        </row>
        <row r="357">
          <cell r="C357" t="str">
            <v>DASUS720030.35</v>
          </cell>
          <cell r="D357" t="str">
            <v>Intercompany Transfers In PP&amp;E - Computer Equipment</v>
          </cell>
        </row>
        <row r="358">
          <cell r="C358" t="str">
            <v>DASUS720030.40</v>
          </cell>
          <cell r="D358" t="str">
            <v>Intercompany Transfers In PP&amp;E - Furniture and Fixtures</v>
          </cell>
        </row>
        <row r="359">
          <cell r="C359" t="str">
            <v>DASUS720030.45</v>
          </cell>
          <cell r="D359" t="str">
            <v>Intercompany Transfers In PP&amp;E - Construction Work in Progress</v>
          </cell>
        </row>
        <row r="360">
          <cell r="C360" t="str">
            <v>DASUS720030.50</v>
          </cell>
          <cell r="D360" t="str">
            <v>Intercompany Transfers In PP&amp;E - Software Costs</v>
          </cell>
        </row>
        <row r="361">
          <cell r="C361" t="str">
            <v>DASUS720030.60</v>
          </cell>
          <cell r="D361" t="str">
            <v>Intercompany Transfers In PP&amp;E - Bottles and Cases</v>
          </cell>
        </row>
        <row r="362">
          <cell r="C362" t="str">
            <v>DASUS720032.05</v>
          </cell>
          <cell r="D362" t="str">
            <v>Intercompany Transfers Out PP&amp;E - Land</v>
          </cell>
        </row>
        <row r="363">
          <cell r="C363" t="str">
            <v>DASUS720032.10</v>
          </cell>
          <cell r="D363" t="str">
            <v>Intercompany Transfers Out PP&amp;E - Buildings</v>
          </cell>
        </row>
        <row r="364">
          <cell r="C364" t="str">
            <v>DASUS720032.20</v>
          </cell>
          <cell r="D364" t="str">
            <v>Intercompany Transfers Out PP&amp;E - Machinery and Equipment</v>
          </cell>
        </row>
        <row r="365">
          <cell r="C365" t="str">
            <v>DASUS720032.30</v>
          </cell>
          <cell r="D365" t="str">
            <v>Intercompany Transfers Out PP&amp;E - Transportation Equipment</v>
          </cell>
        </row>
        <row r="366">
          <cell r="C366" t="str">
            <v>DASUS720032.35</v>
          </cell>
          <cell r="D366" t="str">
            <v>Intercompany Transfers Out PP&amp;E - Computer Equipment</v>
          </cell>
        </row>
        <row r="367">
          <cell r="C367" t="str">
            <v>DASUS720032.40</v>
          </cell>
          <cell r="D367" t="str">
            <v>Intercompany Transfers Out PP&amp;E - Furniture and Fixtures</v>
          </cell>
        </row>
        <row r="368">
          <cell r="C368" t="str">
            <v>DASUS720032.45</v>
          </cell>
          <cell r="D368" t="str">
            <v>Intercompany Transfers Out PP&amp;E - Construction Work in Progress</v>
          </cell>
        </row>
        <row r="369">
          <cell r="C369" t="str">
            <v>DASUS720032.50</v>
          </cell>
          <cell r="D369" t="str">
            <v>Intercompany Transfers Out PP&amp;E - Software Costs</v>
          </cell>
        </row>
        <row r="370">
          <cell r="C370" t="str">
            <v>DASUS720032.60</v>
          </cell>
          <cell r="D370" t="str">
            <v>Intercompany Transfers Out PP&amp;E - Bottles and Cases</v>
          </cell>
        </row>
        <row r="371">
          <cell r="C371" t="str">
            <v>DASUS720042.45</v>
          </cell>
          <cell r="D371" t="str">
            <v>Construction Work in Progress</v>
          </cell>
        </row>
        <row r="372">
          <cell r="C372" t="str">
            <v>DASUS720045.20</v>
          </cell>
          <cell r="D372" t="str">
            <v>Reclasses &amp; Other - Machinery and Equipment</v>
          </cell>
        </row>
        <row r="373">
          <cell r="C373" t="str">
            <v>DASUS730005.07</v>
          </cell>
          <cell r="D373" t="str">
            <v>Accum Depreciation Beg Balance - Land Improvements</v>
          </cell>
        </row>
        <row r="374">
          <cell r="C374" t="str">
            <v>DASUS730005.10</v>
          </cell>
          <cell r="D374" t="str">
            <v>Accum Depreciation Beg Balance - Buildings</v>
          </cell>
        </row>
        <row r="375">
          <cell r="C375" t="str">
            <v>DASUS730005.15</v>
          </cell>
          <cell r="D375" t="str">
            <v>Accum Depreciation Beg Balance - Leasehold Improvements</v>
          </cell>
        </row>
        <row r="376">
          <cell r="C376" t="str">
            <v>DASUS730005.20</v>
          </cell>
          <cell r="D376" t="str">
            <v>Accum Depreciation Beg Balance - Machinery and Equipment</v>
          </cell>
        </row>
        <row r="377">
          <cell r="C377" t="str">
            <v>DASUS730005.25</v>
          </cell>
          <cell r="D377" t="str">
            <v>Accum Depreciation Beg Balance - Vending Machines</v>
          </cell>
        </row>
        <row r="378">
          <cell r="C378" t="str">
            <v>DASUS730005.30</v>
          </cell>
          <cell r="D378" t="str">
            <v>Accum Depreciation Beg Balance - Transportation Equipment</v>
          </cell>
        </row>
        <row r="379">
          <cell r="C379" t="str">
            <v>DASUS730005.35</v>
          </cell>
          <cell r="D379" t="str">
            <v>Accum Depreciation Beg Balance - Computer Equipment</v>
          </cell>
        </row>
        <row r="380">
          <cell r="C380" t="str">
            <v>DASUS730005.40</v>
          </cell>
          <cell r="D380" t="str">
            <v>Accum Depreciation Beg Balance - Furniture and Fixtures</v>
          </cell>
        </row>
        <row r="381">
          <cell r="C381" t="str">
            <v>DASUS730005.50</v>
          </cell>
          <cell r="D381" t="str">
            <v>Accum Depreciation Beg Balance - Software Costs</v>
          </cell>
        </row>
        <row r="382">
          <cell r="C382" t="str">
            <v>DASUS730005.57</v>
          </cell>
          <cell r="D382" t="str">
            <v>Accum Depreciation Beg Balance - Capital Leases - Machinery and Equipment</v>
          </cell>
        </row>
        <row r="383">
          <cell r="C383" t="str">
            <v>DASUS730010.10</v>
          </cell>
          <cell r="D383" t="str">
            <v>Buildings</v>
          </cell>
        </row>
        <row r="384">
          <cell r="C384" t="str">
            <v>DASUS730010.25</v>
          </cell>
          <cell r="D384" t="str">
            <v>Vending Machines</v>
          </cell>
        </row>
        <row r="385">
          <cell r="C385" t="str">
            <v>DASUS730020</v>
          </cell>
          <cell r="D385" t="str">
            <v>Accum Depr Acquisitions</v>
          </cell>
        </row>
        <row r="386">
          <cell r="C386" t="str">
            <v>DASUS730030.10</v>
          </cell>
          <cell r="D386" t="str">
            <v>Accum Depr Intercompany Transfers In - Land</v>
          </cell>
        </row>
        <row r="387">
          <cell r="C387" t="str">
            <v>DASUS730030.20</v>
          </cell>
          <cell r="D387" t="str">
            <v>Accum Depr Intercompany Transfers In - Machinery and Equipment</v>
          </cell>
        </row>
        <row r="388">
          <cell r="C388" t="str">
            <v>DASUS730030.30</v>
          </cell>
          <cell r="D388" t="str">
            <v>Accum Depr Intercompany Transfers In - Transportation Equipment</v>
          </cell>
        </row>
        <row r="389">
          <cell r="C389" t="str">
            <v>DASUS730030.35</v>
          </cell>
          <cell r="D389" t="str">
            <v>Accum Depr Intercompany Transfers In - Computer Equipment</v>
          </cell>
        </row>
        <row r="390">
          <cell r="C390" t="str">
            <v>DASUS730030.40</v>
          </cell>
          <cell r="D390" t="str">
            <v>Accum Depr Intercompany Transfers In - Furniture and Fixtures</v>
          </cell>
        </row>
        <row r="391">
          <cell r="C391" t="str">
            <v>DASUS730030.50</v>
          </cell>
          <cell r="D391" t="str">
            <v>Accum Depr Intercompany Transfers In - Software Costs</v>
          </cell>
        </row>
        <row r="392">
          <cell r="C392" t="str">
            <v>DASUS730030.60</v>
          </cell>
          <cell r="D392" t="str">
            <v>Accum Depr Intercompany Transfers In - Bottles and Cases</v>
          </cell>
        </row>
        <row r="393">
          <cell r="C393" t="str">
            <v>DASUS730032.10</v>
          </cell>
          <cell r="D393" t="str">
            <v>Accum Depr Intercompany Transfers Out - Land</v>
          </cell>
        </row>
        <row r="394">
          <cell r="C394" t="str">
            <v>DASUS730032.20</v>
          </cell>
          <cell r="D394" t="str">
            <v>Accum Depr Intercompany Transfers Out - Machinery and Equipment</v>
          </cell>
        </row>
        <row r="395">
          <cell r="C395" t="str">
            <v>DASUS730032.30</v>
          </cell>
          <cell r="D395" t="str">
            <v>Accum Depr Intercompany Transfers Out - Transportation Equipment</v>
          </cell>
        </row>
        <row r="396">
          <cell r="C396" t="str">
            <v>DASUS730032.35</v>
          </cell>
          <cell r="D396" t="str">
            <v>Accum Depr Intercompany Transfers Out - Computer Equipment</v>
          </cell>
        </row>
        <row r="397">
          <cell r="C397" t="str">
            <v>DASUS730032.40</v>
          </cell>
          <cell r="D397" t="str">
            <v>Accum Depr Intercompany Transfers Out - Furniture and Fixtures</v>
          </cell>
        </row>
        <row r="398">
          <cell r="C398" t="str">
            <v>DASUS730032.50</v>
          </cell>
          <cell r="D398" t="str">
            <v>Accum Depr Intercompany Transfers Out - Software Costs</v>
          </cell>
        </row>
        <row r="399">
          <cell r="C399" t="str">
            <v>DASUS730032.60</v>
          </cell>
          <cell r="D399" t="str">
            <v>Accum Depr Intercompany Transfers Out - Bottles and Cases</v>
          </cell>
        </row>
        <row r="400">
          <cell r="C400" t="str">
            <v>DASUS810005</v>
          </cell>
          <cell r="D400" t="str">
            <v>Intangible Assets - Beg Balance</v>
          </cell>
        </row>
        <row r="401">
          <cell r="C401" t="str">
            <v>DASUS810010.05</v>
          </cell>
          <cell r="D401" t="str">
            <v>Goodwill Nonamort.</v>
          </cell>
        </row>
        <row r="402">
          <cell r="C402" t="str">
            <v>DASUS810010.07</v>
          </cell>
          <cell r="D402" t="str">
            <v>Perpetual Trademarks &amp; Brands Nonamort.</v>
          </cell>
        </row>
        <row r="403">
          <cell r="C403" t="str">
            <v>DASUS810010.10</v>
          </cell>
          <cell r="D403" t="str">
            <v>Concentrate Protection Rights</v>
          </cell>
        </row>
        <row r="404">
          <cell r="C404" t="str">
            <v>DASUS810010.15</v>
          </cell>
          <cell r="D404" t="str">
            <v>Trademarks &amp; Brands</v>
          </cell>
        </row>
        <row r="405">
          <cell r="C405" t="str">
            <v>DASUS810010.20</v>
          </cell>
          <cell r="D405" t="str">
            <v>Non Compete Agreements</v>
          </cell>
        </row>
        <row r="406">
          <cell r="C406" t="str">
            <v>DASUS810010.25</v>
          </cell>
          <cell r="D406" t="str">
            <v>Other Intangibles</v>
          </cell>
        </row>
        <row r="407">
          <cell r="C407" t="str">
            <v>DASUS810012.05</v>
          </cell>
          <cell r="D407" t="str">
            <v>Goodwill Nonamort.</v>
          </cell>
        </row>
        <row r="408">
          <cell r="C408" t="str">
            <v>DASUS810012.15</v>
          </cell>
          <cell r="D408" t="str">
            <v>Trademarks &amp; Brands</v>
          </cell>
        </row>
        <row r="409">
          <cell r="C409" t="str">
            <v>DASUS810012.25</v>
          </cell>
          <cell r="D409" t="str">
            <v>Other Intangibles</v>
          </cell>
        </row>
        <row r="410">
          <cell r="C410" t="str">
            <v>DASUS810022.05</v>
          </cell>
          <cell r="D410" t="str">
            <v>Goodwill Nonamort.</v>
          </cell>
        </row>
        <row r="411">
          <cell r="C411" t="str">
            <v>DASUS810022.07</v>
          </cell>
          <cell r="D411" t="str">
            <v>Perpetual Trademarks &amp; Brands Nonamort.</v>
          </cell>
        </row>
        <row r="412">
          <cell r="C412" t="str">
            <v>DASUS810022.15</v>
          </cell>
          <cell r="D412" t="str">
            <v>Trademarks &amp; Brands</v>
          </cell>
        </row>
        <row r="413">
          <cell r="C413" t="str">
            <v>DASUS810025.15</v>
          </cell>
          <cell r="D413" t="str">
            <v>Trademarks &amp; Brands</v>
          </cell>
        </row>
        <row r="414">
          <cell r="C414" t="str">
            <v>DASUS820005</v>
          </cell>
          <cell r="D414" t="str">
            <v>Acc Amort - Beginning  Balance</v>
          </cell>
        </row>
        <row r="415">
          <cell r="C415" t="str">
            <v>DASUS820010.15</v>
          </cell>
          <cell r="D415" t="str">
            <v>Trademarks &amp; Brands</v>
          </cell>
        </row>
        <row r="416">
          <cell r="C416" t="str">
            <v>DASUS820010.25</v>
          </cell>
          <cell r="D416" t="str">
            <v>Other Intangibles</v>
          </cell>
        </row>
        <row r="417">
          <cell r="C417" t="str">
            <v>DASUS820015.10</v>
          </cell>
          <cell r="D417" t="str">
            <v>Concentrate Protection Rights</v>
          </cell>
        </row>
        <row r="418">
          <cell r="C418" t="str">
            <v>DASUS820015.15</v>
          </cell>
          <cell r="D418" t="str">
            <v>Trademarks &amp; Brands</v>
          </cell>
        </row>
        <row r="419">
          <cell r="C419" t="str">
            <v>DASUS820015.25</v>
          </cell>
          <cell r="D419" t="str">
            <v>Other Intangibles</v>
          </cell>
        </row>
        <row r="420">
          <cell r="C420" t="str">
            <v>DASUS820027.15</v>
          </cell>
          <cell r="D420" t="str">
            <v>Trademarks &amp; Brands</v>
          </cell>
        </row>
        <row r="421">
          <cell r="C421" t="str">
            <v>DASUS820030.15</v>
          </cell>
          <cell r="D421" t="str">
            <v>Trademarks &amp; Brands</v>
          </cell>
        </row>
        <row r="422">
          <cell r="C422" t="str">
            <v>DASUS820030.25</v>
          </cell>
          <cell r="D422" t="str">
            <v>Other Intangibles</v>
          </cell>
        </row>
        <row r="423">
          <cell r="C423" t="str">
            <v>DASUS9005</v>
          </cell>
          <cell r="D423" t="str">
            <v>Other Assets - Beg Balance</v>
          </cell>
        </row>
        <row r="424">
          <cell r="C424" t="str">
            <v>DASUS9013.32</v>
          </cell>
          <cell r="D424" t="str">
            <v>PepsiCo - Non-US (FAS87, CAT 1) Pension</v>
          </cell>
        </row>
        <row r="425">
          <cell r="C425" t="str">
            <v>DASUS9015.20</v>
          </cell>
          <cell r="D425" t="str">
            <v>Other Assets - Reclasses - Unallocated Purchase Price</v>
          </cell>
        </row>
        <row r="426">
          <cell r="C426" t="str">
            <v>DASUS9015.32</v>
          </cell>
          <cell r="D426" t="str">
            <v>PepsiCo - Non-US (FAS87, CAT 1) Pension</v>
          </cell>
        </row>
        <row r="427">
          <cell r="C427" t="str">
            <v>DASUS9018.10.10</v>
          </cell>
          <cell r="D427" t="str">
            <v>Deferred Advertising &amp; Marketing Expense</v>
          </cell>
        </row>
        <row r="428">
          <cell r="C428" t="str">
            <v>DASUS9018.32</v>
          </cell>
          <cell r="D428" t="str">
            <v>PepsiCo - Non-US (FAS87, CAT 1) Pension</v>
          </cell>
        </row>
        <row r="429">
          <cell r="C429" t="str">
            <v>DASUS9020.05</v>
          </cell>
          <cell r="D429" t="str">
            <v>Other Assets - Other - Works of Art</v>
          </cell>
        </row>
        <row r="430">
          <cell r="C430" t="str">
            <v>DASUS9020.20</v>
          </cell>
          <cell r="D430" t="str">
            <v>Other Assets - Other - Unallocated Purchase Price</v>
          </cell>
        </row>
        <row r="431">
          <cell r="C431" t="str">
            <v>DASUS9020.32</v>
          </cell>
          <cell r="D431" t="str">
            <v>PepsiCo - Non-US (FAS87, CAT 1) Pension</v>
          </cell>
        </row>
        <row r="432">
          <cell r="C432" t="str">
            <v>DASUS9023.32</v>
          </cell>
          <cell r="D432" t="str">
            <v>PepsiCo - Non-US (FAS87, CAT 1) Pension</v>
          </cell>
        </row>
        <row r="433">
          <cell r="C433" t="str">
            <v>DASUS9030.20</v>
          </cell>
          <cell r="D433" t="str">
            <v>Unallocated Purchase Price</v>
          </cell>
        </row>
        <row r="434">
          <cell r="C434" t="str">
            <v>DASUS9030.45</v>
          </cell>
          <cell r="D434" t="str">
            <v>Double Click here to enter Description</v>
          </cell>
        </row>
        <row r="436">
          <cell r="C436" t="str">
            <v>DLBUS101001</v>
          </cell>
          <cell r="D436" t="str">
            <v>Notes &amp; Loans Payables Banks -  Beg Bal</v>
          </cell>
        </row>
        <row r="437">
          <cell r="C437" t="str">
            <v>DLBUS101012.02</v>
          </cell>
          <cell r="D437" t="str">
            <v>Oth2-Double Click to Insert Description</v>
          </cell>
        </row>
        <row r="438">
          <cell r="C438" t="str">
            <v>DLBUS101016.02</v>
          </cell>
          <cell r="D438" t="str">
            <v>Reclasses and Other - Oth2-Double Click to Insert Description</v>
          </cell>
        </row>
        <row r="439">
          <cell r="C439" t="str">
            <v>DLBUS102001.01</v>
          </cell>
          <cell r="D439" t="str">
            <v>Notes &amp; Loans Payable - Other Beg Bal - OTH REM BAL (IMM)</v>
          </cell>
        </row>
        <row r="440">
          <cell r="C440" t="str">
            <v>DLBUS102012.01</v>
          </cell>
          <cell r="D440" t="str">
            <v>Acquisitions - OTHER REMAINING BALANCES (IMMATERIAL)</v>
          </cell>
        </row>
        <row r="441">
          <cell r="C441" t="str">
            <v>DLBUS120001</v>
          </cell>
          <cell r="D441" t="str">
            <v>Notes&amp;Loans Pay Bank Overdrafts Beg Bal</v>
          </cell>
        </row>
        <row r="442">
          <cell r="C442" t="str">
            <v>DLBUS120012.01</v>
          </cell>
          <cell r="D442" t="str">
            <v>Acquisitions - OTHER REMAINING BALANCES (IMMATERIAL)</v>
          </cell>
        </row>
        <row r="443">
          <cell r="C443" t="str">
            <v>DLBUS120012.02</v>
          </cell>
          <cell r="D443" t="str">
            <v>Acquisitions - Oth2-Double Click to Insert Description</v>
          </cell>
        </row>
        <row r="444">
          <cell r="C444" t="str">
            <v>DLBUS120015.02</v>
          </cell>
          <cell r="D444" t="str">
            <v>Oth2-Double Click to Insert Description</v>
          </cell>
        </row>
        <row r="445">
          <cell r="C445" t="str">
            <v>DLBUS120016.02</v>
          </cell>
          <cell r="D445" t="str">
            <v>Oth2-Double Click to Insert Description</v>
          </cell>
        </row>
        <row r="446">
          <cell r="C446" t="str">
            <v>DLBUS140005</v>
          </cell>
          <cell r="D446" t="str">
            <v>Current Portion of LT Debt Beg Balance</v>
          </cell>
        </row>
        <row r="447">
          <cell r="C447" t="str">
            <v>DLBUS140015.120</v>
          </cell>
          <cell r="D447" t="str">
            <v>Current Portion LT Debt - Payments - PI - Egypt</v>
          </cell>
        </row>
        <row r="448">
          <cell r="C448" t="str">
            <v>DLBUS140020.29</v>
          </cell>
          <cell r="D448" t="str">
            <v>Current Portion LT Debt - Other - Oth29-Double Click to Insert Description</v>
          </cell>
        </row>
        <row r="449">
          <cell r="C449" t="str">
            <v>DLBUS140020.120</v>
          </cell>
          <cell r="D449" t="str">
            <v>Current Portion LT Debt - Other - PI - Egypt</v>
          </cell>
        </row>
        <row r="450">
          <cell r="C450" t="str">
            <v>DLBUS140025.31</v>
          </cell>
          <cell r="D450" t="str">
            <v>Oth31-Double Click to Insert Description</v>
          </cell>
        </row>
        <row r="451">
          <cell r="C451" t="str">
            <v>DLBUS140025.33</v>
          </cell>
          <cell r="D451" t="str">
            <v>Oth33-Double Click to Insert Description</v>
          </cell>
        </row>
        <row r="452">
          <cell r="C452" t="str">
            <v>DLBUS140025.34</v>
          </cell>
          <cell r="D452" t="str">
            <v>Oth34-Double Click to Insert Description</v>
          </cell>
        </row>
        <row r="453">
          <cell r="C453" t="str">
            <v>DLBUS140027.120</v>
          </cell>
          <cell r="D453" t="str">
            <v>Current Portion LT Debt - Reclass to LTD - PI - Egypt</v>
          </cell>
        </row>
        <row r="454">
          <cell r="C454" t="str">
            <v>DLBUS160005.Previous</v>
          </cell>
          <cell r="D454" t="str">
            <v>Current Portion Cap Lease Oblig. Beg Bal - Previous</v>
          </cell>
        </row>
        <row r="455">
          <cell r="C455" t="str">
            <v>DLBUS160005.Activity</v>
          </cell>
          <cell r="D455" t="str">
            <v>Current Portion Cap Lease Oblig. Beg Bal - Activity</v>
          </cell>
        </row>
        <row r="456">
          <cell r="C456" t="str">
            <v>DLBUS160025</v>
          </cell>
          <cell r="D456" t="str">
            <v>Current Portion Cap Lease Oblig-Acq</v>
          </cell>
        </row>
        <row r="457">
          <cell r="C457" t="str">
            <v>DLBUS2000.Outside</v>
          </cell>
          <cell r="D457" t="str">
            <v>Accounts Payable - Outside</v>
          </cell>
        </row>
        <row r="458">
          <cell r="C458" t="str">
            <v>DLBUS3405.85</v>
          </cell>
          <cell r="D458" t="str">
            <v>OAL - Compensation Related Total - Other Employee Benefits</v>
          </cell>
        </row>
        <row r="459">
          <cell r="C459" t="str">
            <v>DLBUS342505</v>
          </cell>
          <cell r="D459" t="str">
            <v>OAL - Accrd Int Pay - Beg Bal</v>
          </cell>
        </row>
        <row r="460">
          <cell r="C460" t="str">
            <v>DLBUS342510</v>
          </cell>
          <cell r="D460" t="str">
            <v>OAL - Accrd Int Pay - External Int Exp</v>
          </cell>
        </row>
        <row r="461">
          <cell r="C461" t="str">
            <v>DLBUS342515</v>
          </cell>
          <cell r="D461" t="str">
            <v>OAL - Accrd Int Pay - Cash Payments</v>
          </cell>
        </row>
        <row r="462">
          <cell r="C462" t="str">
            <v>DLBUS3435.10</v>
          </cell>
          <cell r="D462" t="str">
            <v>OAL - Office - Misc. General and Administrative</v>
          </cell>
        </row>
        <row r="463">
          <cell r="C463" t="str">
            <v>DLBUS3440.55</v>
          </cell>
          <cell r="D463" t="str">
            <v>OAL - Other - Year End Accruals</v>
          </cell>
        </row>
        <row r="464">
          <cell r="C464" t="str">
            <v>DLBUS3440.75.13</v>
          </cell>
          <cell r="D464" t="str">
            <v>OAL - Other - Other</v>
          </cell>
        </row>
        <row r="465">
          <cell r="C465" t="str">
            <v>DLBUS3440.115</v>
          </cell>
          <cell r="D465" t="str">
            <v>OAL - Other - Total - Due to Affls Carried on Equity Basis</v>
          </cell>
        </row>
        <row r="466">
          <cell r="C466" t="str">
            <v>DLBUS344505</v>
          </cell>
          <cell r="D466" t="str">
            <v>Accrued LOB Restructuring - Beg Balance</v>
          </cell>
        </row>
        <row r="467">
          <cell r="C467" t="str">
            <v>DLBUS344710</v>
          </cell>
          <cell r="D467" t="str">
            <v>Acc Non-LOB Restructuring - P&amp;L Charge</v>
          </cell>
        </row>
        <row r="468">
          <cell r="C468" t="str">
            <v>DLBUS4100.FLNA_RPT</v>
          </cell>
          <cell r="D468" t="str">
            <v>INTERCO SUBACCT Detail - Frito Lay North America Reported</v>
          </cell>
        </row>
        <row r="469">
          <cell r="C469" t="str">
            <v>DLBUS4150</v>
          </cell>
          <cell r="D469" t="str">
            <v>INTRACO SUBACCT DETAIL TOTAL</v>
          </cell>
        </row>
        <row r="470">
          <cell r="C470" t="str">
            <v>DLBUS4200.HCHN2375</v>
          </cell>
          <cell r="D470" t="str">
            <v>PEPSICO INVESTMENTS CHINA LTD (PICL)</v>
          </cell>
        </row>
        <row r="471">
          <cell r="C471" t="str">
            <v>DLBUS4200.HLUX3105</v>
          </cell>
          <cell r="D471" t="str">
            <v>PEPSICO FINANCE LUXEMBOURG LTD</v>
          </cell>
        </row>
        <row r="472">
          <cell r="C472" t="str">
            <v>DLBUS4200.HQ3130</v>
          </cell>
          <cell r="D472" t="str">
            <v>SNACK FOOD HOLDINGS CV</v>
          </cell>
        </row>
        <row r="473">
          <cell r="C473" t="str">
            <v>DLBUS4200.HUSD1005</v>
          </cell>
          <cell r="D473" t="str">
            <v>PEPSICO HEADQUARTERS</v>
          </cell>
        </row>
        <row r="474">
          <cell r="C474" t="str">
            <v>DLBUS4250.FS31501UKGWO</v>
          </cell>
          <cell r="D474" t="str">
            <v>PFBI Ltd - Pepsi</v>
          </cell>
        </row>
        <row r="475">
          <cell r="C475" t="str">
            <v>DLBUS4250.FS31601swzWO</v>
          </cell>
          <cell r="D475" t="str">
            <v>FLTC GmbH - Swiss VAT Reg</v>
          </cell>
        </row>
        <row r="476">
          <cell r="C476" t="str">
            <v>DLBUS4250.FS33101netsy</v>
          </cell>
          <cell r="D476" t="str">
            <v>SFG BV - toll manufacturer</v>
          </cell>
        </row>
        <row r="477">
          <cell r="C477" t="str">
            <v>DLBUS4250.FS36101gresy</v>
          </cell>
          <cell r="D477" t="str">
            <v>Tasty Foods SA</v>
          </cell>
        </row>
        <row r="478">
          <cell r="C478" t="str">
            <v>DLBUS4250.PBIRE850</v>
          </cell>
          <cell r="D478" t="str">
            <v>CONCENTRATE MFG CO. OF IRELAND</v>
          </cell>
        </row>
        <row r="479">
          <cell r="C479" t="str">
            <v>DLBUS4250.PBUSA810</v>
          </cell>
          <cell r="D479" t="str">
            <v>PEPSICO INC. - PCI N.Y. HQ</v>
          </cell>
        </row>
        <row r="480">
          <cell r="C480" t="str">
            <v>DLBUS600005</v>
          </cell>
          <cell r="D480" t="str">
            <v>LT Debt - Beginning Balance</v>
          </cell>
        </row>
        <row r="481">
          <cell r="C481" t="str">
            <v>DLBUS600010.120</v>
          </cell>
          <cell r="D481" t="str">
            <v>LT Debt - Issued - PI - Egypt</v>
          </cell>
        </row>
        <row r="482">
          <cell r="C482" t="str">
            <v>DLBUS600025.30</v>
          </cell>
          <cell r="D482" t="str">
            <v>Oth30-Double Click to Insert Description</v>
          </cell>
        </row>
        <row r="483">
          <cell r="C483" t="str">
            <v>DLBUS600025.31</v>
          </cell>
          <cell r="D483" t="str">
            <v>Oth31-Double Click to Insert Description</v>
          </cell>
        </row>
        <row r="484">
          <cell r="C484" t="str">
            <v>DLBUS600027.30</v>
          </cell>
          <cell r="D484" t="str">
            <v>LT Debt - Rcl. LTD from Curr Portion LTD - Oth30-Double Click to Insert Description</v>
          </cell>
        </row>
        <row r="485">
          <cell r="C485" t="str">
            <v>DLBUS600027.120</v>
          </cell>
          <cell r="D485" t="str">
            <v>LT Debt - Rcl. LTD from Curr Portion LTD - PI - Egypt</v>
          </cell>
        </row>
        <row r="486">
          <cell r="C486" t="str">
            <v>DLBUS600055.29</v>
          </cell>
          <cell r="D486" t="str">
            <v>LT Debt - Portion due in 2 Years - Other 29</v>
          </cell>
        </row>
        <row r="487">
          <cell r="C487" t="str">
            <v>DLBUS600060.29</v>
          </cell>
          <cell r="D487" t="str">
            <v>LT Debt - Portion due in 3 Years - Other 29</v>
          </cell>
        </row>
        <row r="488">
          <cell r="C488" t="str">
            <v>DLBUS600065.29</v>
          </cell>
          <cell r="D488" t="str">
            <v>LT Debt - Portion due in 4 Years - Other 29</v>
          </cell>
        </row>
        <row r="489">
          <cell r="C489" t="str">
            <v>DLBUS620005</v>
          </cell>
          <cell r="D489" t="str">
            <v>Obligation Under Cap Lease - Beg Bal</v>
          </cell>
        </row>
        <row r="490">
          <cell r="C490" t="str">
            <v>DLBUS620025</v>
          </cell>
          <cell r="D490" t="str">
            <v>Obligation Under Cap Lease-Acquisitions</v>
          </cell>
        </row>
        <row r="491">
          <cell r="C491" t="str">
            <v>DLBUS700005</v>
          </cell>
          <cell r="D491" t="str">
            <v>Other Non-Current Liab - Beg. Balance</v>
          </cell>
        </row>
        <row r="492">
          <cell r="C492" t="str">
            <v>DLBUS700007.43</v>
          </cell>
          <cell r="D492" t="str">
            <v>Oth Non-Curr Liab-Curr YTD Acc Exp/(Inc) - PepsiCo - Non-US (FAS87, CAT 1) Pension</v>
          </cell>
        </row>
        <row r="493">
          <cell r="C493" t="str">
            <v>DLBUS700020.43</v>
          </cell>
          <cell r="D493" t="str">
            <v>Other Non-Curr Liab - Cash (Paymt)/Rec - PepsiCo - Non-US (FAS87, CAT 1) Pension</v>
          </cell>
        </row>
        <row r="494">
          <cell r="C494" t="str">
            <v>DLBUS700025.43</v>
          </cell>
          <cell r="D494" t="str">
            <v>Other Non-Current Liab - Other - PepsiCo - Non-US (FAS87, CAT 1) Pension</v>
          </cell>
        </row>
        <row r="495">
          <cell r="C495" t="str">
            <v>DLBUS700027.86</v>
          </cell>
          <cell r="D495" t="str">
            <v>Other Non-Current Liab - Interco Tsfs - Non-Current Other - 1</v>
          </cell>
        </row>
        <row r="496">
          <cell r="C496" t="str">
            <v>DLBUS700040.05</v>
          </cell>
          <cell r="D496" t="str">
            <v>Minority Interests</v>
          </cell>
        </row>
        <row r="497">
          <cell r="C497" t="str">
            <v>DLBUS700040.43</v>
          </cell>
          <cell r="D497" t="str">
            <v>PepsiCo - Non-US (FAS87, CAT 1) Pension</v>
          </cell>
        </row>
        <row r="498">
          <cell r="C498" t="str">
            <v>DLBUS700040.44</v>
          </cell>
          <cell r="D498" t="str">
            <v>All Other - Non-US (CAT 2) Pension Plans</v>
          </cell>
        </row>
        <row r="499">
          <cell r="C499" t="str">
            <v>DLBUS700040.80</v>
          </cell>
          <cell r="D499" t="str">
            <v>Other Non-Current Liab - Acquisitions -Post Employ Bnfts (SFAS#112)-Severance</v>
          </cell>
        </row>
        <row r="500">
          <cell r="C500" t="str">
            <v>DLBUS7000.115</v>
          </cell>
          <cell r="D500" t="str">
            <v>Other Non-Current Liabilities - Derivative/Hedging Instruments</v>
          </cell>
        </row>
        <row r="502">
          <cell r="C502" t="str">
            <v>EQUS2000</v>
          </cell>
          <cell r="D502" t="str">
            <v>Capital Surplus - PepsiCo Issued</v>
          </cell>
        </row>
        <row r="503">
          <cell r="C503" t="str">
            <v>EQUS4000.10</v>
          </cell>
          <cell r="D503" t="str">
            <v>Other Comp Income - Other</v>
          </cell>
        </row>
        <row r="504">
          <cell r="C504" t="str">
            <v>EQUS5000.Previous</v>
          </cell>
          <cell r="D504" t="str">
            <v>*Retained Earnings - Beginning Balance - Previous</v>
          </cell>
        </row>
        <row r="505">
          <cell r="C505" t="str">
            <v>EQUS5000.Activity</v>
          </cell>
          <cell r="D505" t="str">
            <v>*Retained Earnings - Beginning Balance - Activity</v>
          </cell>
        </row>
        <row r="506">
          <cell r="C506" t="str">
            <v>EQUS5010.01</v>
          </cell>
          <cell r="D506" t="str">
            <v>OTHER REMAINING BALANCES (IMMATERIAL)</v>
          </cell>
        </row>
        <row r="507">
          <cell r="C507" t="str">
            <v>EQUS5010.02</v>
          </cell>
          <cell r="D507" t="str">
            <v>*R/E - Common Dividends Declared</v>
          </cell>
        </row>
        <row r="508">
          <cell r="C508" t="str">
            <v>EQUS7000.10</v>
          </cell>
          <cell r="D508" t="str">
            <v>EQUS7000 - Operating</v>
          </cell>
        </row>
        <row r="509">
          <cell r="C509" t="str">
            <v>EQUS7000.20.10</v>
          </cell>
          <cell r="D509" t="str">
            <v>Financing (Calculated)</v>
          </cell>
        </row>
        <row r="510">
          <cell r="C510" t="str">
            <v>EQUS7000.20.20</v>
          </cell>
          <cell r="D510" t="str">
            <v>Adjustment</v>
          </cell>
        </row>
        <row r="511">
          <cell r="C511" t="str">
            <v>DEQUS1025</v>
          </cell>
          <cell r="D511" t="str">
            <v>Capital Stock - Intercompany - Total</v>
          </cell>
        </row>
        <row r="512">
          <cell r="C512" t="str">
            <v>DEQUS1050.Previous</v>
          </cell>
          <cell r="D512" t="str">
            <v>*Capital Stock - Intracompany - Total - Previous</v>
          </cell>
        </row>
        <row r="513">
          <cell r="C513" t="str">
            <v>DEQUS1050.Activity</v>
          </cell>
          <cell r="D513" t="str">
            <v>*Capital Stock - Intracompany - Total - Activity</v>
          </cell>
        </row>
        <row r="514">
          <cell r="C514" t="str">
            <v>DEQUS2025</v>
          </cell>
          <cell r="D514" t="str">
            <v>Capital Surplus - Intercompany - Total</v>
          </cell>
        </row>
        <row r="515">
          <cell r="C515" t="str">
            <v>DEQUS2050.Previous</v>
          </cell>
          <cell r="D515" t="str">
            <v>*Capital Surplus - Intracompany - Total - Previous</v>
          </cell>
        </row>
        <row r="516">
          <cell r="C516" t="str">
            <v>DEQUS2050.Activity</v>
          </cell>
          <cell r="D516" t="str">
            <v>*Capital Surplus - Intracompany - Total - Activity</v>
          </cell>
        </row>
        <row r="517">
          <cell r="C517" t="str">
            <v>DEQUS40001505</v>
          </cell>
          <cell r="D517" t="str">
            <v>OCI-Hedging Gain/(Loss)-Beg Bal - Net</v>
          </cell>
        </row>
        <row r="518">
          <cell r="C518" t="str">
            <v>DEQUS40001510</v>
          </cell>
          <cell r="D518" t="str">
            <v>OCI-Hedging Gain/(Loss)-Deriv Gains-Net</v>
          </cell>
        </row>
        <row r="519">
          <cell r="C519" t="str">
            <v>DEQUS40001515</v>
          </cell>
          <cell r="D519" t="str">
            <v>OCI-Hedging Gain/(Loss)-Deriv Loss - Net</v>
          </cell>
        </row>
        <row r="520">
          <cell r="C520" t="str">
            <v>DEQUS40001520</v>
          </cell>
          <cell r="D520" t="str">
            <v>OCI-Hedging Gain/(Loss)-Recl to NI-Net</v>
          </cell>
        </row>
        <row r="521">
          <cell r="C521" t="str">
            <v>DEQUS40001525.02</v>
          </cell>
          <cell r="D521" t="str">
            <v>Oth2 -Double Click to Insert Description</v>
          </cell>
        </row>
        <row r="522">
          <cell r="C522" t="str">
            <v>DEQUS400015</v>
          </cell>
          <cell r="D522" t="str">
            <v>OCI-Hedging Gain/(Losss)-End Bal - Net</v>
          </cell>
        </row>
        <row r="523">
          <cell r="C523" t="str">
            <v>DEQUS40002005</v>
          </cell>
          <cell r="D523" t="str">
            <v>OCI-Hedging Gain/(Loss)-Beg Bal - Taxes</v>
          </cell>
        </row>
        <row r="524">
          <cell r="C524" t="str">
            <v>DEQUS40002015</v>
          </cell>
          <cell r="D524" t="str">
            <v>OCI-Hedging Gain/(Loss)-Deriv Loss-Taxes</v>
          </cell>
        </row>
        <row r="525">
          <cell r="C525" t="str">
            <v>DEQUS40002020</v>
          </cell>
          <cell r="D525" t="str">
            <v>OCI-Hedging Gain/(Loss)-Rec to NI- Taxes</v>
          </cell>
        </row>
        <row r="526">
          <cell r="C526" t="str">
            <v>DEQUS405005.1010.Previous</v>
          </cell>
          <cell r="D526" t="str">
            <v>Hedging - Begin Balance - Forex - Gross - Previous</v>
          </cell>
        </row>
        <row r="527">
          <cell r="C527" t="str">
            <v>DEQUS405005.1010.Activity</v>
          </cell>
          <cell r="D527" t="str">
            <v>Hedging - Begin Balance - Forex - Gross - Activity</v>
          </cell>
        </row>
        <row r="528">
          <cell r="C528" t="str">
            <v>DEQUS405005.1020.Previous</v>
          </cell>
          <cell r="D528" t="str">
            <v>Hedging - Begin Balance - Forex - Tax - Previous</v>
          </cell>
        </row>
        <row r="529">
          <cell r="C529" t="str">
            <v>DEQUS405005.1020.Activity</v>
          </cell>
          <cell r="D529" t="str">
            <v>Hedging - Begin Balance - Forex - Tax - Activity</v>
          </cell>
        </row>
        <row r="530">
          <cell r="C530" t="str">
            <v>DEQUS405010.10.10</v>
          </cell>
          <cell r="D530" t="str">
            <v>Hedging - Derivative Gains - Forex - Gross</v>
          </cell>
        </row>
        <row r="531">
          <cell r="C531" t="str">
            <v>DEQUS405015.10.10</v>
          </cell>
          <cell r="D531" t="str">
            <v>Hedging - Derivative (Losses) - Forex - Gross</v>
          </cell>
        </row>
        <row r="532">
          <cell r="C532" t="str">
            <v>DEQUS405020.10.10</v>
          </cell>
          <cell r="D532" t="str">
            <v>Hedging - Reclass to Net Inc Gain/(Loss) - Forex - Gross</v>
          </cell>
        </row>
        <row r="533">
          <cell r="C533" t="str">
            <v>DEQUS405030.10.10</v>
          </cell>
          <cell r="D533" t="str">
            <v>Hedging - Other - Forex - Gross</v>
          </cell>
        </row>
        <row r="534">
          <cell r="C534" t="str">
            <v>DEQUS405031.10.10</v>
          </cell>
          <cell r="D534" t="str">
            <v>Hedging - Other 2 - Forex - Gross</v>
          </cell>
        </row>
        <row r="535">
          <cell r="C535" t="str">
            <v>DEQUS4050.10.10</v>
          </cell>
          <cell r="D535" t="str">
            <v>Hedging - Ending Balance - Forex Gross</v>
          </cell>
        </row>
        <row r="536">
          <cell r="C536" t="str">
            <v>DEQUS5020</v>
          </cell>
          <cell r="D536" t="str">
            <v>RE - Other - Intercompany</v>
          </cell>
        </row>
        <row r="537">
          <cell r="C537" t="str">
            <v>DEQUS5050</v>
          </cell>
          <cell r="D537" t="str">
            <v>RE - Other - Intracompany</v>
          </cell>
        </row>
        <row r="538">
          <cell r="C538" t="str">
            <v>DEQUS700005</v>
          </cell>
          <cell r="D538" t="str">
            <v>CTA - Balance at Beginning of Year</v>
          </cell>
        </row>
        <row r="539">
          <cell r="C539" t="str">
            <v>DEQUS700010</v>
          </cell>
          <cell r="D539" t="str">
            <v>CTA - Transaction Gains / (Losses)</v>
          </cell>
        </row>
        <row r="540">
          <cell r="C540" t="str">
            <v>DEQUS700015</v>
          </cell>
          <cell r="D540" t="str">
            <v>CTA - Translation Gains / (Losses)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>
        <row r="3">
          <cell r="F3" t="str">
            <v>PB744ASRGHQ.USTOT</v>
          </cell>
          <cell r="M3" t="str">
            <v>Pepsi / Other</v>
          </cell>
        </row>
        <row r="20">
          <cell r="F20" t="b">
            <v>1</v>
          </cell>
        </row>
        <row r="26">
          <cell r="F26" t="b">
            <v>0</v>
          </cell>
        </row>
      </sheetData>
      <sheetData sheetId="25" refreshError="1"/>
      <sheetData sheetId="26" refreshError="1"/>
      <sheetData sheetId="27" refreshError="1"/>
      <sheetData sheetId="28">
        <row r="17">
          <cell r="B17" t="str">
            <v>Beverage Volume Forecast - Link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9">
          <cell r="C9" t="str">
            <v>AS1000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17">
          <cell r="B17" t="str">
            <v>Beverage Volume Forecast - Link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9">
          <cell r="C9" t="str">
            <v>AS1000</v>
          </cell>
        </row>
      </sheetData>
      <sheetData sheetId="96"/>
      <sheetData sheetId="97"/>
      <sheetData sheetId="98"/>
      <sheetData sheetId="99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 EEBU charts"/>
      <sheetName val="2005 EX Grodzisk by platform"/>
      <sheetName val="2005 EX Kashira by platform"/>
      <sheetName val="2005 EX Grodzisk by plat.-data"/>
      <sheetName val="2005 EX Kashira by plat.-data"/>
      <sheetName val="2005 EEBU supply balance"/>
      <sheetName val="Data conversion"/>
      <sheetName val="2005 AOP EEBU Demand"/>
      <sheetName val="2005 AOP EEBU Capacity"/>
      <sheetName val="Storage"/>
      <sheetName val="30's-Components"/>
      <sheetName val="2005_EEBU_charts"/>
      <sheetName val="2005_EX_Grodzisk_by_platform"/>
      <sheetName val="2005_EX_Kashira_by_platform"/>
      <sheetName val="2005_EX_Grodzisk_by_plat_-data"/>
      <sheetName val="2005_EX_Kashira_by_plat_-data"/>
      <sheetName val="2005_EEBU_supply_balance"/>
      <sheetName val="Data_conversion"/>
      <sheetName val="2005_AOP_EEBU_Demand"/>
      <sheetName val="2005_AOP_EEBU_Capacity"/>
      <sheetName val="Reference"/>
      <sheetName val="Balance Sheet"/>
      <sheetName val="2005_EEBU_charts1"/>
      <sheetName val="2005_EX_Grodzisk_by_platform1"/>
      <sheetName val="2005_EX_Kashira_by_platform1"/>
      <sheetName val="2005_EX_Grodzisk_by_plat_-data1"/>
      <sheetName val="2005_EX_Kashira_by_plat_-data1"/>
      <sheetName val="2005_EEBU_supply_balance1"/>
      <sheetName val="Data_conversion1"/>
      <sheetName val="2005_AOP_EEBU_Demand1"/>
      <sheetName val="2005_AOP_EEBU_Capacity1"/>
      <sheetName val="Balance_Sheet"/>
      <sheetName val="Beverage Volume"/>
      <sheetName val="Profit and Loss"/>
      <sheetName val="Summary - Costs"/>
      <sheetName val="Legend"/>
      <sheetName val="Detail - Resource"/>
      <sheetName val="Kashira"/>
      <sheetName val="Azov"/>
      <sheetName val="1. Input data &amp; Assumptions"/>
      <sheetName val="Control Panel"/>
      <sheetName val="JAN $"/>
      <sheetName val="JAN"/>
      <sheetName val="HELP"/>
      <sheetName val="PL FC Input"/>
      <sheetName val="2005_EEBU_charts2"/>
      <sheetName val="2005_EX_Grodzisk_by_platform2"/>
      <sheetName val="2005_EX_Kashira_by_platform2"/>
      <sheetName val="2005_EX_Grodzisk_by_plat_-data2"/>
      <sheetName val="2005_EX_Kashira_by_plat_-data2"/>
      <sheetName val="2005_EEBU_supply_balance2"/>
      <sheetName val="Data_conversion2"/>
      <sheetName val="2005_AOP_EEBU_Demand2"/>
      <sheetName val="2005_AOP_EEBU_Capacity2"/>
      <sheetName val="Balance_Sheet1"/>
      <sheetName val="Beverage_Volume"/>
      <sheetName val="Profit_and_Loss"/>
      <sheetName val="Summary_-_Costs"/>
      <sheetName val="Detail_-_Resource"/>
      <sheetName val="1__Input_data_&amp;_Assumptions"/>
      <sheetName val="Control_Panel"/>
      <sheetName val="JAN_$"/>
      <sheetName val="PL_FC_Input"/>
      <sheetName val="AOP-JUNE FCST"/>
      <sheetName val="2005_EEBU_charts3"/>
      <sheetName val="2005_EX_Grodzisk_by_platform3"/>
      <sheetName val="2005_EX_Kashira_by_platform3"/>
      <sheetName val="2005_EX_Grodzisk_by_plat_-data3"/>
      <sheetName val="2005_EX_Kashira_by_plat_-data3"/>
      <sheetName val="2005_EEBU_supply_balance3"/>
      <sheetName val="Data_conversion3"/>
      <sheetName val="2005_AOP_EEBU_Demand3"/>
      <sheetName val="2005_AOP_EEBU_Capacity3"/>
      <sheetName val="Balance_Sheet2"/>
      <sheetName val="Beverage_Volume1"/>
      <sheetName val="Profit_and_Loss1"/>
      <sheetName val="Summary_-_Costs1"/>
      <sheetName val="Detail_-_Resource1"/>
      <sheetName val="1__Input_data_&amp;_Assumptions1"/>
      <sheetName val="Control_Panel1"/>
      <sheetName val="JAN_$1"/>
      <sheetName val="PL_FC_Input1"/>
      <sheetName val="AOP-JUNE_FCST"/>
      <sheetName val="2005_EEBU_charts4"/>
      <sheetName val="2005_EX_Grodzisk_by_platform4"/>
      <sheetName val="2005_EX_Kashira_by_platform4"/>
      <sheetName val="2005_EX_Grodzisk_by_plat_-data4"/>
      <sheetName val="2005_EX_Kashira_by_plat_-data4"/>
      <sheetName val="2005_EEBU_supply_balance4"/>
      <sheetName val="Data_conversion4"/>
      <sheetName val="2005_AOP_EEBU_Demand4"/>
      <sheetName val="2005_AOP_EEBU_Capacity4"/>
      <sheetName val="Balance_Sheet3"/>
      <sheetName val="Beverage_Volume2"/>
      <sheetName val="Profit_and_Loss2"/>
      <sheetName val="Summary_-_Costs2"/>
      <sheetName val="Detail_-_Resource2"/>
      <sheetName val="1__Input_data_&amp;_Assumptions2"/>
      <sheetName val="Control_Panel2"/>
      <sheetName val="JAN_$2"/>
      <sheetName val="PL_FC_Input2"/>
      <sheetName val="AOP-JUNE_FCST1"/>
      <sheetName val="2005_EEBU_charts5"/>
      <sheetName val="2005_EX_Grodzisk_by_platform5"/>
      <sheetName val="2005_EX_Kashira_by_platform5"/>
      <sheetName val="2005_EX_Grodzisk_by_plat_-data5"/>
      <sheetName val="2005_EX_Kashira_by_plat_-data5"/>
      <sheetName val="2005_EEBU_supply_balance5"/>
      <sheetName val="Data_conversion5"/>
      <sheetName val="2005_AOP_EEBU_Demand5"/>
      <sheetName val="2005_AOP_EEBU_Capacity5"/>
      <sheetName val="Balance_Sheet4"/>
      <sheetName val="Beverage_Volume3"/>
      <sheetName val="Profit_and_Loss3"/>
      <sheetName val="Summary_-_Costs3"/>
      <sheetName val="Detail_-_Resource3"/>
      <sheetName val="1__Input_data_&amp;_Assumptions3"/>
      <sheetName val="Control_Panel3"/>
      <sheetName val="JAN_$3"/>
      <sheetName val="PL_FC_Input3"/>
      <sheetName val="AOP-JUNE_FCST2"/>
      <sheetName val="Prices"/>
      <sheetName val="2005_EEBU_charts6"/>
      <sheetName val="2005_EX_Grodzisk_by_platform6"/>
      <sheetName val="2005_EX_Kashira_by_platform6"/>
      <sheetName val="2005_EX_Grodzisk_by_plat_-data6"/>
      <sheetName val="2005_EX_Kashira_by_plat_-data6"/>
      <sheetName val="2005_EEBU_supply_balance6"/>
      <sheetName val="Data_conversion6"/>
      <sheetName val="2005_AOP_EEBU_Demand6"/>
      <sheetName val="2005_AOP_EEBU_Capacity6"/>
      <sheetName val="Balance_Sheet5"/>
      <sheetName val="Profit_and_Loss4"/>
      <sheetName val="1__Input_data_&amp;_Assumptions4"/>
      <sheetName val="Control_Panel4"/>
      <sheetName val="JAN_$4"/>
      <sheetName val="Beverage_Volume4"/>
      <sheetName val="Summary_-_Costs4"/>
      <sheetName val="Detail_-_Resource4"/>
      <sheetName val="PL_FC_Input4"/>
      <sheetName val="2005_EEBU_charts8"/>
      <sheetName val="2005_EX_Grodzisk_by_platform8"/>
      <sheetName val="2005_EX_Kashira_by_platform8"/>
      <sheetName val="2005_EX_Grodzisk_by_plat_-data8"/>
      <sheetName val="2005_EX_Kashira_by_plat_-data8"/>
      <sheetName val="2005_EEBU_supply_balance8"/>
      <sheetName val="Data_conversion8"/>
      <sheetName val="2005_AOP_EEBU_Demand8"/>
      <sheetName val="2005_AOP_EEBU_Capacity8"/>
      <sheetName val="Balance_Sheet7"/>
      <sheetName val="Profit_and_Loss6"/>
      <sheetName val="Beverage_Volume6"/>
      <sheetName val="1__Input_data_&amp;_Assumptions6"/>
      <sheetName val="Control_Panel6"/>
      <sheetName val="JAN_$6"/>
      <sheetName val="Summary_-_Costs6"/>
      <sheetName val="Detail_-_Resource6"/>
      <sheetName val="PL_FC_Input6"/>
      <sheetName val="2005_EEBU_charts7"/>
      <sheetName val="2005_EX_Grodzisk_by_platform7"/>
      <sheetName val="2005_EX_Kashira_by_platform7"/>
      <sheetName val="2005_EX_Grodzisk_by_plat_-data7"/>
      <sheetName val="2005_EX_Kashira_by_plat_-data7"/>
      <sheetName val="2005_EEBU_supply_balance7"/>
      <sheetName val="Data_conversion7"/>
      <sheetName val="2005_AOP_EEBU_Demand7"/>
      <sheetName val="2005_AOP_EEBU_Capacity7"/>
      <sheetName val="Balance_Sheet6"/>
      <sheetName val="Profit_and_Loss5"/>
      <sheetName val="1__Input_data_&amp;_Assumptions5"/>
      <sheetName val="Control_Panel5"/>
      <sheetName val="JAN_$5"/>
      <sheetName val="Beverage_Volume5"/>
      <sheetName val="Summary_-_Costs5"/>
      <sheetName val="Detail_-_Resource5"/>
      <sheetName val="PL_FC_Input5"/>
      <sheetName val="Band"/>
      <sheetName val="Currency ID"/>
      <sheetName val="New York-HQ"/>
      <sheetName val="Virginia"/>
      <sheetName val="California &amp; Farmingdale"/>
      <sheetName val="Sales Team, CSC &amp; Other"/>
      <sheetName val="Obela"/>
      <sheetName val="Validation Lists"/>
      <sheetName val="96LEVCOC"/>
      <sheetName val="2005_EEBU_charts9"/>
      <sheetName val="2005_EX_Grodzisk_by_platform9"/>
      <sheetName val="2005_EX_Kashira_by_platform9"/>
      <sheetName val="2005_EX_Grodzisk_by_plat_-data9"/>
      <sheetName val="2005_EX_Kashira_by_plat_-data9"/>
      <sheetName val="2005_EEBU_supply_balance9"/>
      <sheetName val="Data_conversion9"/>
      <sheetName val="2005_AOP_EEBU_Demand9"/>
      <sheetName val="2005_AOP_EEBU_Capacity9"/>
      <sheetName val="Balance_Sheet8"/>
      <sheetName val="Profit_and_Loss7"/>
      <sheetName val="1__Input_data_&amp;_Assumptions7"/>
      <sheetName val="Control_Panel7"/>
      <sheetName val="JAN_$7"/>
      <sheetName val="Beverage_Volume7"/>
      <sheetName val="Summary_-_Costs7"/>
      <sheetName val="Detail_-_Resource7"/>
      <sheetName val="PL_FC_Input7"/>
      <sheetName val="Currency_ID"/>
      <sheetName val="New_York-HQ"/>
      <sheetName val="California_&amp;_Farmingdale"/>
      <sheetName val="Sales_Team,_CSC_&amp;_Other"/>
      <sheetName val="Brief"/>
      <sheetName val="0 volume"/>
      <sheetName val="Parameter"/>
      <sheetName val="Динамика цен"/>
      <sheetName val="Производство молока"/>
      <sheetName val="sales volume"/>
      <sheetName val="Control Sheet"/>
      <sheetName val="value per case"/>
      <sheetName val="dc_rm+pm+dl"/>
      <sheetName val="malaysia"/>
      <sheetName val="RU"/>
      <sheetName val="MU"/>
      <sheetName val="dri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erto Rico"/>
      <sheetName val="Cashflow"/>
      <sheetName val="MUPRDR P&amp;L"/>
      <sheetName val="Dom Rep"/>
      <sheetName val="P&amp;L MONTH $"/>
      <sheetName val="Cost Chart"/>
      <sheetName val="Detail"/>
      <sheetName val="Sldos"/>
      <sheetName val="START"/>
      <sheetName val=" nfcst_py"/>
      <sheetName val="Orig Target"/>
      <sheetName val="Puerto_Rico"/>
      <sheetName val="MUPRDR_P&amp;L"/>
      <sheetName val="Dom_Rep"/>
      <sheetName val="P&amp;L_MONTH_$"/>
      <sheetName val="Cost_Chart"/>
      <sheetName val="_nfcst_py"/>
      <sheetName val="Orig_Target"/>
      <sheetName val="Puerto_Rico1"/>
      <sheetName val="MUPRDR_P&amp;L1"/>
      <sheetName val="Dom_Rep1"/>
      <sheetName val="P&amp;L_MONTH_$1"/>
      <sheetName val="Cost_Chart1"/>
      <sheetName val="_nfcst_py1"/>
      <sheetName val="Orig_Target1"/>
      <sheetName val="Puerto_Rico2"/>
      <sheetName val="MUPRDR_P&amp;L2"/>
      <sheetName val="Dom_Rep2"/>
      <sheetName val="P&amp;L_MONTH_$2"/>
      <sheetName val="Cost_Chart2"/>
      <sheetName val="_nfcst_py2"/>
      <sheetName val="Orig_Targ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OP-JUNE FCST"/>
      <sheetName val="MARCH FCST-JUNE FCST"/>
      <sheetName val="Forex_and_Lookups"/>
      <sheetName val="2005 YTD Spending"/>
      <sheetName val="Macro Market Trends"/>
      <sheetName val="Fcst Detail"/>
      <sheetName val="AOP-JUNE_FCST"/>
      <sheetName val="MARCH_FCST-JUNE_FCST"/>
      <sheetName val="2005_YTD_Spending"/>
      <sheetName val="Macro_Market_Trends"/>
      <sheetName val="Fcst_Detail"/>
      <sheetName val="Reference"/>
      <sheetName val="Beverage Volume"/>
      <sheetName val="Input Sheet"/>
      <sheetName val="COCSEPT FCST 01 - AOP02"/>
      <sheetName val="Forex"/>
      <sheetName val="AOP-JUNE_FCST1"/>
      <sheetName val="MARCH_FCST-JUNE_FCST1"/>
      <sheetName val="2005_YTD_Spending1"/>
      <sheetName val="Macro_Market_Trends1"/>
      <sheetName val="Fcst_Detail1"/>
      <sheetName val="Beverage_Volume"/>
      <sheetName val="Input_Sheet"/>
      <sheetName val="COCSEPT_FCST_01_-_AOP02"/>
      <sheetName val="AOP-JUNE_FCST2"/>
      <sheetName val="MARCH_FCST-JUNE_FCST2"/>
      <sheetName val="2005_YTD_Spending2"/>
      <sheetName val="Macro_Market_Trends2"/>
      <sheetName val="Fcst_Detail2"/>
      <sheetName val="Beverage_Volume1"/>
      <sheetName val="Input_Sheet1"/>
      <sheetName val="COCSEPT_FCST_01_-_AOP021"/>
      <sheetName val="AOP-JUNE_FCST3"/>
      <sheetName val="MARCH_FCST-JUNE_FCST3"/>
      <sheetName val="2005_YTD_Spending3"/>
      <sheetName val="Macro_Market_Trends3"/>
      <sheetName val="Fcst_Detail3"/>
      <sheetName val="Beverage_Volume2"/>
      <sheetName val="Input_Sheet2"/>
      <sheetName val="COCSEPT_FCST_01_-_AOP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cery Worksheet"/>
      <sheetName val="Club Worksheet"/>
      <sheetName val="Mass Worksheet"/>
      <sheetName val="Gator USD SLRP 05"/>
      <sheetName val="canadian p&amp;l"/>
      <sheetName val="Total NA Gatorade P&amp;L"/>
      <sheetName val="NOPBT Roll-Forward"/>
      <sheetName val="Growth Rates - Existing Packs"/>
      <sheetName val="slotting expense"/>
      <sheetName val="Pack Splits (Gallons)"/>
      <sheetName val="Channel Splits"/>
      <sheetName val="Growth Rates"/>
      <sheetName val="Current Offerings - SVDC"/>
      <sheetName val="Channel P&amp;Ls"/>
      <sheetName val="other information"/>
      <sheetName val="control sheet"/>
      <sheetName val="Total Gross Sales"/>
      <sheetName val="Total Gallons"/>
      <sheetName val="Total Cases"/>
      <sheetName val="Mix and Volume Impact Worksheet"/>
      <sheetName val="propel-jc"/>
      <sheetName val="Current Offerings - Gross Sales"/>
      <sheetName val="Current Offerings - Gallons"/>
      <sheetName val="Current Offerings - cs"/>
      <sheetName val="test"/>
      <sheetName val="Base Business Volume Build test"/>
      <sheetName val="Volume x Pack x COT"/>
      <sheetName val="2009 Beg Inv"/>
      <sheetName val="Control Panel"/>
      <sheetName val="2005 EX Grodzisk by platform"/>
      <sheetName val="Grocery_Worksheet"/>
      <sheetName val="Club_Worksheet"/>
      <sheetName val="Mass_Worksheet"/>
      <sheetName val="Gator_USD_SLRP_05"/>
      <sheetName val="canadian_p&amp;l"/>
      <sheetName val="Total_NA_Gatorade_P&amp;L"/>
      <sheetName val="NOPBT_Roll-Forward"/>
      <sheetName val="Growth_Rates_-_Existing_Packs"/>
      <sheetName val="slotting_expense"/>
      <sheetName val="Pack_Splits_(Gallons)"/>
      <sheetName val="Channel_Splits"/>
      <sheetName val="Growth_Rates"/>
      <sheetName val="Current_Offerings_-_SVDC"/>
      <sheetName val="Channel_P&amp;Ls"/>
      <sheetName val="other_information"/>
      <sheetName val="control_sheet"/>
      <sheetName val="Total_Gross_Sales"/>
      <sheetName val="Total_Gallons"/>
      <sheetName val="Total_Cases"/>
      <sheetName val="Mix_and_Volume_Impact_Worksheet"/>
      <sheetName val="Current_Offerings_-_Gross_Sales"/>
      <sheetName val="Current_Offerings_-_Gallons"/>
      <sheetName val="Current_Offerings_-_cs"/>
      <sheetName val="Base_Business_Volume_Build_test"/>
      <sheetName val="Volume_x_Pack_x_COT"/>
      <sheetName val="2009_Beg_Inv"/>
      <sheetName val="Control_Panel"/>
      <sheetName val="2005_EX_Grodzisk_by_platform"/>
      <sheetName val="Puerto Rico"/>
      <sheetName val="Challenges"/>
      <sheetName val="FY Bgt"/>
      <sheetName val="YTD"/>
      <sheetName val="AOP-JUNE FCST"/>
      <sheetName val="Grocery_Worksheet1"/>
      <sheetName val="Club_Worksheet1"/>
      <sheetName val="Mass_Worksheet1"/>
      <sheetName val="Gator_USD_SLRP_051"/>
      <sheetName val="canadian_p&amp;l1"/>
      <sheetName val="Total_NA_Gatorade_P&amp;L1"/>
      <sheetName val="NOPBT_Roll-Forward1"/>
      <sheetName val="Growth_Rates_-_Existing_Packs1"/>
      <sheetName val="slotting_expense1"/>
      <sheetName val="Pack_Splits_(Gallons)1"/>
      <sheetName val="Channel_Splits1"/>
      <sheetName val="Growth_Rates1"/>
      <sheetName val="Current_Offerings_-_SVDC1"/>
      <sheetName val="Channel_P&amp;Ls1"/>
      <sheetName val="other_information1"/>
      <sheetName val="control_sheet1"/>
      <sheetName val="Total_Gross_Sales1"/>
      <sheetName val="Total_Gallons1"/>
      <sheetName val="Total_Cases1"/>
      <sheetName val="Mix_and_Volume_Impact_Workshee1"/>
      <sheetName val="Current_Offerings_-_Gross_Sale1"/>
      <sheetName val="Current_Offerings_-_Gallons1"/>
      <sheetName val="Current_Offerings_-_cs1"/>
      <sheetName val="Base_Business_Volume_Build_tes1"/>
      <sheetName val="Volume_x_Pack_x_COT1"/>
      <sheetName val="2009_Beg_Inv1"/>
      <sheetName val="Control_Panel1"/>
      <sheetName val="2005_EX_Grodzisk_by_platform1"/>
      <sheetName val="Puerto_Rico"/>
      <sheetName val="FY_Bgt"/>
      <sheetName val="AOP-JUNE_FCST"/>
      <sheetName val="Grocery_Worksheet2"/>
      <sheetName val="Club_Worksheet2"/>
      <sheetName val="Mass_Worksheet2"/>
      <sheetName val="Gator_USD_SLRP_052"/>
      <sheetName val="canadian_p&amp;l2"/>
      <sheetName val="Total_NA_Gatorade_P&amp;L2"/>
      <sheetName val="NOPBT_Roll-Forward2"/>
      <sheetName val="Growth_Rates_-_Existing_Packs2"/>
      <sheetName val="slotting_expense2"/>
      <sheetName val="Pack_Splits_(Gallons)2"/>
      <sheetName val="Channel_Splits2"/>
      <sheetName val="Growth_Rates2"/>
      <sheetName val="Current_Offerings_-_SVDC2"/>
      <sheetName val="Channel_P&amp;Ls2"/>
      <sheetName val="other_information2"/>
      <sheetName val="control_sheet2"/>
      <sheetName val="Total_Gross_Sales2"/>
      <sheetName val="Total_Gallons2"/>
      <sheetName val="Total_Cases2"/>
      <sheetName val="Mix_and_Volume_Impact_Workshee2"/>
      <sheetName val="Current_Offerings_-_Gross_Sale2"/>
      <sheetName val="Current_Offerings_-_Gallons2"/>
      <sheetName val="Current_Offerings_-_cs2"/>
      <sheetName val="Base_Business_Volume_Build_tes2"/>
      <sheetName val="Volume_x_Pack_x_COT2"/>
      <sheetName val="2009_Beg_Inv2"/>
      <sheetName val="Control_Panel2"/>
      <sheetName val="2005_EX_Grodzisk_by_platform2"/>
      <sheetName val="Puerto_Rico1"/>
      <sheetName val="FY_Bgt1"/>
      <sheetName val="AOP-JUNE_FCST1"/>
      <sheetName val="Grocery_Worksheet3"/>
      <sheetName val="Club_Worksheet3"/>
      <sheetName val="Mass_Worksheet3"/>
      <sheetName val="Gator_USD_SLRP_053"/>
      <sheetName val="canadian_p&amp;l3"/>
      <sheetName val="Total_NA_Gatorade_P&amp;L3"/>
      <sheetName val="NOPBT_Roll-Forward3"/>
      <sheetName val="Growth_Rates_-_Existing_Packs3"/>
      <sheetName val="slotting_expense3"/>
      <sheetName val="Pack_Splits_(Gallons)3"/>
      <sheetName val="Channel_Splits3"/>
      <sheetName val="Growth_Rates3"/>
      <sheetName val="Current_Offerings_-_SVDC3"/>
      <sheetName val="Channel_P&amp;Ls3"/>
      <sheetName val="other_information3"/>
      <sheetName val="control_sheet3"/>
      <sheetName val="Total_Gross_Sales3"/>
      <sheetName val="Total_Gallons3"/>
      <sheetName val="Total_Cases3"/>
      <sheetName val="Mix_and_Volume_Impact_Workshee3"/>
      <sheetName val="Current_Offerings_-_Gross_Sale3"/>
      <sheetName val="Current_Offerings_-_Gallons3"/>
      <sheetName val="Current_Offerings_-_cs3"/>
      <sheetName val="Base_Business_Volume_Build_tes3"/>
      <sheetName val="Volume_x_Pack_x_COT3"/>
      <sheetName val="2009_Beg_Inv3"/>
      <sheetName val="Control_Panel3"/>
      <sheetName val="2005_EX_Grodzisk_by_platform3"/>
      <sheetName val="Puerto_Rico2"/>
      <sheetName val="FY_Bgt2"/>
      <sheetName val="AOP-JUNE_FCS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BU Fin Summ"/>
      <sheetName val="BU P&amp;L"/>
      <sheetName val="BU NOPBT_COC vs Plan"/>
      <sheetName val="BU NOPBT_COC vs YAGO"/>
      <sheetName val="G&amp;A_YTD"/>
      <sheetName val="Pre-Tax OCF_YTD"/>
      <sheetName val="KPIs"/>
      <sheetName val="MU Fin Summ"/>
      <sheetName val="MU P&amp;L-Bev"/>
      <sheetName val="MU P&amp;L-Food"/>
      <sheetName val="Paki_B"/>
      <sheetName val="Afghan_B"/>
      <sheetName val="Pakis_S"/>
      <sheetName val="control sheet"/>
      <sheetName val="BU_Fin_Summ"/>
      <sheetName val="BU_P&amp;L"/>
      <sheetName val="BU_NOPBT_COC_vs_Plan"/>
      <sheetName val="BU_NOPBT_COC_vs_YAGO"/>
      <sheetName val="Pre-Tax_OCF_YTD"/>
      <sheetName val="MU_Fin_Summ"/>
      <sheetName val="MU_P&amp;L-Bev"/>
      <sheetName val="MU_P&amp;L-Food"/>
      <sheetName val="control_sheet"/>
      <sheetName val="BU_Fin_Summ1"/>
      <sheetName val="BU_P&amp;L1"/>
      <sheetName val="BU_NOPBT_COC_vs_Plan1"/>
      <sheetName val="BU_NOPBT_COC_vs_YAGO1"/>
      <sheetName val="Pre-Tax_OCF_YTD1"/>
      <sheetName val="MU_Fin_Summ1"/>
      <sheetName val="MU_P&amp;L-Bev1"/>
      <sheetName val="MU_P&amp;L-Food1"/>
      <sheetName val="control_sheet1"/>
      <sheetName val="BU_Fin_Summ2"/>
      <sheetName val="BU_P&amp;L2"/>
      <sheetName val="BU_NOPBT_COC_vs_Plan2"/>
      <sheetName val="BU_NOPBT_COC_vs_YAGO2"/>
      <sheetName val="Pre-Tax_OCF_YTD2"/>
      <sheetName val="MU_Fin_Summ2"/>
      <sheetName val="MU_P&amp;L-Bev2"/>
      <sheetName val="MU_P&amp;L-Food2"/>
      <sheetName val="control_sheet2"/>
    </sheetNames>
    <sheetDataSet>
      <sheetData sheetId="0">
        <row r="4">
          <cell r="J4" t="str">
            <v>NAPP_BU</v>
          </cell>
          <cell r="K4" t="str">
            <v>Pakistan_Bev</v>
          </cell>
          <cell r="L4" t="str">
            <v>Pakistan_SNK</v>
          </cell>
          <cell r="M4" t="str">
            <v>NAPP_HQ</v>
          </cell>
        </row>
        <row r="5">
          <cell r="K5" t="str">
            <v>Afghan_Bev</v>
          </cell>
          <cell r="L5" t="str">
            <v>Philippines_Snk</v>
          </cell>
        </row>
        <row r="6">
          <cell r="K6" t="str">
            <v>Philippines_Bev</v>
          </cell>
          <cell r="L6" t="str">
            <v>Sphilippines</v>
          </cell>
        </row>
        <row r="7">
          <cell r="K7" t="str">
            <v>Japan_Suntory</v>
          </cell>
          <cell r="L7" t="str">
            <v>Quaker_philippines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Tax"/>
      <sheetName val="Top Line (Hyp)"/>
      <sheetName val="Plan Summary"/>
      <sheetName val="Top Line"/>
      <sheetName val="Forex"/>
      <sheetName val="GA"/>
      <sheetName val="Depre"/>
      <sheetName val="SSC"/>
      <sheetName val="Vol_Act"/>
      <sheetName val="Vol_Trk"/>
      <sheetName val="AM Summary"/>
      <sheetName val="Bev_Sum"/>
      <sheetName val="CSD_Sum"/>
      <sheetName val="GAT_Sum"/>
      <sheetName val="Trop_Sum"/>
      <sheetName val="Twst_Sum"/>
      <sheetName val="LIP_Sum"/>
      <sheetName val="BEV"/>
      <sheetName val="BEV_AOP"/>
      <sheetName val="BEV_YAG"/>
      <sheetName val="CSD"/>
      <sheetName val="CSD_AOP"/>
      <sheetName val="CSD_YAG"/>
      <sheetName val="GAT"/>
      <sheetName val="GAT_FCH"/>
      <sheetName val="GAT_FG"/>
      <sheetName val="GAT_AOP"/>
      <sheetName val="GAT_YAG"/>
      <sheetName val="TROP"/>
      <sheetName val="TROP100"/>
      <sheetName val="Twist"/>
      <sheetName val="Twist_FG"/>
      <sheetName val="Twist_RB"/>
      <sheetName val="TROP_AOP"/>
      <sheetName val="Twister_YAG"/>
      <sheetName val="LIP(USD)"/>
      <sheetName val="LIP(THB)"/>
      <sheetName val="FCH_PWD(THB)"/>
      <sheetName val="LIP_PWD(THB)"/>
      <sheetName val="LIP_FCH(THB)"/>
      <sheetName val="LIP_FG(THB)"/>
      <sheetName val="LIP_CAN(THB)"/>
      <sheetName val="LIP_PET(THB)"/>
      <sheetName val="LIP_AOP"/>
      <sheetName val="Lipt PL Summary"/>
      <sheetName val="Lip PL Sum2"/>
      <sheetName val="LIP_YAG"/>
      <sheetName val="P01"/>
      <sheetName val="Top_Line_(Hyp)"/>
      <sheetName val="Plan_Summary"/>
      <sheetName val="Top_Line"/>
      <sheetName val="AM_Summary"/>
      <sheetName val="Lipt_PL_Summary"/>
      <sheetName val="Lip_PL_Sum2"/>
      <sheetName val="Top_Line_(Hyp)1"/>
      <sheetName val="Plan_Summary1"/>
      <sheetName val="Top_Line1"/>
      <sheetName val="AM_Summary1"/>
      <sheetName val="Lipt_PL_Summary1"/>
      <sheetName val="Lip_PL_Sum21"/>
      <sheetName val="Top_Line_(Hyp)2"/>
      <sheetName val="Plan_Summary2"/>
      <sheetName val="Top_Line2"/>
      <sheetName val="AM_Summary2"/>
      <sheetName val="Lipt_PL_Summary2"/>
      <sheetName val="Lip_PL_Sum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entrate"/>
      <sheetName val="NT Servers ex Email"/>
      <sheetName val="Email Servers"/>
      <sheetName val="Cost Sheet"/>
      <sheetName val="Prices"/>
      <sheetName val="D&amp;A"/>
      <sheetName val="US CSE_VGP Build"/>
      <sheetName val="Nat'l FTN"/>
      <sheetName val="S&amp;D"/>
      <sheetName val="G&amp;A"/>
      <sheetName val="Other"/>
      <sheetName val="control sheet"/>
      <sheetName val="Group_DCF"/>
      <sheetName val="Tariffs&amp;Traffic"/>
      <sheetName val="NMT"/>
      <sheetName val="TPSA_Model"/>
      <sheetName val="Charts"/>
      <sheetName val="Keystats"/>
      <sheetName val="Macro_Assumptions"/>
      <sheetName val="GSM"/>
      <sheetName val="2008 (2)"/>
      <sheetName val="2009_Ph2"/>
      <sheetName val="2009_Ph1"/>
      <sheetName val="Summary"/>
      <sheetName val="Detail"/>
      <sheetName val="NT_Servers_ex_Email"/>
      <sheetName val="Email_Servers"/>
      <sheetName val="Cost_Sheet"/>
      <sheetName val="US_CSE_VGP_Build"/>
      <sheetName val="Nat'l_FTN"/>
      <sheetName val="2008_(2)"/>
      <sheetName val="control_sheet"/>
      <sheetName val="C'03 act &amp; '04 AOP"/>
      <sheetName val="AOP-JUNE FCST"/>
      <sheetName val=""/>
      <sheetName val="Puerto Rico"/>
      <sheetName val="P&amp;L"/>
      <sheetName val="PLPHIL"/>
      <sheetName val="W604"/>
      <sheetName val="TT-2"/>
      <sheetName val="NT_Servers_ex_Email1"/>
      <sheetName val="Email_Servers1"/>
      <sheetName val="Cost_Sheet1"/>
      <sheetName val="US_CSE_VGP_Build1"/>
      <sheetName val="Nat'l_FTN1"/>
      <sheetName val="control_sheet1"/>
      <sheetName val="2008_(2)1"/>
      <sheetName val="C'03_act_&amp;_'04_AOP"/>
      <sheetName val="AOP-JUNE_FCST"/>
      <sheetName val="Puerto_Rico"/>
      <sheetName val="NT_Servers_ex_Email2"/>
      <sheetName val="Email_Servers2"/>
      <sheetName val="Cost_Sheet2"/>
      <sheetName val="US_CSE_VGP_Build2"/>
      <sheetName val="Nat'l_FTN2"/>
      <sheetName val="control_sheet2"/>
      <sheetName val="2008_(2)2"/>
      <sheetName val="C'03_act_&amp;_'04_AOP1"/>
      <sheetName val="AOP-JUNE_FCST1"/>
      <sheetName val="Puerto_Rico1"/>
      <sheetName val="NT_Servers_ex_Email3"/>
      <sheetName val="Email_Servers3"/>
      <sheetName val="Cost_Sheet3"/>
      <sheetName val="US_CSE_VGP_Build3"/>
      <sheetName val="Nat'l_FTN3"/>
      <sheetName val="control_sheet3"/>
      <sheetName val="2008_(2)3"/>
      <sheetName val="C'03_act_&amp;_'04_AOP2"/>
      <sheetName val="AOP-JUNE_FCST2"/>
      <sheetName val="Puerto_Rico2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nus Working 2008"/>
      <sheetName val="Input Sheet"/>
      <sheetName val="LV"/>
      <sheetName val="BKK"/>
      <sheetName val="Bonus_Working_2008"/>
      <sheetName val="Input_Sheet"/>
      <sheetName val="Accounts"/>
      <sheetName val="Schedule 9"/>
      <sheetName val="READING"/>
      <sheetName val="Bill"/>
      <sheetName val="Value List"/>
      <sheetName val="Bonus_Working_20081"/>
      <sheetName val="Input_Sheet1"/>
      <sheetName val="Schedule_9"/>
      <sheetName val="Value_List"/>
      <sheetName val="Bonus_Working_20082"/>
      <sheetName val="Input_Sheet2"/>
      <sheetName val="Schedule_91"/>
      <sheetName val="Value_List1"/>
      <sheetName val="Bonus_Working_20083"/>
      <sheetName val="Input_Sheet3"/>
      <sheetName val="Schedule_92"/>
      <sheetName val="Value_List2"/>
    </sheetNames>
    <sheetDataSet>
      <sheetData sheetId="0" refreshError="1"/>
      <sheetData sheetId="1">
        <row r="3">
          <cell r="A3" t="str">
            <v>Grade</v>
          </cell>
          <cell r="B3" t="str">
            <v>Target Bonus</v>
          </cell>
          <cell r="C3" t="str">
            <v>P. Bonus</v>
          </cell>
        </row>
        <row r="4">
          <cell r="A4" t="str">
            <v>B3</v>
          </cell>
          <cell r="B4">
            <v>0.45</v>
          </cell>
          <cell r="C4">
            <v>0.2</v>
          </cell>
        </row>
        <row r="5">
          <cell r="A5" t="str">
            <v>B2</v>
          </cell>
          <cell r="B5">
            <v>0.35</v>
          </cell>
          <cell r="C5">
            <v>0.15</v>
          </cell>
        </row>
        <row r="6">
          <cell r="A6" t="str">
            <v>B1</v>
          </cell>
          <cell r="B6">
            <v>0.25</v>
          </cell>
          <cell r="C6">
            <v>0.1</v>
          </cell>
        </row>
        <row r="7">
          <cell r="A7" t="str">
            <v>L11</v>
          </cell>
          <cell r="B7">
            <v>0.15</v>
          </cell>
        </row>
        <row r="8">
          <cell r="A8" t="str">
            <v>L10</v>
          </cell>
          <cell r="B8">
            <v>0.1</v>
          </cell>
        </row>
        <row r="9">
          <cell r="A9" t="str">
            <v>L09</v>
          </cell>
          <cell r="B9">
            <v>0.1</v>
          </cell>
        </row>
        <row r="10">
          <cell r="A10" t="str">
            <v>L08</v>
          </cell>
          <cell r="B10">
            <v>0.1</v>
          </cell>
        </row>
        <row r="11">
          <cell r="A11" t="str">
            <v>L07</v>
          </cell>
          <cell r="B11">
            <v>0.1</v>
          </cell>
        </row>
        <row r="12">
          <cell r="A12" t="str">
            <v>L06</v>
          </cell>
          <cell r="B12">
            <v>0.1</v>
          </cell>
        </row>
        <row r="13">
          <cell r="A13" t="str">
            <v>L05</v>
          </cell>
          <cell r="B13">
            <v>8.3000000000000004E-2</v>
          </cell>
        </row>
        <row r="14">
          <cell r="A14" t="str">
            <v>L04</v>
          </cell>
          <cell r="B14">
            <v>8.3000000000000004E-2</v>
          </cell>
        </row>
        <row r="15">
          <cell r="A15" t="str">
            <v>L03</v>
          </cell>
          <cell r="B15">
            <v>8.3000000000000004E-2</v>
          </cell>
        </row>
        <row r="16">
          <cell r="A16" t="str">
            <v>L02</v>
          </cell>
          <cell r="B16">
            <v>8.3000000000000004E-2</v>
          </cell>
        </row>
        <row r="17">
          <cell r="A17" t="str">
            <v>L01</v>
          </cell>
          <cell r="B17">
            <v>8.3000000000000004E-2</v>
          </cell>
        </row>
      </sheetData>
      <sheetData sheetId="2" refreshError="1"/>
      <sheetData sheetId="3" refreshError="1"/>
      <sheetData sheetId="4"/>
      <sheetData sheetId="5">
        <row r="3">
          <cell r="A3" t="str">
            <v>Grade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>
        <row r="3">
          <cell r="A3" t="str">
            <v>Grade</v>
          </cell>
        </row>
      </sheetData>
      <sheetData sheetId="13"/>
      <sheetData sheetId="14"/>
      <sheetData sheetId="15"/>
      <sheetData sheetId="16">
        <row r="3">
          <cell r="A3" t="str">
            <v>Grade</v>
          </cell>
        </row>
      </sheetData>
      <sheetData sheetId="17"/>
      <sheetData sheetId="18"/>
      <sheetData sheetId="19"/>
      <sheetData sheetId="20">
        <row r="3">
          <cell r="A3" t="str">
            <v>Grade</v>
          </cell>
        </row>
      </sheetData>
      <sheetData sheetId="21"/>
      <sheetData sheetId="22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 Loading Inaccuracies"/>
      <sheetName val="LoadAccDtl"/>
      <sheetName val="LoadingAccyOld"/>
      <sheetName val="LoadingAccyConfUnconfYTD"/>
      <sheetName val="EDSLoadingAccy"/>
      <sheetName val="LoadAccDataSumm"/>
      <sheetName val="EDSLoadAccData"/>
      <sheetName val="Lookup"/>
      <sheetName val="Dashboard"/>
      <sheetName val="DashboardOld"/>
      <sheetName val="DashBdData2000"/>
      <sheetName val="DashBdData2000NoYearEndInvIss"/>
      <sheetName val="DashBdData1999"/>
      <sheetName val="Index1999vs2000"/>
      <sheetName val="BOs"/>
      <sheetName val="OLIs"/>
      <sheetName val="LDs"/>
      <sheetName val="IOs"/>
      <sheetName val="ROs"/>
      <sheetName val="Dec cos"/>
      <sheetName val="Inputs"/>
      <sheetName val="Hyperion"/>
      <sheetName val="RPT 71-VOLUME DATA-PCI "/>
      <sheetName val="DC_Loading_Inaccuracies"/>
      <sheetName val="Dec_cos"/>
      <sheetName val="RPT_71-VOLUME_DATA-PCI_"/>
      <sheetName val="Prices"/>
      <sheetName val="Share Price 2002"/>
      <sheetName val="Cost Sheet"/>
      <sheetName val="CP"/>
      <sheetName val="Lists"/>
      <sheetName val=""/>
      <sheetName val="Validation Rules"/>
      <sheetName val="DC_Loading_Inaccuracies1"/>
      <sheetName val="Dec_cos1"/>
      <sheetName val="RPT_71-VOLUME_DATA-PCI_1"/>
      <sheetName val="Share_Price_2002"/>
      <sheetName val="Cost_Sheet"/>
      <sheetName val="Validation_Rules"/>
      <sheetName val="DC_Loading_Inaccuracies2"/>
      <sheetName val="Dec_cos2"/>
      <sheetName val="RPT_71-VOLUME_DATA-PCI_2"/>
      <sheetName val="Share_Price_20021"/>
      <sheetName val="Cost_Sheet1"/>
      <sheetName val="Validation_Rules1"/>
      <sheetName val="DC_Loading_Inaccuracies3"/>
      <sheetName val="Dec_cos3"/>
      <sheetName val="RPT_71-VOLUME_DATA-PCI_3"/>
      <sheetName val="Share_Price_20022"/>
      <sheetName val="Cost_Sheet2"/>
      <sheetName val="Validation_Rule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l"/>
      <sheetName val="FL1Transfer"/>
      <sheetName val="FK1Transfer"/>
      <sheetName val="FI1Transfer"/>
      <sheetName val="Sale"/>
      <sheetName val="Production"/>
      <sheetName val="Handling"/>
      <sheetName val="L02 Sale"/>
      <sheetName val="Sample(Taken by QAD)"/>
      <sheetName val="L02_Sale"/>
      <sheetName val="Sample(Taken_by_QAD)"/>
      <sheetName val="L02_Sale1"/>
      <sheetName val="Sample(Taken_by_QAD)1"/>
      <sheetName val="L02_Sale2"/>
      <sheetName val="Sample(Taken_by_QAD)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l"/>
      <sheetName val="FL1Transfer"/>
      <sheetName val="FK1Transfer"/>
      <sheetName val="FI1Transfer"/>
      <sheetName val="Sale"/>
      <sheetName val="Production"/>
      <sheetName val="Handling"/>
      <sheetName val="L02 Sale"/>
      <sheetName val="Sample(Taken by QAD)"/>
      <sheetName val="L02_Sale"/>
      <sheetName val="Sample(Taken_by_QAD)"/>
      <sheetName val="L02_Sale1"/>
      <sheetName val="Sample(Taken_by_QAD)1"/>
      <sheetName val="L02_Sale2"/>
      <sheetName val="Sample(Taken_by_QAD)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BO Summ"/>
      <sheetName val="Loading Acc"/>
      <sheetName val="BO Brand Orders"/>
      <sheetName val="Wkly BO Brand Orders"/>
      <sheetName val="Pd BO Brand Orders"/>
      <sheetName val="BO Brand Packs"/>
      <sheetName val="Wkly BO Brand Packs"/>
      <sheetName val="Pd BO Brand Packs"/>
      <sheetName val="BO Packs by Pkg Type"/>
      <sheetName val="BO Packs Explain"/>
      <sheetName val="Wkly BO Packs Explain"/>
      <sheetName val="Pd BO Packs Explain"/>
      <sheetName val="Pack Avail"/>
      <sheetName val="Wkly Pack Avail"/>
      <sheetName val="Pd Pack Avail"/>
      <sheetName val="Whs Prod"/>
      <sheetName val="FcstAccy"/>
      <sheetName val="GoodFcsts"/>
      <sheetName val="WklyCSSR"/>
      <sheetName val="Pack Availability"/>
      <sheetName val="Pack Availability by Brand"/>
      <sheetName val="Pack Availability by Reason"/>
      <sheetName val="Loading Accuracy"/>
      <sheetName val="Loading Accuracy by DC"/>
      <sheetName val="Warehouse Productivity"/>
      <sheetName val="Forecast Accuracy"/>
      <sheetName val="Good Forecast %"/>
      <sheetName val="OldLoadAccByDCChart"/>
      <sheetName val="OldShpDscrpChart"/>
      <sheetName val="OldBOChart"/>
      <sheetName val="PkAvailChart"/>
      <sheetName val="BrandPkAvailChart"/>
      <sheetName val="PkAvailRsnChart"/>
      <sheetName val="LoadAccyChart"/>
      <sheetName val="DCLoadAccChart"/>
      <sheetName val="FcstAccyChart"/>
      <sheetName val="GoodFcstChart"/>
      <sheetName val="Data"/>
      <sheetName val="Pack and BO Sum"/>
      <sheetName val="Loading Acc by Pcs"/>
      <sheetName val="BO Explain"/>
      <sheetName val="Wkly BO Explain"/>
      <sheetName val="Pd BO Explain"/>
      <sheetName val="PdCSSR"/>
      <sheetName val="OBSBrandDtl"/>
      <sheetName val="Backorders"/>
      <sheetName val="Brand Detail"/>
      <sheetName val="Bottler Detail"/>
      <sheetName val="Cust Serv %"/>
      <sheetName val="BO_Summ"/>
      <sheetName val="Loading_Acc"/>
      <sheetName val="BO_Brand_Orders"/>
      <sheetName val="Wkly_BO_Brand_Orders"/>
      <sheetName val="Pd_BO_Brand_Orders"/>
      <sheetName val="BO_Brand_Packs"/>
      <sheetName val="Wkly_BO_Brand_Packs"/>
      <sheetName val="Pd_BO_Brand_Packs"/>
      <sheetName val="BO_Packs_by_Pkg_Type"/>
      <sheetName val="BO_Packs_Explain"/>
      <sheetName val="Wkly_BO_Packs_Explain"/>
      <sheetName val="Pd_BO_Packs_Explain"/>
      <sheetName val="Pack_Avail"/>
      <sheetName val="Wkly_Pack_Avail"/>
      <sheetName val="Pd_Pack_Avail"/>
      <sheetName val="Whs_Prod"/>
      <sheetName val="Pack_Availability"/>
      <sheetName val="Pack_Availability_by_Brand"/>
      <sheetName val="Pack_Availability_by_Reason"/>
      <sheetName val="Loading_Accuracy"/>
      <sheetName val="Loading_Accuracy_by_DC"/>
      <sheetName val="Warehouse_Productivity"/>
      <sheetName val="Forecast_Accuracy"/>
      <sheetName val="Good_Forecast_%"/>
      <sheetName val="Pack_and_BO_Sum"/>
      <sheetName val="Loading_Acc_by_Pcs"/>
      <sheetName val="BO_Explain"/>
      <sheetName val="Wkly_BO_Explain"/>
      <sheetName val="Pd_BO_Explain"/>
      <sheetName val="Brand_Detail"/>
      <sheetName val="Bottler_Detail"/>
      <sheetName val="Cust_Serv_%"/>
      <sheetName val="BO_Summ1"/>
      <sheetName val="Loading_Acc1"/>
      <sheetName val="BO_Brand_Orders1"/>
      <sheetName val="Wkly_BO_Brand_Orders1"/>
      <sheetName val="Pd_BO_Brand_Orders1"/>
      <sheetName val="BO_Brand_Packs1"/>
      <sheetName val="Wkly_BO_Brand_Packs1"/>
      <sheetName val="Pd_BO_Brand_Packs1"/>
      <sheetName val="BO_Packs_by_Pkg_Type1"/>
      <sheetName val="BO_Packs_Explain1"/>
      <sheetName val="Wkly_BO_Packs_Explain1"/>
      <sheetName val="Pd_BO_Packs_Explain1"/>
      <sheetName val="Pack_Avail1"/>
      <sheetName val="Wkly_Pack_Avail1"/>
      <sheetName val="Pd_Pack_Avail1"/>
      <sheetName val="Whs_Prod1"/>
      <sheetName val="Pack_Availability1"/>
      <sheetName val="Pack_Availability_by_Brand1"/>
      <sheetName val="Pack_Availability_by_Reason1"/>
      <sheetName val="Loading_Accuracy1"/>
      <sheetName val="Loading_Accuracy_by_DC1"/>
      <sheetName val="Warehouse_Productivity1"/>
      <sheetName val="Forecast_Accuracy1"/>
      <sheetName val="Good_Forecast_%1"/>
      <sheetName val="Pack_and_BO_Sum1"/>
      <sheetName val="Loading_Acc_by_Pcs1"/>
      <sheetName val="BO_Explain1"/>
      <sheetName val="Wkly_BO_Explain1"/>
      <sheetName val="Pd_BO_Explain1"/>
      <sheetName val="Brand_Detail1"/>
      <sheetName val="Bottler_Detail1"/>
      <sheetName val="Cust_Serv_%1"/>
      <sheetName val="BO_Summ2"/>
      <sheetName val="Loading_Acc2"/>
      <sheetName val="BO_Brand_Orders2"/>
      <sheetName val="Wkly_BO_Brand_Orders2"/>
      <sheetName val="Pd_BO_Brand_Orders2"/>
      <sheetName val="BO_Brand_Packs2"/>
      <sheetName val="Wkly_BO_Brand_Packs2"/>
      <sheetName val="Pd_BO_Brand_Packs2"/>
      <sheetName val="BO_Packs_by_Pkg_Type2"/>
      <sheetName val="BO_Packs_Explain2"/>
      <sheetName val="Wkly_BO_Packs_Explain2"/>
      <sheetName val="Pd_BO_Packs_Explain2"/>
      <sheetName val="Pack_Avail2"/>
      <sheetName val="Wkly_Pack_Avail2"/>
      <sheetName val="Pd_Pack_Avail2"/>
      <sheetName val="Whs_Prod2"/>
      <sheetName val="Pack_Availability2"/>
      <sheetName val="Pack_Availability_by_Brand2"/>
      <sheetName val="Pack_Availability_by_Reason2"/>
      <sheetName val="Loading_Accuracy2"/>
      <sheetName val="Loading_Accuracy_by_DC2"/>
      <sheetName val="Warehouse_Productivity2"/>
      <sheetName val="Forecast_Accuracy2"/>
      <sheetName val="Good_Forecast_%2"/>
      <sheetName val="Pack_and_BO_Sum2"/>
      <sheetName val="Loading_Acc_by_Pcs2"/>
      <sheetName val="BO_Explain2"/>
      <sheetName val="Wkly_BO_Explain2"/>
      <sheetName val="Pd_BO_Explain2"/>
      <sheetName val="Brand_Detail2"/>
      <sheetName val="Bottler_Detail2"/>
      <sheetName val="Cust_Serv_%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sts"/>
      <sheetName val="Fcsty"/>
      <sheetName val="Supply"/>
      <sheetName val="2005 EX Grodzisk by platform"/>
      <sheetName val="Lookup"/>
      <sheetName val="LoadAccyByWk"/>
      <sheetName val="PackAvailByWk"/>
      <sheetName val="BO Summ"/>
      <sheetName val="2005_EX_Grodzisk_by_platform"/>
      <sheetName val="2005_EX_Grodzisk_by_platform1"/>
      <sheetName val="BO_Summ"/>
      <sheetName val="30's-Components"/>
      <sheetName val="Kashira"/>
      <sheetName val="Azov"/>
      <sheetName val="Full_ForEx_FC"/>
      <sheetName val="1. Input data &amp; Assumptions"/>
      <sheetName val="RTE"/>
      <sheetName val="Boxed &amp; Other Assumptions"/>
      <sheetName val="2005_EX_Grodzisk_by_platform2"/>
      <sheetName val="BO_Summ1"/>
      <sheetName val="1__Input_data_&amp;_Assumptions"/>
      <sheetName val="Boxed_&amp;_Other_Assumptions"/>
      <sheetName val="Detail"/>
      <sheetName val="2005_EX_Grodzisk_by_platform3"/>
      <sheetName val="BO_Summ2"/>
      <sheetName val="1__Input_data_&amp;_Assumptions1"/>
      <sheetName val="Boxed_&amp;_Other_Assumptions1"/>
      <sheetName val="2005_EX_Grodzisk_by_platform4"/>
      <sheetName val="BO_Summ3"/>
      <sheetName val="1__Input_data_&amp;_Assumptions2"/>
      <sheetName val="Boxed_&amp;_Other_Assumptions2"/>
      <sheetName val="Capex"/>
      <sheetName val="2005_EX_Grodzisk_by_platform5"/>
      <sheetName val="BO_Summ4"/>
      <sheetName val="1__Input_data_&amp;_Assumptions3"/>
      <sheetName val="Boxed_&amp;_Other_Assumptions3"/>
      <sheetName val="Master"/>
      <sheetName val="2005_EX_Grodzisk_by_platform6"/>
      <sheetName val="BO_Summ5"/>
      <sheetName val="1__Input_data_&amp;_Assumptions4"/>
      <sheetName val="Boxed_&amp;_Other_Assumptions4"/>
      <sheetName val="2005_EX_Grodzisk_by_platform8"/>
      <sheetName val="BO_Summ7"/>
      <sheetName val="1__Input_data_&amp;_Assumptions6"/>
      <sheetName val="Boxed_&amp;_Other_Assumptions6"/>
      <sheetName val="2005_EX_Grodzisk_by_platform7"/>
      <sheetName val="BO_Summ6"/>
      <sheetName val="1__Input_data_&amp;_Assumptions5"/>
      <sheetName val="Boxed_&amp;_Other_Assumptions5"/>
      <sheetName val="PC basic"/>
      <sheetName val="Truck capacity"/>
      <sheetName val="Samara"/>
      <sheetName val="StPete"/>
      <sheetName val="2005_EX_Grodzisk_by_platform9"/>
      <sheetName val="BO_Summ8"/>
      <sheetName val="1__Input_data_&amp;_Assumptions7"/>
      <sheetName val="Boxed_&amp;_Other_Assumptions7"/>
      <sheetName val="PC_basic"/>
      <sheetName val="Truck_capacity"/>
      <sheetName val="CP"/>
      <sheetName val="转换率"/>
      <sheetName val="Brief"/>
      <sheetName val="driver"/>
      <sheetName val="data"/>
      <sheetName val="trantypelist"/>
      <sheetName val="prueba"/>
      <sheetName val="TT-2"/>
      <sheetName val="Macro Market Trends"/>
      <sheetName val="2002P-BU"/>
      <sheetName val="P&amp;L(S1)"/>
      <sheetName val="Loading Acc"/>
      <sheetName val="BO Brand Orders"/>
      <sheetName val="Wkly BO Brand Orders"/>
      <sheetName val="Pd BO Brand Orders"/>
      <sheetName val="BO Brand Packs"/>
      <sheetName val="Wkly BO Brand Packs"/>
      <sheetName val="Pd BO Brand Packs"/>
      <sheetName val="BO Packs by Pkg Type"/>
      <sheetName val="BO Packs Explain"/>
      <sheetName val="Wkly BO Packs Explain"/>
      <sheetName val="Pd BO Packs Explain"/>
      <sheetName val="Pack Avail"/>
      <sheetName val="Wkly Pack Avail"/>
      <sheetName val="Pd Pack Avail"/>
      <sheetName val="Whs Prod"/>
      <sheetName val="FcstAccy"/>
      <sheetName val="GoodFcsts"/>
      <sheetName val="WklyCSSR"/>
      <sheetName val="Pack Availability"/>
      <sheetName val="Pack Availability by Brand"/>
      <sheetName val="Pack Availability by Reason"/>
      <sheetName val="Loading Accuracy"/>
      <sheetName val="Loading Accuracy by DC"/>
      <sheetName val="Warehouse Productivity"/>
      <sheetName val="Forecast Accuracy"/>
      <sheetName val="Good Forecast %"/>
      <sheetName val="OldLoadAccByDCChart"/>
      <sheetName val="OldShpDscrpChart"/>
      <sheetName val="OldBOChart"/>
      <sheetName val="PkAvailChart"/>
      <sheetName val="BrandPkAvailChart"/>
      <sheetName val="PkAvailRsnChart"/>
      <sheetName val="LoadAccyChart"/>
      <sheetName val="DCLoadAccChart"/>
      <sheetName val="FcstAccyChart"/>
      <sheetName val="GoodFcstChart"/>
      <sheetName val="Pack and BO Sum"/>
      <sheetName val="Loading Acc by Pcs"/>
      <sheetName val="BO Explain"/>
      <sheetName val="Wkly BO Explain"/>
      <sheetName val="Pd BO Explain"/>
      <sheetName val="PdCSSR"/>
      <sheetName val="OBSBrandDtl"/>
      <sheetName val="Backorders"/>
      <sheetName val="Brand Detail"/>
      <sheetName val="Bottler Detail"/>
      <sheetName val="Cust Serv %"/>
      <sheetName val="Share Price 2002"/>
    </sheetNames>
    <sheetDataSet>
      <sheetData sheetId="0" refreshError="1">
        <row r="56">
          <cell r="G56" t="str">
            <v>CHKET2</v>
          </cell>
          <cell r="H56" t="str">
            <v>CHONI</v>
          </cell>
          <cell r="I56" t="str">
            <v>CHGRI</v>
          </cell>
          <cell r="J56" t="str">
            <v>x</v>
          </cell>
          <cell r="K56" t="str">
            <v>x</v>
          </cell>
          <cell r="L56" t="str">
            <v>x</v>
          </cell>
          <cell r="M56" t="str">
            <v>x</v>
          </cell>
          <cell r="N56" t="str">
            <v>x</v>
          </cell>
          <cell r="O56" t="str">
            <v>x</v>
          </cell>
          <cell r="P56" t="str">
            <v>x</v>
          </cell>
        </row>
        <row r="57">
          <cell r="G57" t="str">
            <v>CHBLU</v>
          </cell>
          <cell r="H57" t="str">
            <v>CHGRE</v>
          </cell>
          <cell r="I57" t="str">
            <v>x</v>
          </cell>
          <cell r="J57" t="str">
            <v>x</v>
          </cell>
          <cell r="K57" t="str">
            <v>x</v>
          </cell>
          <cell r="L57" t="str">
            <v>x</v>
          </cell>
          <cell r="M57" t="str">
            <v>x</v>
          </cell>
          <cell r="N57" t="str">
            <v>x</v>
          </cell>
          <cell r="O57" t="str">
            <v>x</v>
          </cell>
          <cell r="P57" t="str">
            <v>x</v>
          </cell>
        </row>
        <row r="62">
          <cell r="G62" t="str">
            <v>GRI</v>
          </cell>
          <cell r="I62" t="str">
            <v>KE</v>
          </cell>
          <cell r="J62" t="str">
            <v>CHCH</v>
          </cell>
          <cell r="L62" t="str">
            <v>CHVN</v>
          </cell>
        </row>
        <row r="63">
          <cell r="H63" t="str">
            <v>PIZZA</v>
          </cell>
          <cell r="K63" t="str">
            <v>CHST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Template"/>
      <sheetName val="Menu"/>
      <sheetName val="COCH_C"/>
      <sheetName val="Overview"/>
      <sheetName val="CostCenter"/>
      <sheetName val="Waste Removal"/>
      <sheetName val="Other Service"/>
      <sheetName val="Domestic"/>
      <sheetName val="PI Integ. Cost"/>
      <sheetName val="Overseas"/>
      <sheetName val="Ve. Runing"/>
      <sheetName val="Vech_Runing"/>
      <sheetName val="Vech_Rent"/>
      <sheetName val="Entertainment"/>
      <sheetName val="Bussiness M."/>
      <sheetName val="Business Meeting"/>
      <sheetName val="Tel&amp;Fax"/>
      <sheetName val="Communication"/>
      <sheetName val="Postage"/>
      <sheetName val="R&amp;M computer"/>
      <sheetName val="Op. Supply-Slice Blade"/>
      <sheetName val="Op Supply-Cleaning "/>
      <sheetName val="Op Supply -Safety"/>
      <sheetName val="Op Supply -Other"/>
      <sheetName val="Insurance"/>
      <sheetName val="Stationeries"/>
      <sheetName val="Printing Form"/>
      <sheetName val="Rental"/>
      <sheetName val="Legal"/>
      <sheetName val="Member"/>
      <sheetName val="Instruc."/>
      <sheetName val="Capex"/>
      <sheetName val="Depre"/>
      <sheetName val="FG output"/>
      <sheetName val="FLT"/>
      <sheetName val="Waste_Removal"/>
      <sheetName val="Other_Service"/>
      <sheetName val="PI_Integ__Cost"/>
      <sheetName val="Ve__Runing"/>
      <sheetName val="Bussiness_M_"/>
      <sheetName val="Business_Meeting"/>
      <sheetName val="R&amp;M_computer"/>
      <sheetName val="Op__Supply-Slice_Blade"/>
      <sheetName val="Op_Supply-Cleaning_"/>
      <sheetName val="Op_Supply_-Safety"/>
      <sheetName val="Op_Supply_-Other"/>
      <sheetName val="Printing_Form"/>
      <sheetName val="Instruc_"/>
      <sheetName val="FG_output"/>
      <sheetName val="Waste_Removal1"/>
      <sheetName val="Other_Service1"/>
      <sheetName val="PI_Integ__Cost1"/>
      <sheetName val="Ve__Runing1"/>
      <sheetName val="Bussiness_M_1"/>
      <sheetName val="Business_Meeting1"/>
      <sheetName val="R&amp;M_computer1"/>
      <sheetName val="Op__Supply-Slice_Blade1"/>
      <sheetName val="Op_Supply-Cleaning_1"/>
      <sheetName val="Op_Supply_-Safety1"/>
      <sheetName val="Op_Supply_-Other1"/>
      <sheetName val="Printing_Form1"/>
      <sheetName val="Instruc_1"/>
      <sheetName val="FG_output1"/>
      <sheetName val="Waste_Removal2"/>
      <sheetName val="Other_Service2"/>
      <sheetName val="PI_Integ__Cost2"/>
      <sheetName val="Ve__Runing2"/>
      <sheetName val="Bussiness_M_2"/>
      <sheetName val="Business_Meeting2"/>
      <sheetName val="R&amp;M_computer2"/>
      <sheetName val="Op__Supply-Slice_Blade2"/>
      <sheetName val="Op_Supply-Cleaning_2"/>
      <sheetName val="Op_Supply_-Safety2"/>
      <sheetName val="Op_Supply_-Other2"/>
      <sheetName val="Printing_Form2"/>
      <sheetName val="Instruc_2"/>
      <sheetName val="FG_outpu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BePosted"/>
      <sheetName val="Lookup"/>
      <sheetName val="PackAvailByWk"/>
      <sheetName val="BOBrandPacksYTD"/>
      <sheetName val="BOBrandPacksByWk"/>
      <sheetName val="BOBrandPacksByPd"/>
      <sheetName val="BOPacksByPkgType"/>
      <sheetName val="BOPacksExplainYTD"/>
      <sheetName val="BOPacksExplainByWk"/>
      <sheetName val="LoadAccyByWk"/>
      <sheetName val="LoadAccyByPd"/>
      <sheetName val="OnTimeDeliv"/>
      <sheetName val="WhsProdByWk"/>
      <sheetName val="FcstAccyByWk"/>
      <sheetName val="GoodFcstsByWk"/>
      <sheetName val="Pack Availability"/>
      <sheetName val="Pack Availability by Brand"/>
      <sheetName val="Pack Availability by Reason"/>
      <sheetName val="Loading Accuracy"/>
      <sheetName val="Loading Accuracy by DC"/>
      <sheetName val="On-Time Delivery"/>
      <sheetName val="Warehouse Productivity"/>
      <sheetName val="Forecast Accuracy "/>
      <sheetName val="Good Forecast %"/>
      <sheetName val="Select"/>
      <sheetName val="Fcsts"/>
      <sheetName val="размер коробки"/>
      <sheetName val="Pack_Availability"/>
      <sheetName val="Pack_Availability_by_Brand"/>
      <sheetName val="Pack_Availability_by_Reason"/>
      <sheetName val="Loading_Accuracy"/>
      <sheetName val="Loading_Accuracy_by_DC"/>
      <sheetName val="On-Time_Delivery"/>
      <sheetName val="Warehouse_Productivity"/>
      <sheetName val="Forecast_Accuracy_"/>
      <sheetName val="Good_Forecast_%"/>
      <sheetName val="размер_коробки"/>
      <sheetName val="validation"/>
      <sheetName val="FLT"/>
      <sheetName val="2005 EX Grodzisk by platform"/>
      <sheetName val=""/>
      <sheetName val="Backorder2002"/>
      <sheetName val="Pack_Availability1"/>
      <sheetName val="Pack_Availability_by_Brand1"/>
      <sheetName val="Pack_Availability_by_Reason1"/>
      <sheetName val="Loading_Accuracy1"/>
      <sheetName val="Loading_Accuracy_by_DC1"/>
      <sheetName val="On-Time_Delivery1"/>
      <sheetName val="Warehouse_Productivity1"/>
      <sheetName val="Forecast_Accuracy_1"/>
      <sheetName val="Good_Forecast_%1"/>
      <sheetName val="размер_коробки1"/>
      <sheetName val="2005_EX_Grodzisk_by_platform"/>
      <sheetName val="Pack_Availability2"/>
      <sheetName val="Pack_Availability_by_Brand2"/>
      <sheetName val="Pack_Availability_by_Reason2"/>
      <sheetName val="Loading_Accuracy2"/>
      <sheetName val="Loading_Accuracy_by_DC2"/>
      <sheetName val="On-Time_Delivery2"/>
      <sheetName val="Warehouse_Productivity2"/>
      <sheetName val="Forecast_Accuracy_2"/>
      <sheetName val="Good_Forecast_%2"/>
      <sheetName val="размер_коробки2"/>
      <sheetName val="2005_EX_Grodzisk_by_platform1"/>
      <sheetName val="Pack_Availability3"/>
      <sheetName val="Pack_Availability_by_Brand3"/>
      <sheetName val="Pack_Availability_by_Reason3"/>
      <sheetName val="Loading_Accuracy3"/>
      <sheetName val="Loading_Accuracy_by_DC3"/>
      <sheetName val="On-Time_Delivery3"/>
      <sheetName val="Warehouse_Productivity3"/>
      <sheetName val="Forecast_Accuracy_3"/>
      <sheetName val="Good_Forecast_%3"/>
      <sheetName val="размер_коробки3"/>
      <sheetName val="2005_EX_Grodzisk_by_platform2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h Summ"/>
      <sheetName val="2005 Flor GF"/>
      <sheetName val="2004 Brazil"/>
      <sheetName val="2005 Brazil"/>
      <sheetName val="2006 Brazil"/>
      <sheetName val="2007 Brazil"/>
      <sheetName val="2008 Brazil"/>
      <sheetName val="2009 Brazil"/>
      <sheetName val="2010 Brazil"/>
      <sheetName val="2004 UK"/>
      <sheetName val="2005 UK"/>
      <sheetName val="2006 UK"/>
      <sheetName val="2007 UK"/>
      <sheetName val="2008 UK"/>
      <sheetName val="2009 UK"/>
      <sheetName val="2010 UK"/>
      <sheetName val="brazil cashflow calc"/>
      <sheetName val="cashflow hist"/>
      <sheetName val="lookups"/>
      <sheetName val="Summary 2004"/>
      <sheetName val="rate data"/>
      <sheetName val="Add. hedge for 2007"/>
      <sheetName val="Add. hedge for aug-dec 2006 "/>
      <sheetName val="Mth_Summ"/>
      <sheetName val="2005_Flor_GF"/>
      <sheetName val="2004_Brazil"/>
      <sheetName val="2005_Brazil"/>
      <sheetName val="2006_Brazil"/>
      <sheetName val="2007_Brazil"/>
      <sheetName val="2008_Brazil"/>
      <sheetName val="2009_Brazil"/>
      <sheetName val="2010_Brazil"/>
      <sheetName val="2004_UK"/>
      <sheetName val="2005_UK"/>
      <sheetName val="2006_UK"/>
      <sheetName val="2007_UK"/>
      <sheetName val="2008_UK"/>
      <sheetName val="2009_UK"/>
      <sheetName val="2010_UK"/>
      <sheetName val="brazil_cashflow_calc"/>
      <sheetName val="cashflow_hist"/>
      <sheetName val="Summary_2004"/>
      <sheetName val="rate_data"/>
      <sheetName val="Add__hedge_for_2007"/>
      <sheetName val="Add__hedge_for_aug-dec_2006_"/>
      <sheetName val="Mth_Summ1"/>
      <sheetName val="2005_Flor_GF1"/>
      <sheetName val="2004_Brazil1"/>
      <sheetName val="2005_Brazil1"/>
      <sheetName val="2006_Brazil1"/>
      <sheetName val="2007_Brazil1"/>
      <sheetName val="2008_Brazil1"/>
      <sheetName val="2009_Brazil1"/>
      <sheetName val="2010_Brazil1"/>
      <sheetName val="2004_UK1"/>
      <sheetName val="2005_UK1"/>
      <sheetName val="2006_UK1"/>
      <sheetName val="2007_UK1"/>
      <sheetName val="2008_UK1"/>
      <sheetName val="2009_UK1"/>
      <sheetName val="2010_UK1"/>
      <sheetName val="brazil_cashflow_calc1"/>
      <sheetName val="cashflow_hist1"/>
      <sheetName val="Summary_20041"/>
      <sheetName val="rate_data1"/>
      <sheetName val="Add__hedge_for_20071"/>
      <sheetName val="Add__hedge_for_aug-dec_2006_1"/>
      <sheetName val="Mth_Summ2"/>
      <sheetName val="2005_Flor_GF2"/>
      <sheetName val="2004_Brazil2"/>
      <sheetName val="2005_Brazil2"/>
      <sheetName val="2006_Brazil2"/>
      <sheetName val="2007_Brazil2"/>
      <sheetName val="2008_Brazil2"/>
      <sheetName val="2009_Brazil2"/>
      <sheetName val="2010_Brazil2"/>
      <sheetName val="2004_UK2"/>
      <sheetName val="2005_UK2"/>
      <sheetName val="2006_UK2"/>
      <sheetName val="2007_UK2"/>
      <sheetName val="2008_UK2"/>
      <sheetName val="2009_UK2"/>
      <sheetName val="2010_UK2"/>
      <sheetName val="brazil_cashflow_calc2"/>
      <sheetName val="cashflow_hist2"/>
      <sheetName val="Summary_20042"/>
      <sheetName val="rate_data2"/>
      <sheetName val="Add__hedge_for_20072"/>
      <sheetName val="Add__hedge_for_aug-dec_2006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 sum"/>
      <sheetName val="adj sum"/>
      <sheetName val="OCF wtg"/>
      <sheetName val="LTIP"/>
      <sheetName val="Consol"/>
      <sheetName val="Detail"/>
      <sheetName val="Historical"/>
      <sheetName val="Consol with Adjustments  (2)"/>
      <sheetName val="Sheet5"/>
      <sheetName val="Readout"/>
      <sheetName val="Lookup"/>
      <sheetName val="Summary-P11"/>
      <sheetName val="Natural Gas retrieve"/>
      <sheetName val="Reconciliation"/>
      <sheetName val="S&amp;D Reclass"/>
      <sheetName val="P11 Act vs LE"/>
      <sheetName val="Other Elim"/>
      <sheetName val="Offline Total"/>
      <sheetName val="Elim by Material"/>
      <sheetName val="SC P&amp;L"/>
      <sheetName val="Sheet1"/>
      <sheetName val="P11 Cork"/>
      <sheetName val="Sheet3"/>
      <sheetName val="C '09 Elim Schedule"/>
      <sheetName val="C '09 Elim Schedule-P11"/>
      <sheetName val="Ess P11"/>
      <sheetName val="Ess AOP"/>
      <sheetName val="Volume Impact by Function"/>
      <sheetName val="Volume"/>
      <sheetName val="SLCD"/>
      <sheetName val="BExRepositorySheet"/>
      <sheetName val="Datascore"/>
      <sheetName val="basic_sum"/>
      <sheetName val="adj_sum"/>
      <sheetName val="OCF_wtg"/>
      <sheetName val="Consol_with_Adjustments__(2)"/>
      <sheetName val="Natural_Gas_retrieve"/>
      <sheetName val="S&amp;D_Reclass"/>
      <sheetName val="P11_Act_vs_LE"/>
      <sheetName val="Other_Elim"/>
      <sheetName val="Offline_Total"/>
      <sheetName val="Elim_by_Material"/>
      <sheetName val="SC_P&amp;L"/>
      <sheetName val="P11_Cork"/>
      <sheetName val="C_'09_Elim_Schedule"/>
      <sheetName val="C_'09_Elim_Schedule-P11"/>
      <sheetName val="Ess_P11"/>
      <sheetName val="Ess_AOP"/>
      <sheetName val="Volume_Impact_by_Function"/>
      <sheetName val="basic_sum1"/>
      <sheetName val="adj_sum1"/>
      <sheetName val="OCF_wtg1"/>
      <sheetName val="Consol_with_Adjustments__(2)1"/>
      <sheetName val="Natural_Gas_retrieve1"/>
      <sheetName val="S&amp;D_Reclass1"/>
      <sheetName val="P11_Act_vs_LE1"/>
      <sheetName val="Other_Elim1"/>
      <sheetName val="Offline_Total1"/>
      <sheetName val="Elim_by_Material1"/>
      <sheetName val="SC_P&amp;L1"/>
      <sheetName val="P11_Cork1"/>
      <sheetName val="C_'09_Elim_Schedule1"/>
      <sheetName val="C_'09_Elim_Schedule-P111"/>
      <sheetName val="Ess_P111"/>
      <sheetName val="Ess_AOP1"/>
      <sheetName val="Volume_Impact_by_Function1"/>
      <sheetName val="basic_sum2"/>
      <sheetName val="adj_sum2"/>
      <sheetName val="OCF_wtg2"/>
      <sheetName val="Consol_with_Adjustments__(2)2"/>
      <sheetName val="Natural_Gas_retrieve2"/>
      <sheetName val="S&amp;D_Reclass2"/>
      <sheetName val="P11_Act_vs_LE2"/>
      <sheetName val="Other_Elim2"/>
      <sheetName val="Offline_Total2"/>
      <sheetName val="Elim_by_Material2"/>
      <sheetName val="SC_P&amp;L2"/>
      <sheetName val="P11_Cork2"/>
      <sheetName val="C_'09_Elim_Schedule2"/>
      <sheetName val="C_'09_Elim_Schedule-P112"/>
      <sheetName val="Ess_P112"/>
      <sheetName val="Ess_AOP2"/>
      <sheetName val="Volume_Impact_by_Functio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</sheetNames>
    <sheetDataSet>
      <sheetData sheetId="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Summary"/>
      <sheetName val="SPT POR"/>
      <sheetName val="FFY POR"/>
      <sheetName val="FLUS CurrPd YTD"/>
      <sheetName val="FLNA Q SmtSpt"/>
      <sheetName val="FLNA Q Pltfm"/>
      <sheetName val="Q Cmts"/>
      <sheetName val="FLNA YTD SmtSpt"/>
      <sheetName val="FLNA YTD Pltfm"/>
      <sheetName val="YTD Cmts"/>
      <sheetName val="FLUS PrPd YTD"/>
      <sheetName val="FLUS PrQ YTD"/>
      <sheetName val="Plano CurrPd YTD"/>
      <sheetName val="QUS CurrPd YTD"/>
      <sheetName val="QUS PrPd YTD"/>
      <sheetName val="QUS PrQ YTD"/>
      <sheetName val="Data"/>
      <sheetName val="Trd Spd"/>
      <sheetName val="Mrch-Bbks"/>
      <sheetName val="HFL YTD"/>
      <sheetName val="QSCDN YTD"/>
      <sheetName val="FLNA PrQ YTD Spot"/>
      <sheetName val="SPT_POR"/>
      <sheetName val="FFY_POR"/>
      <sheetName val="FLUS_CurrPd_YTD"/>
      <sheetName val="FLNA_Q_SmtSpt"/>
      <sheetName val="FLNA_Q_Pltfm"/>
      <sheetName val="Q_Cmts"/>
      <sheetName val="FLNA_YTD_SmtSpt"/>
      <sheetName val="FLNA_YTD_Pltfm"/>
      <sheetName val="YTD_Cmts"/>
      <sheetName val="FLUS_PrPd_YTD"/>
      <sheetName val="FLUS_PrQ_YTD"/>
      <sheetName val="Plano_CurrPd_YTD"/>
      <sheetName val="QUS_CurrPd_YTD"/>
      <sheetName val="QUS_PrPd_YTD"/>
      <sheetName val="QUS_PrQ_YTD"/>
      <sheetName val="Trd_Spd"/>
      <sheetName val="HFL_YTD"/>
      <sheetName val="QSCDN_YTD"/>
      <sheetName val="FLNA_PrQ_YTD_Spot"/>
      <sheetName val="SPT_POR1"/>
      <sheetName val="FFY_POR1"/>
      <sheetName val="FLUS_CurrPd_YTD1"/>
      <sheetName val="FLNA_Q_SmtSpt1"/>
      <sheetName val="FLNA_Q_Pltfm1"/>
      <sheetName val="Q_Cmts1"/>
      <sheetName val="FLNA_YTD_SmtSpt1"/>
      <sheetName val="FLNA_YTD_Pltfm1"/>
      <sheetName val="YTD_Cmts1"/>
      <sheetName val="FLUS_PrPd_YTD1"/>
      <sheetName val="FLUS_PrQ_YTD1"/>
      <sheetName val="Plano_CurrPd_YTD1"/>
      <sheetName val="QUS_CurrPd_YTD1"/>
      <sheetName val="QUS_PrPd_YTD1"/>
      <sheetName val="QUS_PrQ_YTD1"/>
      <sheetName val="Trd_Spd1"/>
      <sheetName val="HFL_YTD1"/>
      <sheetName val="QSCDN_YTD1"/>
      <sheetName val="FLNA_PrQ_YTD_Spot1"/>
      <sheetName val="SPT_POR2"/>
      <sheetName val="FFY_POR2"/>
      <sheetName val="FLUS_CurrPd_YTD2"/>
      <sheetName val="FLNA_Q_SmtSpt2"/>
      <sheetName val="FLNA_Q_Pltfm2"/>
      <sheetName val="Q_Cmts2"/>
      <sheetName val="FLNA_YTD_SmtSpt2"/>
      <sheetName val="FLNA_YTD_Pltfm2"/>
      <sheetName val="YTD_Cmts2"/>
      <sheetName val="FLUS_PrPd_YTD2"/>
      <sheetName val="FLUS_PrQ_YTD2"/>
      <sheetName val="Plano_CurrPd_YTD2"/>
      <sheetName val="QUS_CurrPd_YTD2"/>
      <sheetName val="QUS_PrPd_YTD2"/>
      <sheetName val="QUS_PrQ_YTD2"/>
      <sheetName val="Trd_Spd2"/>
      <sheetName val="HFL_YTD2"/>
      <sheetName val="QSCDN_YTD2"/>
      <sheetName val="FLNA_PrQ_YTD_Spo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00"/>
      <sheetName val="**01"/>
      <sheetName val="uxxxxxx"/>
      <sheetName val="vxxxxxx"/>
      <sheetName val="wxxxxxx"/>
      <sheetName val="xxxxxxx"/>
      <sheetName val="Marketing-old"/>
      <sheetName val="Total COGS-R"/>
      <sheetName val="Vol Mths-R"/>
      <sheetName val="Voulme entry sheet-R"/>
      <sheetName val="Pack. econ. plan-R"/>
      <sheetName val="JD per case-R"/>
      <sheetName val="Charts 2002"/>
      <sheetName val="Charts 2001"/>
      <sheetName val="Cause Of Change-R"/>
      <sheetName val="local Taxes"/>
      <sheetName val="US tax calculation"/>
      <sheetName val="Scenarios"/>
      <sheetName val="Revenue"/>
      <sheetName val="Export P&amp;L"/>
      <sheetName val="P&amp;L JD's"/>
      <sheetName val="P&amp;L US$"/>
      <sheetName val="D&amp;A"/>
      <sheetName val="Marketing"/>
      <sheetName val="Materials"/>
      <sheetName val="Variable Exp."/>
      <sheetName val="Manufacturing"/>
      <sheetName val="Selling &amp; distrbution"/>
      <sheetName val="General &amp; administrative"/>
      <sheetName val="Float"/>
      <sheetName val="Concentrate"/>
      <sheetName val="Conc COGS input sheet"/>
      <sheetName val="Volume Brand "/>
      <sheetName val="Brand Mix"/>
      <sheetName val="Sheet1"/>
      <sheetName val="Bal-Sheet"/>
      <sheetName val="F. Assets"/>
      <sheetName val="OFCF"/>
      <sheetName val="OFCF1"/>
      <sheetName val="B&amp;C"/>
      <sheetName val="OAL"/>
      <sheetName val="Prepaid expenses"/>
      <sheetName val="Jan Volume"/>
      <sheetName val="Calendar"/>
      <sheetName val="CP"/>
      <sheetName val="Other notes"/>
      <sheetName val="Total_COGS-R"/>
      <sheetName val="Vol_Mths-R"/>
      <sheetName val="Voulme_entry_sheet-R"/>
      <sheetName val="Pack__econ__plan-R"/>
      <sheetName val="JD_per_case-R"/>
      <sheetName val="Charts_2002"/>
      <sheetName val="Charts_2001"/>
      <sheetName val="Cause_Of_Change-R"/>
      <sheetName val="local_Taxes"/>
      <sheetName val="US_tax_calculation"/>
      <sheetName val="Export_P&amp;L"/>
      <sheetName val="P&amp;L_JD's"/>
      <sheetName val="P&amp;L_US$"/>
      <sheetName val="Variable_Exp_"/>
      <sheetName val="Selling_&amp;_distrbution"/>
      <sheetName val="General_&amp;_administrative"/>
      <sheetName val="Conc_COGS_input_sheet"/>
      <sheetName val="Volume_Brand_"/>
      <sheetName val="Brand_Mix"/>
      <sheetName val="F__Assets"/>
      <sheetName val="Prepaid_expenses"/>
      <sheetName val="Jan_Volume"/>
      <sheetName val="Other_notes"/>
      <sheetName val="Total_COGS-R1"/>
      <sheetName val="Vol_Mths-R1"/>
      <sheetName val="Voulme_entry_sheet-R1"/>
      <sheetName val="Pack__econ__plan-R1"/>
      <sheetName val="JD_per_case-R1"/>
      <sheetName val="Charts_20021"/>
      <sheetName val="Charts_20011"/>
      <sheetName val="Cause_Of_Change-R1"/>
      <sheetName val="local_Taxes1"/>
      <sheetName val="US_tax_calculation1"/>
      <sheetName val="Export_P&amp;L1"/>
      <sheetName val="P&amp;L_JD's1"/>
      <sheetName val="P&amp;L_US$1"/>
      <sheetName val="Variable_Exp_1"/>
      <sheetName val="Selling_&amp;_distrbution1"/>
      <sheetName val="General_&amp;_administrative1"/>
      <sheetName val="Conc_COGS_input_sheet1"/>
      <sheetName val="Volume_Brand_1"/>
      <sheetName val="Brand_Mix1"/>
      <sheetName val="F__Assets1"/>
      <sheetName val="Prepaid_expenses1"/>
      <sheetName val="Jan_Volume1"/>
      <sheetName val="Other_notes1"/>
      <sheetName val="Total_COGS-R2"/>
      <sheetName val="Vol_Mths-R2"/>
      <sheetName val="Voulme_entry_sheet-R2"/>
      <sheetName val="Pack__econ__plan-R2"/>
      <sheetName val="JD_per_case-R2"/>
      <sheetName val="Charts_20022"/>
      <sheetName val="Charts_20012"/>
      <sheetName val="Cause_Of_Change-R2"/>
      <sheetName val="local_Taxes2"/>
      <sheetName val="US_tax_calculation2"/>
      <sheetName val="Export_P&amp;L2"/>
      <sheetName val="P&amp;L_JD's2"/>
      <sheetName val="P&amp;L_US$2"/>
      <sheetName val="Variable_Exp_2"/>
      <sheetName val="Selling_&amp;_distrbution2"/>
      <sheetName val="General_&amp;_administrative2"/>
      <sheetName val="Conc_COGS_input_sheet2"/>
      <sheetName val="Volume_Brand_2"/>
      <sheetName val="Brand_Mix2"/>
      <sheetName val="F__Assets2"/>
      <sheetName val="Prepaid_expenses2"/>
      <sheetName val="Jan_Volume2"/>
      <sheetName val="Other_note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mand Forecast"/>
      <sheetName val="Seasonality"/>
      <sheetName val="Monthly Forecast"/>
      <sheetName val="Line Data"/>
      <sheetName val="Package Summary"/>
      <sheetName val="PET"/>
      <sheetName val="CANS"/>
      <sheetName val="GLASS"/>
      <sheetName val="OTHER"/>
      <sheetName val="Line Utilizations"/>
      <sheetName val="CSD Volume Total"/>
      <sheetName val="Translation"/>
      <sheetName val="Module1"/>
      <sheetName val="Module2"/>
      <sheetName val="Module3"/>
      <sheetName val="Assumption"/>
      <sheetName val="Mix"/>
      <sheetName val="Demand_Forecast"/>
      <sheetName val="Monthly_Forecast"/>
      <sheetName val="Line_Data"/>
      <sheetName val="Package_Summary"/>
      <sheetName val="Line_Utilizations"/>
      <sheetName val="CSD_Volume_Total"/>
      <sheetName val="Demand_Forecast1"/>
      <sheetName val="Monthly_Forecast1"/>
      <sheetName val="Line_Data1"/>
      <sheetName val="Package_Summary1"/>
      <sheetName val="Line_Utilizations1"/>
      <sheetName val="CSD_Volume_Total1"/>
      <sheetName val="Demand_Forecast2"/>
      <sheetName val="Monthly_Forecast2"/>
      <sheetName val="Line_Data2"/>
      <sheetName val="Package_Summary2"/>
      <sheetName val="Line_Utilizations2"/>
      <sheetName val="CSD_Volume_Total2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 Target"/>
      <sheetName val="Puerto Rico"/>
      <sheetName val="P&amp;L MONTH $"/>
      <sheetName val="*****01"/>
      <sheetName val="Panamco Q1 Bench"/>
      <sheetName val="Charts P&amp;L"/>
      <sheetName val="Charts OFCF"/>
      <sheetName val="Cflow"/>
      <sheetName val="COC with Forex JV"/>
      <sheetName val="COC NO Forex JV "/>
      <sheetName val="Percase"/>
      <sheetName val="%"/>
      <sheetName val="5yrproj"/>
      <sheetName val="5yrproj percase"/>
      <sheetName val="5yrproj %"/>
      <sheetName val="Orig_Target"/>
      <sheetName val="Puerto_Rico"/>
      <sheetName val="P&amp;L_MONTH_$"/>
      <sheetName val="Panamco_Q1_Bench"/>
      <sheetName val="Charts_P&amp;L"/>
      <sheetName val="Charts_OFCF"/>
      <sheetName val="COC_with_Forex_JV"/>
      <sheetName val="COC_NO_Forex_JV_"/>
      <sheetName val="5yrproj_percase"/>
      <sheetName val="5yrproj_%"/>
      <sheetName val="Orig_Target1"/>
      <sheetName val="Puerto_Rico1"/>
      <sheetName val="P&amp;L_MONTH_$1"/>
      <sheetName val="Panamco_Q1_Bench1"/>
      <sheetName val="Charts_P&amp;L1"/>
      <sheetName val="Charts_OFCF1"/>
      <sheetName val="COC_with_Forex_JV1"/>
      <sheetName val="COC_NO_Forex_JV_1"/>
      <sheetName val="5yrproj_percase1"/>
      <sheetName val="5yrproj_%1"/>
      <sheetName val="Orig_Target2"/>
      <sheetName val="Puerto_Rico2"/>
      <sheetName val="P&amp;L_MONTH_$2"/>
      <sheetName val="Panamco_Q1_Bench2"/>
      <sheetName val="Charts_P&amp;L2"/>
      <sheetName val="Charts_OFCF2"/>
      <sheetName val="COC_with_Forex_JV2"/>
      <sheetName val="COC_NO_Forex_JV_2"/>
      <sheetName val="5yrproj_percase2"/>
      <sheetName val="5yrproj_%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_Parameters"/>
      <sheetName val="2_FOREX Rates"/>
      <sheetName val="3_PL_INPUT"/>
      <sheetName val="4_PL_Link"/>
      <sheetName val="5_BS_Input"/>
      <sheetName val="6_BS_Link"/>
      <sheetName val="7_PL_INPUT (STRATPLAN1)"/>
      <sheetName val="9_PL_Link (STRATPLAN1)"/>
      <sheetName val="11_PL_INPUT (STRATPLAN2)"/>
      <sheetName val="13_PL_Link (STRATPLAN2)"/>
      <sheetName val="15_PL_INPUT (STRATPLAN3)"/>
      <sheetName val="17_PL_Link (STRATPLAN3)"/>
      <sheetName val="19_P&amp;L - LC"/>
      <sheetName val="20_P&amp;L - USD"/>
      <sheetName val="21_BS - LC"/>
      <sheetName val="22_BS - USD"/>
      <sheetName val="23_OCF - LC"/>
      <sheetName val="24_OCF - USD"/>
      <sheetName val="25_Brand - LC"/>
      <sheetName val="26_Brand - USD"/>
      <sheetName val="27_Kilo"/>
      <sheetName val="28_PL_VALIDATION"/>
      <sheetName val="29_BS_Validation"/>
      <sheetName val="30_Targets"/>
      <sheetName val=""/>
      <sheetName val="INPUT"/>
      <sheetName val="Cart"/>
      <sheetName val="Film"/>
      <sheetName val="Mat"/>
      <sheetName val="Oil"/>
      <sheetName val="OPP"/>
      <sheetName val="Paper Box"/>
      <sheetName val="Specific Seas"/>
      <sheetName val="Misc"/>
      <sheetName val="Orig Target"/>
      <sheetName val="2_FOREX_Rates"/>
      <sheetName val="7_PL_INPUT_(STRATPLAN1)"/>
      <sheetName val="9_PL_Link_(STRATPLAN1)"/>
      <sheetName val="11_PL_INPUT_(STRATPLAN2)"/>
      <sheetName val="13_PL_Link_(STRATPLAN2)"/>
      <sheetName val="15_PL_INPUT_(STRATPLAN3)"/>
      <sheetName val="17_PL_Link_(STRATPLAN3)"/>
      <sheetName val="19_P&amp;L_-_LC"/>
      <sheetName val="20_P&amp;L_-_USD"/>
      <sheetName val="21_BS_-_LC"/>
      <sheetName val="22_BS_-_USD"/>
      <sheetName val="23_OCF_-_LC"/>
      <sheetName val="24_OCF_-_USD"/>
      <sheetName val="25_Brand_-_LC"/>
      <sheetName val="26_Brand_-_USD"/>
      <sheetName val="Paper_Box"/>
      <sheetName val="Specific_Seas"/>
      <sheetName val="Orig_Target"/>
      <sheetName val="2_FOREX_Rates1"/>
      <sheetName val="7_PL_INPUT_(STRATPLAN1)1"/>
      <sheetName val="9_PL_Link_(STRATPLAN1)1"/>
      <sheetName val="11_PL_INPUT_(STRATPLAN2)1"/>
      <sheetName val="13_PL_Link_(STRATPLAN2)1"/>
      <sheetName val="15_PL_INPUT_(STRATPLAN3)1"/>
      <sheetName val="17_PL_Link_(STRATPLAN3)1"/>
      <sheetName val="19_P&amp;L_-_LC1"/>
      <sheetName val="20_P&amp;L_-_USD1"/>
      <sheetName val="21_BS_-_LC1"/>
      <sheetName val="22_BS_-_USD1"/>
      <sheetName val="23_OCF_-_LC1"/>
      <sheetName val="24_OCF_-_USD1"/>
      <sheetName val="25_Brand_-_LC1"/>
      <sheetName val="26_Brand_-_USD1"/>
      <sheetName val="Paper_Box1"/>
      <sheetName val="Specific_Seas1"/>
      <sheetName val="Orig_Target1"/>
      <sheetName val="2_FOREX_Rates2"/>
      <sheetName val="7_PL_INPUT_(STRATPLAN1)2"/>
      <sheetName val="9_PL_Link_(STRATPLAN1)2"/>
      <sheetName val="11_PL_INPUT_(STRATPLAN2)2"/>
      <sheetName val="13_PL_Link_(STRATPLAN2)2"/>
      <sheetName val="15_PL_INPUT_(STRATPLAN3)2"/>
      <sheetName val="17_PL_Link_(STRATPLAN3)2"/>
      <sheetName val="19_P&amp;L_-_LC2"/>
      <sheetName val="20_P&amp;L_-_USD2"/>
      <sheetName val="21_BS_-_LC2"/>
      <sheetName val="22_BS_-_USD2"/>
      <sheetName val="23_OCF_-_LC2"/>
      <sheetName val="24_OCF_-_USD2"/>
      <sheetName val="25_Brand_-_LC2"/>
      <sheetName val="26_Brand_-_USD2"/>
      <sheetName val="Paper_Box2"/>
      <sheetName val="Specific_Seas2"/>
      <sheetName val="Orig_Targ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 Actual YTD"/>
      <sheetName val="Variables"/>
      <sheetName val="Tables"/>
      <sheetName val="Control Panel"/>
      <sheetName val="Data Pull"/>
      <sheetName val="1_Parameters"/>
      <sheetName val="32 BK"/>
      <sheetName val="12oz Wal dr pep"/>
      <sheetName val="Customize Your Invoice"/>
      <sheetName val="Comparable companies"/>
      <sheetName val="Comp Trans FL"/>
      <sheetName val="PP dump"/>
      <sheetName val="Checks"/>
      <sheetName val="Pull CY KPI's"/>
      <sheetName val="ref"/>
      <sheetName val="txt"/>
      <sheetName val="CoA"/>
      <sheetName val="Lookup"/>
      <sheetName val="LoadAccyByWk"/>
      <sheetName val="PackAvailByWk"/>
      <sheetName val="Full Year"/>
      <sheetName val="codes"/>
      <sheetName val="HFL YTD"/>
      <sheetName val="Input"/>
      <sheetName val="FLNA PrQ YTD Spot"/>
      <sheetName val="QSCDN YTD"/>
      <sheetName val="COMICRO ROM"/>
      <sheetName val="Lookups master"/>
      <sheetName val="HP_Actual_YTD"/>
      <sheetName val="Control_Panel"/>
      <sheetName val="Data_Pull"/>
      <sheetName val="32_BK"/>
      <sheetName val="12oz_Wal_dr_pep"/>
      <sheetName val="Customize_Your_Invoice"/>
      <sheetName val="Comparable_companies"/>
      <sheetName val="Comp_Trans_FL"/>
      <sheetName val="PP_dump"/>
      <sheetName val="Pull_CY_KPI's"/>
      <sheetName val="Full_Year"/>
      <sheetName val="HP_Actual_YTD1"/>
      <sheetName val="Control_Panel1"/>
      <sheetName val="Data_Pull1"/>
      <sheetName val="32_BK1"/>
      <sheetName val="12oz_Wal_dr_pep1"/>
      <sheetName val="Customize_Your_Invoice1"/>
      <sheetName val="Comparable_companies1"/>
      <sheetName val="Comp_Trans_FL1"/>
      <sheetName val="PP_dump1"/>
      <sheetName val="Pull_CY_KPI's1"/>
      <sheetName val="Full_Year1"/>
      <sheetName val="HFL_YTD"/>
      <sheetName val="FLNA_PrQ_YTD_Spot"/>
      <sheetName val="QSCDN_YTD"/>
      <sheetName val="COMICRO_ROM"/>
      <sheetName val="Lookups_master"/>
      <sheetName val="HP_Actual_YTD2"/>
      <sheetName val="Control_Panel2"/>
      <sheetName val="Data_Pull2"/>
      <sheetName val="32_BK2"/>
      <sheetName val="12oz_Wal_dr_pep2"/>
      <sheetName val="Customize_Your_Invoice2"/>
      <sheetName val="Comparable_companies2"/>
      <sheetName val="Comp_Trans_FL2"/>
      <sheetName val="PP_dump2"/>
      <sheetName val="Pull_CY_KPI's2"/>
      <sheetName val="Full_Year2"/>
      <sheetName val="HFL_YTD1"/>
      <sheetName val="FLNA_PrQ_YTD_Spot1"/>
      <sheetName val="QSCDN_YTD1"/>
      <sheetName val="COMICRO_ROM1"/>
      <sheetName val="Lookups_master1"/>
      <sheetName val="HP_Actual_YTD3"/>
      <sheetName val="Control_Panel3"/>
      <sheetName val="Data_Pull3"/>
      <sheetName val="32_BK3"/>
      <sheetName val="12oz_Wal_dr_pep3"/>
      <sheetName val="Customize_Your_Invoice3"/>
      <sheetName val="Comparable_companies3"/>
      <sheetName val="Comp_Trans_FL3"/>
      <sheetName val="PP_dump3"/>
      <sheetName val="Pull_CY_KPI's3"/>
      <sheetName val="Full_Year3"/>
      <sheetName val="HFL_YTD2"/>
      <sheetName val="FLNA_PrQ_YTD_Spot2"/>
      <sheetName val="QSCDN_YTD2"/>
      <sheetName val="COMICRO_ROM2"/>
      <sheetName val="Lookups_master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2_Fcst"/>
      <sheetName val="Period Summary_No Savings"/>
      <sheetName val="Period Summary_Savings "/>
      <sheetName val="Fcst_Detail_No Savings"/>
      <sheetName val="Fcst_Detail_ Savings "/>
      <sheetName val="BS"/>
      <sheetName val="DDCTNS"/>
      <sheetName val="A&amp;M"/>
      <sheetName val="Other Income"/>
      <sheetName val="Cost Saving"/>
      <sheetName val="Links"/>
      <sheetName val="BRAND CHANGE SUMMARY"/>
      <sheetName val="FullYearFCST"/>
      <sheetName val="2000_Plan Base"/>
      <sheetName val="FY FCST Vs AOP (Excl)"/>
      <sheetName val="FY FCST Vs AOP (Incl)"/>
      <sheetName val="FY  FCST vs YAGO (Excl)"/>
      <sheetName val="FY  FCST vs YAGO (Incl)"/>
      <sheetName val="FY  FCST vs P2 Fcst"/>
      <sheetName val="BOY FCST vs P2 Fcst"/>
      <sheetName val="VS Pln Vs YAGO"/>
      <sheetName val="Sensitivity_1"/>
      <sheetName val="Sensitivity_2"/>
      <sheetName val="COC"/>
      <sheetName val="COC Q3 Vs Q2"/>
      <sheetName val="COC Q4 Vs Q3"/>
      <sheetName val="Pres Data"/>
      <sheetName val="Gross sales Trend Q1&amp;Q2"/>
      <sheetName val="Sheet2"/>
      <sheetName val="Gross sales trend Q3&amp;Q4"/>
      <sheetName val="NOPBT Trend Q1&amp;Q2 "/>
      <sheetName val="NOPBT Trend Q3&amp;Q4"/>
      <sheetName val="Gross sales Trend by Qrtr"/>
      <sheetName val="NOPBT Trend by Qrtr"/>
      <sheetName val="P5 COC"/>
      <sheetName val="Prev P5 Inc Stmnt"/>
      <sheetName val="P5 Inc Stmnt"/>
      <sheetName val="Cause of Change"/>
      <sheetName val="COC_YAGO"/>
      <sheetName val="Discount COC"/>
      <sheetName val="Sheet6"/>
      <sheetName val="Sheet7"/>
      <sheetName val="Sheet8"/>
      <sheetName val="1999_Detail"/>
      <sheetName val="1999_Base"/>
      <sheetName val="Plan_Detail"/>
      <sheetName val="Sheet3"/>
      <sheetName val="1_Parameters"/>
      <sheetName val="Period_Summary_No_Savings"/>
      <sheetName val="Period_Summary_Savings_"/>
      <sheetName val="Fcst_Detail_No_Savings"/>
      <sheetName val="Fcst_Detail__Savings_"/>
      <sheetName val="Other_Income"/>
      <sheetName val="Cost_Saving"/>
      <sheetName val="BRAND_CHANGE_SUMMARY"/>
      <sheetName val="2000_Plan_Base"/>
      <sheetName val="FY_FCST_Vs_AOP_(Excl)"/>
      <sheetName val="FY_FCST_Vs_AOP_(Incl)"/>
      <sheetName val="FY__FCST_vs_YAGO_(Excl)"/>
      <sheetName val="FY__FCST_vs_YAGO_(Incl)"/>
      <sheetName val="FY__FCST_vs_P2_Fcst"/>
      <sheetName val="BOY_FCST_vs_P2_Fcst"/>
      <sheetName val="VS_Pln_Vs_YAGO"/>
      <sheetName val="COC_Q3_Vs_Q2"/>
      <sheetName val="COC_Q4_Vs_Q3"/>
      <sheetName val="Pres_Data"/>
      <sheetName val="Gross_sales_Trend_Q1&amp;Q2"/>
      <sheetName val="Gross_sales_trend_Q3&amp;Q4"/>
      <sheetName val="NOPBT_Trend_Q1&amp;Q2_"/>
      <sheetName val="NOPBT_Trend_Q3&amp;Q4"/>
      <sheetName val="Gross_sales_Trend_by_Qrtr"/>
      <sheetName val="NOPBT_Trend_by_Qrtr"/>
      <sheetName val="P5_COC"/>
      <sheetName val="Prev_P5_Inc_Stmnt"/>
      <sheetName val="P5_Inc_Stmnt"/>
      <sheetName val="Cause_of_Change"/>
      <sheetName val="Discount_COC"/>
      <sheetName val="Period_Summary_No_Savings1"/>
      <sheetName val="Period_Summary_Savings_1"/>
      <sheetName val="Fcst_Detail_No_Savings1"/>
      <sheetName val="Fcst_Detail__Savings_1"/>
      <sheetName val="Other_Income1"/>
      <sheetName val="Cost_Saving1"/>
      <sheetName val="BRAND_CHANGE_SUMMARY1"/>
      <sheetName val="2000_Plan_Base1"/>
      <sheetName val="FY_FCST_Vs_AOP_(Excl)1"/>
      <sheetName val="FY_FCST_Vs_AOP_(Incl)1"/>
      <sheetName val="FY__FCST_vs_YAGO_(Excl)1"/>
      <sheetName val="FY__FCST_vs_YAGO_(Incl)1"/>
      <sheetName val="FY__FCST_vs_P2_Fcst1"/>
      <sheetName val="BOY_FCST_vs_P2_Fcst1"/>
      <sheetName val="VS_Pln_Vs_YAGO1"/>
      <sheetName val="COC_Q3_Vs_Q21"/>
      <sheetName val="COC_Q4_Vs_Q31"/>
      <sheetName val="Pres_Data1"/>
      <sheetName val="Gross_sales_Trend_Q1&amp;Q21"/>
      <sheetName val="Gross_sales_trend_Q3&amp;Q41"/>
      <sheetName val="NOPBT_Trend_Q1&amp;Q2_1"/>
      <sheetName val="NOPBT_Trend_Q3&amp;Q41"/>
      <sheetName val="Gross_sales_Trend_by_Qrtr1"/>
      <sheetName val="NOPBT_Trend_by_Qrtr1"/>
      <sheetName val="P5_COC1"/>
      <sheetName val="Prev_P5_Inc_Stmnt1"/>
      <sheetName val="P5_Inc_Stmnt1"/>
      <sheetName val="Cause_of_Change1"/>
      <sheetName val="Discount_COC1"/>
      <sheetName val="Period_Summary_No_Savings2"/>
      <sheetName val="Period_Summary_Savings_2"/>
      <sheetName val="Fcst_Detail_No_Savings2"/>
      <sheetName val="Fcst_Detail__Savings_2"/>
      <sheetName val="Other_Income2"/>
      <sheetName val="Cost_Saving2"/>
      <sheetName val="BRAND_CHANGE_SUMMARY2"/>
      <sheetName val="2000_Plan_Base2"/>
      <sheetName val="FY_FCST_Vs_AOP_(Excl)2"/>
      <sheetName val="FY_FCST_Vs_AOP_(Incl)2"/>
      <sheetName val="FY__FCST_vs_YAGO_(Excl)2"/>
      <sheetName val="FY__FCST_vs_YAGO_(Incl)2"/>
      <sheetName val="FY__FCST_vs_P2_Fcst2"/>
      <sheetName val="BOY_FCST_vs_P2_Fcst2"/>
      <sheetName val="VS_Pln_Vs_YAGO2"/>
      <sheetName val="COC_Q3_Vs_Q22"/>
      <sheetName val="COC_Q4_Vs_Q32"/>
      <sheetName val="Pres_Data2"/>
      <sheetName val="Gross_sales_Trend_Q1&amp;Q22"/>
      <sheetName val="Gross_sales_trend_Q3&amp;Q42"/>
      <sheetName val="NOPBT_Trend_Q1&amp;Q2_2"/>
      <sheetName val="NOPBT_Trend_Q3&amp;Q42"/>
      <sheetName val="Gross_sales_Trend_by_Qrtr2"/>
      <sheetName val="NOPBT_Trend_by_Qrtr2"/>
      <sheetName val="P5_COC2"/>
      <sheetName val="Prev_P5_Inc_Stmnt2"/>
      <sheetName val="P5_Inc_Stmnt2"/>
      <sheetName val="Cause_of_Change2"/>
      <sheetName val="Discount_COC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s"/>
      <sheetName val="Countries"/>
      <sheetName val="Salty Countries"/>
      <sheetName val="China CSD"/>
      <sheetName val="Database"/>
      <sheetName val="Per Capita Data"/>
      <sheetName val="PI Per Caps"/>
      <sheetName val="NOPBT PI vs FLNA"/>
      <sheetName val="FLNA vs PI Salty"/>
      <sheetName val="FLNA vs PI Salty (2)"/>
      <sheetName val="PI Snack_Foods"/>
      <sheetName val="Quaker"/>
      <sheetName val="FLNA"/>
      <sheetName val="Sheet2"/>
      <sheetName val="Snacks Per Caps"/>
      <sheetName val="CSD Opp"/>
      <sheetName val="Net Rev Ops"/>
      <sheetName val="Emerging"/>
      <sheetName val="Gat_Trop"/>
      <sheetName val="SP DB Paste"/>
      <sheetName val="Sheet1"/>
      <sheetName val="Salty_Countries"/>
      <sheetName val="China_CSD"/>
      <sheetName val="Per_Capita_Data"/>
      <sheetName val="PI_Per_Caps"/>
      <sheetName val="NOPBT_PI_vs_FLNA"/>
      <sheetName val="FLNA_vs_PI_Salty"/>
      <sheetName val="FLNA_vs_PI_Salty_(2)"/>
      <sheetName val="PI_Snack_Foods"/>
      <sheetName val="Snacks_Per_Caps"/>
      <sheetName val="CSD_Opp"/>
      <sheetName val="Net_Rev_Ops"/>
      <sheetName val="SP_DB_Paste"/>
      <sheetName val="Salty_Countries1"/>
      <sheetName val="China_CSD1"/>
      <sheetName val="Per_Capita_Data1"/>
      <sheetName val="PI_Per_Caps1"/>
      <sheetName val="NOPBT_PI_vs_FLNA1"/>
      <sheetName val="FLNA_vs_PI_Salty1"/>
      <sheetName val="FLNA_vs_PI_Salty_(2)1"/>
      <sheetName val="PI_Snack_Foods1"/>
      <sheetName val="Snacks_Per_Caps1"/>
      <sheetName val="CSD_Opp1"/>
      <sheetName val="Net_Rev_Ops1"/>
      <sheetName val="SP_DB_Paste1"/>
      <sheetName val="Salty_Countries2"/>
      <sheetName val="China_CSD2"/>
      <sheetName val="Per_Capita_Data2"/>
      <sheetName val="PI_Per_Caps2"/>
      <sheetName val="NOPBT_PI_vs_FLNA2"/>
      <sheetName val="FLNA_vs_PI_Salty2"/>
      <sheetName val="FLNA_vs_PI_Salty_(2)2"/>
      <sheetName val="PI_Snack_Foods2"/>
      <sheetName val="Snacks_Per_Caps2"/>
      <sheetName val="CSD_Opp2"/>
      <sheetName val="Net_Rev_Ops2"/>
      <sheetName val="SP_DB_Past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 IS"/>
      <sheetName val="Q4 COC"/>
      <sheetName val="Q4 Cmts"/>
      <sheetName val="Q4 Pltfm"/>
      <sheetName val="Q4 SmtSpt"/>
      <sheetName val="YTD IS"/>
      <sheetName val="YTD COC"/>
      <sheetName val="YTD Cmts"/>
      <sheetName val="YTD Pltfm"/>
      <sheetName val="YTD SmtSpt"/>
      <sheetName val="Commod"/>
      <sheetName val="Margin"/>
      <sheetName val="Q4_IS"/>
      <sheetName val="Q4_COC"/>
      <sheetName val="Q4_Cmts"/>
      <sheetName val="Q4_Pltfm"/>
      <sheetName val="Q4_SmtSpt"/>
      <sheetName val="YTD_IS"/>
      <sheetName val="YTD_COC"/>
      <sheetName val="YTD_Cmts"/>
      <sheetName val="YTD_Pltfm"/>
      <sheetName val="YTD_SmtSpt"/>
      <sheetName val="Q4_IS1"/>
      <sheetName val="Q4_COC1"/>
      <sheetName val="Q4_Cmts1"/>
      <sheetName val="Q4_Pltfm1"/>
      <sheetName val="Q4_SmtSpt1"/>
      <sheetName val="YTD_IS1"/>
      <sheetName val="YTD_COC1"/>
      <sheetName val="YTD_Cmts1"/>
      <sheetName val="YTD_Pltfm1"/>
      <sheetName val="YTD_SmtSpt1"/>
      <sheetName val="Q4_IS2"/>
      <sheetName val="Q4_COC2"/>
      <sheetName val="Q4_Cmts2"/>
      <sheetName val="Q4_Pltfm2"/>
      <sheetName val="Q4_SmtSpt2"/>
      <sheetName val="YTD_IS2"/>
      <sheetName val="YTD_COC2"/>
      <sheetName val="YTD_Cmts2"/>
      <sheetName val="YTD_Pltfm2"/>
      <sheetName val="YTD_SmtSp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 IS"/>
      <sheetName val="Q4 COC"/>
      <sheetName val="Q4 Cmts"/>
      <sheetName val="Q4 Pltfm"/>
      <sheetName val="Q4 SmtSpt"/>
      <sheetName val="YTD IS"/>
      <sheetName val="YTD COC"/>
      <sheetName val="YTD Cmts"/>
      <sheetName val="YTD Pltfm"/>
      <sheetName val="YTD SmtSpt"/>
      <sheetName val="Commod"/>
      <sheetName val="Margin"/>
      <sheetName val="Q4_IS"/>
      <sheetName val="Q4_COC"/>
      <sheetName val="Q4_Cmts"/>
      <sheetName val="Q4_Pltfm"/>
      <sheetName val="Q4_SmtSpt"/>
      <sheetName val="YTD_IS"/>
      <sheetName val="YTD_COC"/>
      <sheetName val="YTD_Cmts"/>
      <sheetName val="YTD_Pltfm"/>
      <sheetName val="YTD_SmtSpt"/>
      <sheetName val="Q4_IS1"/>
      <sheetName val="Q4_COC1"/>
      <sheetName val="Q4_Cmts1"/>
      <sheetName val="Q4_Pltfm1"/>
      <sheetName val="Q4_SmtSpt1"/>
      <sheetName val="YTD_IS1"/>
      <sheetName val="YTD_COC1"/>
      <sheetName val="YTD_Cmts1"/>
      <sheetName val="YTD_Pltfm1"/>
      <sheetName val="YTD_SmtSpt1"/>
      <sheetName val="Q4_IS2"/>
      <sheetName val="Q4_COC2"/>
      <sheetName val="Q4_Cmts2"/>
      <sheetName val="Q4_Pltfm2"/>
      <sheetName val="Q4_SmtSpt2"/>
      <sheetName val="YTD_IS2"/>
      <sheetName val="YTD_COC2"/>
      <sheetName val="YTD_Cmts2"/>
      <sheetName val="YTD_Pltfm2"/>
      <sheetName val="YTD_SmtSp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Cover"/>
      <sheetName val="Exec Sum"/>
      <sheetName val="Sum Oper Results"/>
      <sheetName val="Index Vol Chart"/>
      <sheetName val="3M RR Trend"/>
      <sheetName val="Chart3MM - Part 1"/>
      <sheetName val="Chart3MM - Part 2"/>
      <sheetName val="Chart3MM - Part 3"/>
      <sheetName val="Chart1MM - Part 1"/>
      <sheetName val="Chart1MM - Part 2"/>
      <sheetName val="Chart1MM - Part 3"/>
      <sheetName val="NOPBT"/>
      <sheetName val="SOPRESA JV"/>
      <sheetName val="OFCF"/>
      <sheetName val="Quarter"/>
      <sheetName val="B"/>
      <sheetName val="Capex"/>
      <sheetName val="Orig Target"/>
      <sheetName val="BS"/>
      <sheetName val="Control"/>
      <sheetName val="Variable"/>
      <sheetName val="OPS"/>
      <sheetName val="1_Parameters"/>
      <sheetName val="Exec_Sum"/>
      <sheetName val="Sum_Oper_Results"/>
      <sheetName val="Index_Vol_Chart"/>
      <sheetName val="3M_RR_Trend"/>
      <sheetName val="Chart3MM_-_Part_1"/>
      <sheetName val="Chart3MM_-_Part_2"/>
      <sheetName val="Chart3MM_-_Part_3"/>
      <sheetName val="Chart1MM_-_Part_1"/>
      <sheetName val="Chart1MM_-_Part_2"/>
      <sheetName val="Chart1MM_-_Part_3"/>
      <sheetName val="SOPRESA_JV"/>
      <sheetName val="Orig_Target"/>
      <sheetName val="Exec_Sum1"/>
      <sheetName val="Sum_Oper_Results1"/>
      <sheetName val="Index_Vol_Chart1"/>
      <sheetName val="3M_RR_Trend1"/>
      <sheetName val="Chart3MM_-_Part_11"/>
      <sheetName val="Chart3MM_-_Part_21"/>
      <sheetName val="Chart3MM_-_Part_31"/>
      <sheetName val="Chart1MM_-_Part_11"/>
      <sheetName val="Chart1MM_-_Part_21"/>
      <sheetName val="Chart1MM_-_Part_31"/>
      <sheetName val="SOPRESA_JV1"/>
      <sheetName val="Orig_Target1"/>
      <sheetName val="Exec_Sum2"/>
      <sheetName val="Sum_Oper_Results2"/>
      <sheetName val="Index_Vol_Chart2"/>
      <sheetName val="3M_RR_Trend2"/>
      <sheetName val="Chart3MM_-_Part_12"/>
      <sheetName val="Chart3MM_-_Part_22"/>
      <sheetName val="Chart3MM_-_Part_32"/>
      <sheetName val="Chart1MM_-_Part_12"/>
      <sheetName val="Chart1MM_-_Part_22"/>
      <sheetName val="Chart1MM_-_Part_32"/>
      <sheetName val="SOPRESA_JV2"/>
      <sheetName val="Orig_Targ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9 YE Business Review"/>
      <sheetName val="OFCF Chart"/>
      <sheetName val="Actual"/>
      <sheetName val="AOP"/>
      <sheetName val="Yago"/>
      <sheetName val="P&amp;L Chart II"/>
      <sheetName val="PERvsAOP"/>
      <sheetName val="PCI EPU &amp; LOB PER"/>
      <sheetName val="PCI EPU &amp; LOB YTD"/>
      <sheetName val="PERvsYago"/>
      <sheetName val="COC"/>
      <sheetName val="P_L Chart II"/>
      <sheetName val="PCI EPU _ LOB PER"/>
      <sheetName val="PCI EPU _ LOB YTD"/>
      <sheetName val="Cover"/>
      <sheetName val="1999_YE_Business_Review"/>
      <sheetName val="OFCF_Chart"/>
      <sheetName val="P&amp;L_Chart_II"/>
      <sheetName val="PCI_EPU_&amp;_LOB_PER"/>
      <sheetName val="PCI_EPU_&amp;_LOB_YTD"/>
      <sheetName val="P_L_Chart_II"/>
      <sheetName val="PCI_EPU___LOB_PER"/>
      <sheetName val="PCI_EPU___LOB_YTD"/>
      <sheetName val="Cost Chart"/>
      <sheetName val="IS-avg Ene00-Dic00"/>
      <sheetName val="SOPRESA JV"/>
      <sheetName val="SQLSheet"/>
      <sheetName val="proplasa"/>
      <sheetName val="ONE CHART 2013 (2)"/>
      <sheetName val="Hoja1"/>
      <sheetName val="input data"/>
      <sheetName val="Ref"/>
      <sheetName val="ByAcct"/>
      <sheetName val="ByMth"/>
      <sheetName val="1999_YE_Business_Review1"/>
      <sheetName val="OFCF_Chart1"/>
      <sheetName val="P&amp;L_Chart_II1"/>
      <sheetName val="PCI_EPU_&amp;_LOB_PER1"/>
      <sheetName val="PCI_EPU_&amp;_LOB_YTD1"/>
      <sheetName val="P_L_Chart_II1"/>
      <sheetName val="PCI_EPU___LOB_PER1"/>
      <sheetName val="PCI_EPU___LOB_YTD1"/>
      <sheetName val="Cost_Chart"/>
      <sheetName val="IS-avg_Ene00-Dic00"/>
      <sheetName val="SOPRESA_JV"/>
      <sheetName val="ONE_CHART_2013_(2)"/>
      <sheetName val="input_data"/>
      <sheetName val="1999_YE_Business_Review2"/>
      <sheetName val="OFCF_Chart2"/>
      <sheetName val="P&amp;L_Chart_II2"/>
      <sheetName val="PCI_EPU_&amp;_LOB_PER2"/>
      <sheetName val="PCI_EPU_&amp;_LOB_YTD2"/>
      <sheetName val="P_L_Chart_II2"/>
      <sheetName val="PCI_EPU___LOB_PER2"/>
      <sheetName val="PCI_EPU___LOB_YTD2"/>
      <sheetName val="Cost_Chart1"/>
      <sheetName val="IS-avg_Ene00-Dic001"/>
      <sheetName val="SOPRESA_JV1"/>
      <sheetName val="ONE_CHART_2013_(2)1"/>
      <sheetName val="input_data1"/>
      <sheetName val="1999_YE_Business_Review3"/>
      <sheetName val="OFCF_Chart3"/>
      <sheetName val="P&amp;L_Chart_II3"/>
      <sheetName val="PCI_EPU_&amp;_LOB_PER3"/>
      <sheetName val="PCI_EPU_&amp;_LOB_YTD3"/>
      <sheetName val="P_L_Chart_II3"/>
      <sheetName val="PCI_EPU___LOB_PER3"/>
      <sheetName val="PCI_EPU___LOB_YTD3"/>
      <sheetName val="Cost_Chart2"/>
      <sheetName val="IS-avg_Ene00-Dic002"/>
      <sheetName val="SOPRESA_JV2"/>
      <sheetName val="ONE_CHART_2013_(2)2"/>
      <sheetName val="input_dat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Data"/>
      <sheetName val="Raw  plan_Sep26"/>
      <sheetName val="TG"/>
      <sheetName val="RP"/>
      <sheetName val="CV"/>
      <sheetName val="TOPC"/>
      <sheetName val="RD"/>
      <sheetName val="DD"/>
      <sheetName val="Tech"/>
      <sheetName val="Vending"/>
      <sheetName val="National"/>
      <sheetName val="CH"/>
      <sheetName val="IT"/>
      <sheetName val="IO_LIST"/>
      <sheetName val="AUC"/>
      <sheetName val="Sakata"/>
      <sheetName val="Plan Analysis"/>
      <sheetName val="Analysis by proj type"/>
      <sheetName val="AUC Movements"/>
      <sheetName val="KOB1 &amp; 2"/>
      <sheetName val="Lists"/>
      <sheetName val="Lookups"/>
      <sheetName val="Chart"/>
      <sheetName val="Depn Summy"/>
      <sheetName val="P&amp;L Chart II"/>
      <sheetName val="OFCF Chart"/>
      <sheetName val="COC"/>
      <sheetName val="PCI EPU &amp; LOB PER"/>
      <sheetName val="PCI EPU &amp; LOB YTD"/>
      <sheetName val="PERvsAOP"/>
      <sheetName val="PERvsYago"/>
      <sheetName val="Yago"/>
      <sheetName val="Input_Data"/>
      <sheetName val="Raw__plan_Sep26"/>
      <sheetName val="Plan_Analysis"/>
      <sheetName val="Analysis_by_proj_type"/>
      <sheetName val="AUC_Movements"/>
      <sheetName val="KOB1_&amp;_2"/>
      <sheetName val="Depn_Summy"/>
      <sheetName val="P&amp;L_Chart_II"/>
      <sheetName val="OFCF_Chart"/>
      <sheetName val="PCI_EPU_&amp;_LOB_PER"/>
      <sheetName val="PCI_EPU_&amp;_LOB_YTD"/>
      <sheetName val="Input_Data1"/>
      <sheetName val="Raw__plan_Sep261"/>
      <sheetName val="Plan_Analysis1"/>
      <sheetName val="Analysis_by_proj_type1"/>
      <sheetName val="AUC_Movements1"/>
      <sheetName val="KOB1_&amp;_21"/>
      <sheetName val="Depn_Summy1"/>
      <sheetName val="P&amp;L_Chart_II1"/>
      <sheetName val="OFCF_Chart1"/>
      <sheetName val="PCI_EPU_&amp;_LOB_PER1"/>
      <sheetName val="PCI_EPU_&amp;_LOB_YTD1"/>
      <sheetName val="Input_Data2"/>
      <sheetName val="Raw__plan_Sep262"/>
      <sheetName val="Plan_Analysis2"/>
      <sheetName val="Analysis_by_proj_type2"/>
      <sheetName val="AUC_Movements2"/>
      <sheetName val="KOB1_&amp;_22"/>
      <sheetName val="Depn_Summy2"/>
      <sheetName val="P&amp;L_Chart_II2"/>
      <sheetName val="OFCF_Chart2"/>
      <sheetName val="PCI_EPU_&amp;_LOB_PER2"/>
      <sheetName val="PCI_EPU_&amp;_LOB_YTD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L2" t="str">
            <v>Yes</v>
          </cell>
        </row>
        <row r="3">
          <cell r="L3" t="str">
            <v>No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FY Listing.PasteValues"/>
      <sheetName val="BFY Listing"/>
      <sheetName val="Pivot Table"/>
      <sheetName val="health_ind"/>
      <sheetName val="ClsFlvrChk"/>
      <sheetName val="early_lk_clsflvr_data"/>
      <sheetName val="summary_data"/>
      <sheetName val="BFY_Listing_PasteValues"/>
      <sheetName val="BFY_Listing"/>
      <sheetName val="Pivot_Table"/>
      <sheetName val="BFY_Listing_PasteValues1"/>
      <sheetName val="BFY_Listing1"/>
      <sheetName val="Pivot_Table1"/>
      <sheetName val="BFY_Listing_PasteValues2"/>
      <sheetName val="BFY_Listing2"/>
      <sheetName val="Pivot_Tabl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torade"/>
      <sheetName val="MUthai1"/>
      <sheetName val="Thaitot"/>
      <sheetName val="CambLaos"/>
      <sheetName val="Pivot Table"/>
      <sheetName val="health_ind"/>
      <sheetName val="Pivot_Table"/>
      <sheetName val="Pivot_Table1"/>
      <sheetName val="Pivot_Tabl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S 1999"/>
      <sheetName val="Seasonality"/>
      <sheetName val="Seasonality 2000"/>
      <sheetName val="KATS 2000"/>
      <sheetName val="Yr 2000 Comparison"/>
      <sheetName val="Japan 2002"/>
      <sheetName val="Raw Data 2002"/>
      <sheetName val="KATS 2002"/>
      <sheetName val="Avg Seasonality - 2002 2001"/>
      <sheetName val="Raw Data 2003"/>
      <sheetName val="KATS 2003"/>
      <sheetName val="KatsVam"/>
      <sheetName val="KATS 2001"/>
      <sheetName val="KATS 2001 Running Rate"/>
      <sheetName val="Volume Growth"/>
      <sheetName val="Volume Growth '99-'00"/>
      <sheetName val="PH Growth - Dawn Request"/>
      <sheetName val="Volume Growth - 2002"/>
      <sheetName val="Volume Growth - 2001"/>
      <sheetName val="Top 20"/>
      <sheetName val="3 Month RR"/>
      <sheetName val="Volume Sources Chart"/>
      <sheetName val="Volume Growth - 2003"/>
      <sheetName val="YUM Key Markets"/>
      <sheetName val="Volume Analysis"/>
      <sheetName val="Growth Points Month"/>
      <sheetName val="Growth Points YTD"/>
      <sheetName val="League Table"/>
      <sheetName val="Volume Graph Data"/>
      <sheetName val="Volume Top 11"/>
      <sheetName val="Volume Top 29"/>
      <sheetName val="Volume Other"/>
      <sheetName val="Volume Top 11  YTD"/>
      <sheetName val="Volume Top 29 YTD"/>
      <sheetName val="Yum Concepts"/>
      <sheetName val="Volume Other YTD"/>
      <sheetName val="Yum Concepts YTD"/>
      <sheetName val="Country List"/>
      <sheetName val="Brands"/>
      <sheetName val="表紙"/>
      <sheetName val="KATS_1999"/>
      <sheetName val="Seasonality_2000"/>
      <sheetName val="KATS_2000"/>
      <sheetName val="Yr_2000_Comparison"/>
      <sheetName val="Japan_2002"/>
      <sheetName val="Raw_Data_2002"/>
      <sheetName val="KATS_2002"/>
      <sheetName val="Avg_Seasonality_-_2002_2001"/>
      <sheetName val="Raw_Data_2003"/>
      <sheetName val="KATS_2003"/>
      <sheetName val="KATS_2001"/>
      <sheetName val="KATS_2001_Running_Rate"/>
      <sheetName val="Volume_Growth"/>
      <sheetName val="Volume_Growth_'99-'00"/>
      <sheetName val="PH_Growth_-_Dawn_Request"/>
      <sheetName val="Volume_Growth_-_2002"/>
      <sheetName val="Volume_Growth_-_2001"/>
      <sheetName val="Top_20"/>
      <sheetName val="3_Month_RR"/>
      <sheetName val="Volume_Sources_Chart"/>
      <sheetName val="Volume_Growth_-_2003"/>
      <sheetName val="YUM_Key_Markets"/>
      <sheetName val="Volume_Analysis"/>
      <sheetName val="Growth_Points_Month"/>
      <sheetName val="Growth_Points_YTD"/>
      <sheetName val="League_Table"/>
      <sheetName val="Volume_Graph_Data"/>
      <sheetName val="Volume_Top_11"/>
      <sheetName val="Volume_Top_29"/>
      <sheetName val="Volume_Other"/>
      <sheetName val="Volume_Top_11__YTD"/>
      <sheetName val="Volume_Top_29_YTD"/>
      <sheetName val="Yum_Concepts"/>
      <sheetName val="Volume_Other_YTD"/>
      <sheetName val="Yum_Concepts_YTD"/>
      <sheetName val="Country_List"/>
      <sheetName val="KATS_19991"/>
      <sheetName val="Seasonality_20001"/>
      <sheetName val="KATS_20001"/>
      <sheetName val="Yr_2000_Comparison1"/>
      <sheetName val="Japan_20021"/>
      <sheetName val="Raw_Data_20021"/>
      <sheetName val="KATS_20021"/>
      <sheetName val="Avg_Seasonality_-_2002_20011"/>
      <sheetName val="Raw_Data_20031"/>
      <sheetName val="KATS_20031"/>
      <sheetName val="KATS_20011"/>
      <sheetName val="KATS_2001_Running_Rate1"/>
      <sheetName val="Volume_Growth1"/>
      <sheetName val="Volume_Growth_'99-'001"/>
      <sheetName val="PH_Growth_-_Dawn_Request1"/>
      <sheetName val="Volume_Growth_-_20021"/>
      <sheetName val="Volume_Growth_-_20011"/>
      <sheetName val="Top_201"/>
      <sheetName val="3_Month_RR1"/>
      <sheetName val="Volume_Sources_Chart1"/>
      <sheetName val="Volume_Growth_-_20031"/>
      <sheetName val="YUM_Key_Markets1"/>
      <sheetName val="Volume_Analysis1"/>
      <sheetName val="Growth_Points_Month1"/>
      <sheetName val="Growth_Points_YTD1"/>
      <sheetName val="League_Table1"/>
      <sheetName val="Volume_Graph_Data1"/>
      <sheetName val="Volume_Top_111"/>
      <sheetName val="Volume_Top_291"/>
      <sheetName val="Volume_Other1"/>
      <sheetName val="Volume_Top_11__YTD1"/>
      <sheetName val="Volume_Top_29_YTD1"/>
      <sheetName val="Yum_Concepts1"/>
      <sheetName val="Volume_Other_YTD1"/>
      <sheetName val="Yum_Concepts_YTD1"/>
      <sheetName val="Country_List1"/>
      <sheetName val="KATS_19992"/>
      <sheetName val="Seasonality_20002"/>
      <sheetName val="KATS_20002"/>
      <sheetName val="Yr_2000_Comparison2"/>
      <sheetName val="Japan_20022"/>
      <sheetName val="Raw_Data_20022"/>
      <sheetName val="KATS_20022"/>
      <sheetName val="Avg_Seasonality_-_2002_20012"/>
      <sheetName val="Raw_Data_20032"/>
      <sheetName val="KATS_20032"/>
      <sheetName val="KATS_20012"/>
      <sheetName val="KATS_2001_Running_Rate2"/>
      <sheetName val="Volume_Growth2"/>
      <sheetName val="Volume_Growth_'99-'002"/>
      <sheetName val="PH_Growth_-_Dawn_Request2"/>
      <sheetName val="Volume_Growth_-_20022"/>
      <sheetName val="Volume_Growth_-_20012"/>
      <sheetName val="Top_202"/>
      <sheetName val="3_Month_RR2"/>
      <sheetName val="Volume_Sources_Chart2"/>
      <sheetName val="Volume_Growth_-_20032"/>
      <sheetName val="YUM_Key_Markets2"/>
      <sheetName val="Volume_Analysis2"/>
      <sheetName val="Growth_Points_Month2"/>
      <sheetName val="Growth_Points_YTD2"/>
      <sheetName val="League_Table2"/>
      <sheetName val="Volume_Graph_Data2"/>
      <sheetName val="Volume_Top_112"/>
      <sheetName val="Volume_Top_292"/>
      <sheetName val="Volume_Other2"/>
      <sheetName val="Volume_Top_11__YTD2"/>
      <sheetName val="Volume_Top_29_YTD2"/>
      <sheetName val="Yum_Concepts2"/>
      <sheetName val="Volume_Other_YTD2"/>
      <sheetName val="Yum_Concepts_YTD2"/>
      <sheetName val="Country_Lis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UM"/>
      <sheetName val="YUM (2)"/>
      <sheetName val="YUM_(2)"/>
      <sheetName val="YUM_(2)1"/>
      <sheetName val="YUM_(2)2"/>
    </sheetNames>
    <sheetDataSet>
      <sheetData sheetId="0" refreshError="1"/>
      <sheetData sheetId="1" refreshError="1"/>
      <sheetData sheetId="2"/>
      <sheetData sheetId="3"/>
      <sheetData sheetId="4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Reconciliation"/>
      <sheetName val="COC"/>
      <sheetName val="Memo"/>
      <sheetName val="Memo2"/>
      <sheetName val="China Bev Qtr"/>
      <sheetName val="China Bev Qtr (per 8oz)"/>
      <sheetName val="Concentrate"/>
      <sheetName val="Bottling"/>
      <sheetName val="FX"/>
      <sheetName val="BU Assumptions"/>
      <sheetName val="Plug"/>
      <sheetName val="Entity"/>
      <sheetName val="Vol"/>
      <sheetName val="Shpt"/>
      <sheetName val="Coop A&amp;M"/>
      <sheetName val="One-Time Items"/>
      <sheetName val="HK CSD"/>
      <sheetName val="HK NCB"/>
      <sheetName val="TW CSD"/>
      <sheetName val="TW NCB"/>
      <sheetName val="HQ"/>
      <sheetName val="China NCB"/>
      <sheetName val="China CSD"/>
      <sheetName val="FOBO"/>
      <sheetName val="COBO"/>
      <sheetName val="COBO Consol"/>
      <sheetName val="BJ"/>
      <sheetName val="TJ"/>
      <sheetName val="GZ"/>
      <sheetName val="GZ2"/>
      <sheetName val="ZJ"/>
      <sheetName val="SZ"/>
      <sheetName val="CC"/>
      <sheetName val="HRB"/>
      <sheetName val="SY"/>
      <sheetName val="XN"/>
      <sheetName val="CS"/>
      <sheetName val="CD"/>
      <sheetName val="CQ"/>
      <sheetName val="GL"/>
      <sheetName val="HZ"/>
      <sheetName val="724"/>
      <sheetName val="726"/>
      <sheetName val="742"/>
      <sheetName val="763"/>
      <sheetName val="764"/>
      <sheetName val="Adj"/>
      <sheetName val="Vol Layers"/>
      <sheetName val="Layers"/>
      <sheetName val="2"/>
      <sheetName val="3"/>
      <sheetName val="4"/>
      <sheetName val="5"/>
      <sheetName val="EPU"/>
      <sheetName val="Orange - RM,PM Details"/>
      <sheetName val="Data"/>
      <sheetName val="Lists"/>
      <sheetName val="P&amp;L Chart II"/>
      <sheetName val="OFCF Chart"/>
      <sheetName val="PCI EPU &amp; LOB PER"/>
      <sheetName val="PCI EPU &amp; LOB YTD"/>
      <sheetName val="PERvsAOP"/>
      <sheetName val="PERvsYago"/>
      <sheetName val="Yago"/>
      <sheetName val="YUM"/>
      <sheetName val="COMICRO ROM"/>
      <sheetName val="China_Bev_Qtr"/>
      <sheetName val="China_Bev_Qtr_(per_8oz)"/>
      <sheetName val="BU_Assumptions"/>
      <sheetName val="Coop_A&amp;M"/>
      <sheetName val="One-Time_Items"/>
      <sheetName val="HK_CSD"/>
      <sheetName val="HK_NCB"/>
      <sheetName val="TW_CSD"/>
      <sheetName val="TW_NCB"/>
      <sheetName val="China_NCB"/>
      <sheetName val="China_CSD"/>
      <sheetName val="COBO_Consol"/>
      <sheetName val="Vol_Layers"/>
      <sheetName val="Orange_-_RM,PM_Details"/>
      <sheetName val="P&amp;L_Chart_II"/>
      <sheetName val="OFCF_Chart"/>
      <sheetName val="PCI_EPU_&amp;_LOB_PER"/>
      <sheetName val="PCI_EPU_&amp;_LOB_YTD"/>
      <sheetName val="COMICRO_ROM"/>
      <sheetName val="China_Bev_Qtr1"/>
      <sheetName val="China_Bev_Qtr_(per_8oz)1"/>
      <sheetName val="BU_Assumptions1"/>
      <sheetName val="Coop_A&amp;M1"/>
      <sheetName val="One-Time_Items1"/>
      <sheetName val="HK_CSD1"/>
      <sheetName val="HK_NCB1"/>
      <sheetName val="TW_CSD1"/>
      <sheetName val="TW_NCB1"/>
      <sheetName val="China_NCB1"/>
      <sheetName val="China_CSD1"/>
      <sheetName val="COBO_Consol1"/>
      <sheetName val="Vol_Layers1"/>
      <sheetName val="Orange_-_RM,PM_Details1"/>
      <sheetName val="P&amp;L_Chart_II1"/>
      <sheetName val="OFCF_Chart1"/>
      <sheetName val="PCI_EPU_&amp;_LOB_PER1"/>
      <sheetName val="PCI_EPU_&amp;_LOB_YTD1"/>
      <sheetName val="COMICRO_ROM1"/>
      <sheetName val="CONTENTS"/>
      <sheetName val="China_Bev_Qtr2"/>
      <sheetName val="China_Bev_Qtr_(per_8oz)2"/>
      <sheetName val="BU_Assumptions2"/>
      <sheetName val="Coop_A&amp;M2"/>
      <sheetName val="One-Time_Items2"/>
      <sheetName val="HK_CSD2"/>
      <sheetName val="HK_NCB2"/>
      <sheetName val="TW_CSD2"/>
      <sheetName val="TW_NCB2"/>
      <sheetName val="China_NCB2"/>
      <sheetName val="China_CSD2"/>
      <sheetName val="COBO_Consol2"/>
      <sheetName val="Vol_Layers2"/>
      <sheetName val="Orange_-_RM,PM_Details2"/>
      <sheetName val="P&amp;L_Chart_II2"/>
      <sheetName val="OFCF_Chart2"/>
      <sheetName val="PCI_EPU_&amp;_LOB_PER2"/>
      <sheetName val="PCI_EPU_&amp;_LOB_YTD2"/>
      <sheetName val="COMICRO_ROM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6">
          <cell r="C6">
            <v>3.0002431041310551</v>
          </cell>
        </row>
        <row r="26">
          <cell r="D26">
            <v>-44134.253933643158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>
        <row r="6">
          <cell r="C6">
            <v>3.0002431041310551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/>
      <sheetData sheetId="108"/>
      <sheetData sheetId="109">
        <row r="6">
          <cell r="C6">
            <v>3.0002431041310551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ion"/>
      <sheetName val="Database"/>
      <sheetName val="COC_B_Note"/>
      <sheetName val="COC_BU"/>
      <sheetName val="COC_CEMU"/>
      <sheetName val="COC_MGSSA"/>
      <sheetName val="COC_MGWE"/>
      <sheetName val="COC_MGUK"/>
      <sheetName val="COC_Germany_MU"/>
      <sheetName val="COC_Ukr_Baltics"/>
      <sheetName val="COC_MGSE"/>
      <sheetName val="Tanzania"/>
      <sheetName val="SMT1"/>
      <sheetName val="W604"/>
      <sheetName val="BU Assumptions"/>
      <sheetName val="Score Card"/>
      <sheetName val="Controls"/>
      <sheetName val="BU_Assumptions"/>
      <sheetName val="Score_Card"/>
      <sheetName val="BU_Assumptions1"/>
      <sheetName val="Score_Card1"/>
      <sheetName val="BU_Assumptions2"/>
      <sheetName val="Score_Card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BU Assumptions"/>
      <sheetName val="SABU P&amp;L"/>
      <sheetName val="PLCSD"/>
      <sheetName val="#REF"/>
      <sheetName val="Comparable Trading Multiples"/>
      <sheetName val="BU_Assumptions"/>
      <sheetName val="SABU_P&amp;L"/>
      <sheetName val="Comparable_Trading_Multiples"/>
      <sheetName val="BU_Assumptions1"/>
      <sheetName val="SABU_P&amp;L1"/>
      <sheetName val="Comparable_Trading_Multiples1"/>
      <sheetName val="BU_Assumptions2"/>
      <sheetName val="SABU_P&amp;L2"/>
      <sheetName val="Comparable_Trading_Multiple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NARIO SELECTION"/>
      <sheetName val="NEW SYSTEM SUMMARY"/>
      <sheetName val="LIPTON MODEL RECONCILIATION"/>
      <sheetName val="JV Map"/>
      <sheetName val="Vol"/>
      <sheetName val="Freight"/>
      <sheetName val="Tea"/>
      <sheetName val="JD"/>
      <sheetName val="Pricing"/>
      <sheetName val="Ex-Factory"/>
      <sheetName val="Conc Inputs"/>
      <sheetName val="MC"/>
      <sheetName val="FlavPkgIn"/>
      <sheetName val="Tea COGS"/>
      <sheetName val="Pkg"/>
      <sheetName val="Flav"/>
      <sheetName val="S&amp;D"/>
      <sheetName val="G&amp;A"/>
      <sheetName val="G&amp;A Final"/>
      <sheetName val="A&amp;M"/>
      <sheetName val="Mfg-MODEL"/>
      <sheetName val="Mfg-TEA"/>
      <sheetName val="Mfg-TEA&amp;JD"/>
      <sheetName val="Changes"/>
      <sheetName val="SUM-NPV"/>
      <sheetName val="SP-NPV"/>
      <sheetName val="JC-NPV"/>
      <sheetName val="JD-NPV"/>
      <sheetName val="TEA-NPV"/>
      <sheetName val="Inputs"/>
      <sheetName val="TOTAL (USD)"/>
      <sheetName val="TOTAL USD per 8oz"/>
      <sheetName val="Total per raw"/>
      <sheetName val="Total (% of Rev)"/>
      <sheetName val="TOTAL (% of JV Rev)"/>
      <sheetName val="TOTAL"/>
      <sheetName val="BJ(1)"/>
      <sheetName val="CC(2)"/>
      <sheetName val="SY(3)"/>
      <sheetName val="JN(4)"/>
      <sheetName val="TJ(5)"/>
      <sheetName val="CQ(6)"/>
      <sheetName val="CD(7)"/>
      <sheetName val="GL(8)"/>
      <sheetName val="NC(9)"/>
      <sheetName val="XN(10)"/>
      <sheetName val="TY(11)"/>
      <sheetName val="NJ(12)"/>
      <sheetName val="SH(13)"/>
      <sheetName val="WH(14)"/>
      <sheetName val="FZ(15)"/>
      <sheetName val="GZ(16)"/>
      <sheetName val="SZ(17)"/>
      <sheetName val="HB(18)"/>
      <sheetName val="ZZ(19)"/>
      <sheetName val="KM(20)"/>
      <sheetName val="HF(21)"/>
      <sheetName val="GF(22)"/>
      <sheetName val="OUTPUT1"/>
      <sheetName val="OUTPUT2"/>
      <sheetName val="OUTPUT3"/>
      <sheetName val="OUTPUT4"/>
      <sheetName val="OUTPUT5"/>
      <sheetName val="OUTPUT6"/>
      <sheetName val="JV OUTPUT"/>
      <sheetName val="OUT3 Tea"/>
      <sheetName val="OUT3 JD"/>
      <sheetName val="NPV Comp"/>
      <sheetName val="Sys NPV(model)"/>
      <sheetName val="Sys NPV (SP)"/>
      <sheetName val="PBI As Reported NPV"/>
      <sheetName val="PBI-NPV"/>
      <sheetName val="Dole_Gat 03"/>
      <sheetName val="Industry Assumptions"/>
      <sheetName val="Industry Summary"/>
      <sheetName val="Industry Tea Mix by JV "/>
      <sheetName val="Chart- Total Tea Summary by JV"/>
      <sheetName val="Chart- Blk Tea Summary by JV"/>
      <sheetName val="Chart- Grn Tea Summary by JV"/>
      <sheetName val="Chart- Other Tea Summary by JV"/>
      <sheetName val="Total PBI Tea by JV"/>
      <sheetName val="a. Black Tea Share by JV"/>
      <sheetName val="b. Green Tea Share by JV"/>
      <sheetName val="c. Other Tea Share by JV"/>
      <sheetName val="A&amp;M Assumptions"/>
      <sheetName val="GZ A&amp;M"/>
      <sheetName val="BJ A&amp;M"/>
      <sheetName val="CC A&amp;M"/>
      <sheetName val="TJ A&amp;M"/>
      <sheetName val="CD A&amp;M"/>
      <sheetName val="CQ A&amp;M"/>
      <sheetName val="JN A&amp;M"/>
      <sheetName val="SH A&amp;M"/>
      <sheetName val="NJ A&amp;M"/>
      <sheetName val="WH A&amp;M"/>
      <sheetName val="SZ A&amp;M"/>
      <sheetName val="FZ A&amp;M"/>
      <sheetName val="GL A&amp;M"/>
      <sheetName val="NC A&amp;M"/>
      <sheetName val="White A&amp;M"/>
      <sheetName val="Sheet1"/>
      <sheetName val="Capex by Category"/>
      <sheetName val="Synergies"/>
      <sheetName val="US"/>
      <sheetName val="dis"/>
      <sheetName val="Prices"/>
      <sheetName val="SCENARIO_SELECTION"/>
      <sheetName val="NEW_SYSTEM_SUMMARY"/>
      <sheetName val="LIPTON_MODEL_RECONCILIATION"/>
      <sheetName val="JV_Map"/>
      <sheetName val="Conc_Inputs"/>
      <sheetName val="Tea_COGS"/>
      <sheetName val="G&amp;A_Final"/>
      <sheetName val="TOTAL_(USD)"/>
      <sheetName val="TOTAL_USD_per_8oz"/>
      <sheetName val="Total_per_raw"/>
      <sheetName val="Total_(%_of_Rev)"/>
      <sheetName val="TOTAL_(%_of_JV_Rev)"/>
      <sheetName val="JV_OUTPUT"/>
      <sheetName val="OUT3_Tea"/>
      <sheetName val="OUT3_JD"/>
      <sheetName val="NPV_Comp"/>
      <sheetName val="Sys_NPV(model)"/>
      <sheetName val="Sys_NPV_(SP)"/>
      <sheetName val="PBI_As_Reported_NPV"/>
      <sheetName val="Dole_Gat_03"/>
      <sheetName val="Industry_Assumptions"/>
      <sheetName val="Industry_Summary"/>
      <sheetName val="Industry_Tea_Mix_by_JV_"/>
      <sheetName val="Chart-_Total_Tea_Summary_by_JV"/>
      <sheetName val="Chart-_Blk_Tea_Summary_by_JV"/>
      <sheetName val="Chart-_Grn_Tea_Summary_by_JV"/>
      <sheetName val="Chart-_Other_Tea_Summary_by_JV"/>
      <sheetName val="Total_PBI_Tea_by_JV"/>
      <sheetName val="a__Black_Tea_Share_by_JV"/>
      <sheetName val="b__Green_Tea_Share_by_JV"/>
      <sheetName val="c__Other_Tea_Share_by_JV"/>
      <sheetName val="A&amp;M_Assumptions"/>
      <sheetName val="GZ_A&amp;M"/>
      <sheetName val="BJ_A&amp;M"/>
      <sheetName val="CC_A&amp;M"/>
      <sheetName val="TJ_A&amp;M"/>
      <sheetName val="CD_A&amp;M"/>
      <sheetName val="CQ_A&amp;M"/>
      <sheetName val="JN_A&amp;M"/>
      <sheetName val="SH_A&amp;M"/>
      <sheetName val="NJ_A&amp;M"/>
      <sheetName val="WH_A&amp;M"/>
      <sheetName val="SZ_A&amp;M"/>
      <sheetName val="FZ_A&amp;M"/>
      <sheetName val="GL_A&amp;M"/>
      <sheetName val="NC_A&amp;M"/>
      <sheetName val="White_A&amp;M"/>
      <sheetName val="Capex_by_Category"/>
      <sheetName val="Consolidation"/>
      <sheetName val="Resource Project Costs"/>
      <sheetName val="SCENARIO_SELECTION1"/>
      <sheetName val="NEW_SYSTEM_SUMMARY1"/>
      <sheetName val="LIPTON_MODEL_RECONCILIATION1"/>
      <sheetName val="JV_Map1"/>
      <sheetName val="Conc_Inputs1"/>
      <sheetName val="Tea_COGS1"/>
      <sheetName val="G&amp;A_Final1"/>
      <sheetName val="TOTAL_(USD)1"/>
      <sheetName val="TOTAL_USD_per_8oz1"/>
      <sheetName val="Total_per_raw1"/>
      <sheetName val="Total_(%_of_Rev)1"/>
      <sheetName val="TOTAL_(%_of_JV_Rev)1"/>
      <sheetName val="JV_OUTPUT1"/>
      <sheetName val="OUT3_Tea1"/>
      <sheetName val="OUT3_JD1"/>
      <sheetName val="NPV_Comp1"/>
      <sheetName val="Sys_NPV(model)1"/>
      <sheetName val="Sys_NPV_(SP)1"/>
      <sheetName val="PBI_As_Reported_NPV1"/>
      <sheetName val="Dole_Gat_031"/>
      <sheetName val="Industry_Assumptions1"/>
      <sheetName val="Industry_Summary1"/>
      <sheetName val="Industry_Tea_Mix_by_JV_1"/>
      <sheetName val="Chart-_Total_Tea_Summary_by_JV1"/>
      <sheetName val="Chart-_Blk_Tea_Summary_by_JV1"/>
      <sheetName val="Chart-_Grn_Tea_Summary_by_JV1"/>
      <sheetName val="Chart-_Other_Tea_Summary_by_JV1"/>
      <sheetName val="Total_PBI_Tea_by_JV1"/>
      <sheetName val="a__Black_Tea_Share_by_JV1"/>
      <sheetName val="b__Green_Tea_Share_by_JV1"/>
      <sheetName val="c__Other_Tea_Share_by_JV1"/>
      <sheetName val="A&amp;M_Assumptions1"/>
      <sheetName val="GZ_A&amp;M1"/>
      <sheetName val="BJ_A&amp;M1"/>
      <sheetName val="CC_A&amp;M1"/>
      <sheetName val="TJ_A&amp;M1"/>
      <sheetName val="CD_A&amp;M1"/>
      <sheetName val="CQ_A&amp;M1"/>
      <sheetName val="JN_A&amp;M1"/>
      <sheetName val="SH_A&amp;M1"/>
      <sheetName val="NJ_A&amp;M1"/>
      <sheetName val="WH_A&amp;M1"/>
      <sheetName val="SZ_A&amp;M1"/>
      <sheetName val="FZ_A&amp;M1"/>
      <sheetName val="GL_A&amp;M1"/>
      <sheetName val="NC_A&amp;M1"/>
      <sheetName val="White_A&amp;M1"/>
      <sheetName val="Capex_by_Category1"/>
      <sheetName val="Resource_Project_Costs"/>
      <sheetName val="SCENARIO_SELECTION2"/>
      <sheetName val="NEW_SYSTEM_SUMMARY2"/>
      <sheetName val="LIPTON_MODEL_RECONCILIATION2"/>
      <sheetName val="JV_Map2"/>
      <sheetName val="Conc_Inputs2"/>
      <sheetName val="Tea_COGS2"/>
      <sheetName val="G&amp;A_Final2"/>
      <sheetName val="TOTAL_(USD)2"/>
      <sheetName val="TOTAL_USD_per_8oz2"/>
      <sheetName val="Total_per_raw2"/>
      <sheetName val="Total_(%_of_Rev)2"/>
      <sheetName val="TOTAL_(%_of_JV_Rev)2"/>
      <sheetName val="JV_OUTPUT2"/>
      <sheetName val="OUT3_Tea2"/>
      <sheetName val="OUT3_JD2"/>
      <sheetName val="NPV_Comp2"/>
      <sheetName val="Sys_NPV(model)2"/>
      <sheetName val="Sys_NPV_(SP)2"/>
      <sheetName val="PBI_As_Reported_NPV2"/>
      <sheetName val="Dole_Gat_032"/>
      <sheetName val="Industry_Assumptions2"/>
      <sheetName val="Industry_Summary2"/>
      <sheetName val="Industry_Tea_Mix_by_JV_2"/>
      <sheetName val="Chart-_Total_Tea_Summary_by_JV2"/>
      <sheetName val="Chart-_Blk_Tea_Summary_by_JV2"/>
      <sheetName val="Chart-_Grn_Tea_Summary_by_JV2"/>
      <sheetName val="Chart-_Other_Tea_Summary_by_JV2"/>
      <sheetName val="Total_PBI_Tea_by_JV2"/>
      <sheetName val="a__Black_Tea_Share_by_JV2"/>
      <sheetName val="b__Green_Tea_Share_by_JV2"/>
      <sheetName val="c__Other_Tea_Share_by_JV2"/>
      <sheetName val="A&amp;M_Assumptions2"/>
      <sheetName val="GZ_A&amp;M2"/>
      <sheetName val="BJ_A&amp;M2"/>
      <sheetName val="CC_A&amp;M2"/>
      <sheetName val="TJ_A&amp;M2"/>
      <sheetName val="CD_A&amp;M2"/>
      <sheetName val="CQ_A&amp;M2"/>
      <sheetName val="JN_A&amp;M2"/>
      <sheetName val="SH_A&amp;M2"/>
      <sheetName val="NJ_A&amp;M2"/>
      <sheetName val="WH_A&amp;M2"/>
      <sheetName val="SZ_A&amp;M2"/>
      <sheetName val="FZ_A&amp;M2"/>
      <sheetName val="GL_A&amp;M2"/>
      <sheetName val="NC_A&amp;M2"/>
      <sheetName val="White_A&amp;M2"/>
      <sheetName val="Capex_by_Category2"/>
      <sheetName val="Resource_Project_Cost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d Detail"/>
      <sheetName val="Bottler detail"/>
      <sheetName val="BO Brand Packs"/>
      <sheetName val="BO Brand Orders"/>
      <sheetName val="cust serv %"/>
      <sheetName val="BO Explain"/>
      <sheetName val="Loading Acc"/>
      <sheetName val="CSSR"/>
      <sheetName val="lots BO db"/>
      <sheetName val="pivot"/>
      <sheetName val="Week 33"/>
      <sheetName val="Week 34"/>
      <sheetName val="PIVOT34"/>
      <sheetName val="Week 35"/>
      <sheetName val="Pivot 35"/>
      <sheetName val="PIVOT 36"/>
      <sheetName val="Week36-37"/>
      <sheetName val="WEEK 38&amp;39"/>
      <sheetName val="PIVOT 38"/>
      <sheetName val="PIVOT 39"/>
      <sheetName val="PIVOT 37"/>
      <sheetName val="Sheet2"/>
      <sheetName val="Sheet1"/>
      <sheetName val="NEW SYSTEM SUMMARY"/>
      <sheetName val="GZ(16)"/>
      <sheetName val="SZ(17)"/>
      <sheetName val="dis"/>
      <sheetName val="Prices"/>
      <sheetName val="Brand_Detail"/>
      <sheetName val="Bottler_detail"/>
      <sheetName val="BO_Brand_Packs"/>
      <sheetName val="BO_Brand_Orders"/>
      <sheetName val="cust_serv_%"/>
      <sheetName val="BO_Explain"/>
      <sheetName val="Loading_Acc"/>
      <sheetName val="lots_BO_db"/>
      <sheetName val="Week_33"/>
      <sheetName val="Week_34"/>
      <sheetName val="Week_35"/>
      <sheetName val="Pivot_35"/>
      <sheetName val="PIVOT_36"/>
      <sheetName val="WEEK_38&amp;39"/>
      <sheetName val="PIVOT_38"/>
      <sheetName val="PIVOT_39"/>
      <sheetName val="PIVOT_37"/>
      <sheetName val="NEW_SYSTEM_SUMMARY"/>
      <sheetName val="BU Assumptions"/>
      <sheetName val="Infeed grower list"/>
      <sheetName val="Legend"/>
      <sheetName val="Unix Pricing"/>
      <sheetName val="Unix Revised Pricing"/>
      <sheetName val="Brand_Detail1"/>
      <sheetName val="Bottler_detail1"/>
      <sheetName val="BO_Brand_Packs1"/>
      <sheetName val="BO_Brand_Orders1"/>
      <sheetName val="cust_serv_%1"/>
      <sheetName val="BO_Explain1"/>
      <sheetName val="Loading_Acc1"/>
      <sheetName val="lots_BO_db1"/>
      <sheetName val="Week_331"/>
      <sheetName val="Week_341"/>
      <sheetName val="Week_351"/>
      <sheetName val="Pivot_351"/>
      <sheetName val="PIVOT_361"/>
      <sheetName val="WEEK_38&amp;391"/>
      <sheetName val="PIVOT_381"/>
      <sheetName val="PIVOT_391"/>
      <sheetName val="PIVOT_371"/>
      <sheetName val="NEW_SYSTEM_SUMMARY1"/>
      <sheetName val="BU_Assumptions"/>
      <sheetName val="Infeed_grower_list"/>
      <sheetName val="Unix_Pricing"/>
      <sheetName val="Unix_Revised_Pricing"/>
      <sheetName val="Brand_Detail2"/>
      <sheetName val="Bottler_detail2"/>
      <sheetName val="BO_Brand_Packs2"/>
      <sheetName val="BO_Brand_Orders2"/>
      <sheetName val="cust_serv_%2"/>
      <sheetName val="BO_Explain2"/>
      <sheetName val="Loading_Acc2"/>
      <sheetName val="lots_BO_db2"/>
      <sheetName val="Week_332"/>
      <sheetName val="Week_342"/>
      <sheetName val="Week_352"/>
      <sheetName val="Pivot_352"/>
      <sheetName val="PIVOT_362"/>
      <sheetName val="WEEK_38&amp;392"/>
      <sheetName val="PIVOT_382"/>
      <sheetName val="PIVOT_392"/>
      <sheetName val="PIVOT_372"/>
      <sheetName val="NEW_SYSTEM_SUMMARY2"/>
      <sheetName val="BU_Assumptions1"/>
      <sheetName val="Infeed_grower_list1"/>
      <sheetName val="Unix_Pricing1"/>
      <sheetName val="Unix_Revised_Pricing1"/>
      <sheetName val="Brand_Detail3"/>
      <sheetName val="Bottler_detail3"/>
      <sheetName val="BO_Brand_Packs3"/>
      <sheetName val="BO_Brand_Orders3"/>
      <sheetName val="cust_serv_%3"/>
      <sheetName val="BO_Explain3"/>
      <sheetName val="Loading_Acc3"/>
      <sheetName val="lots_BO_db3"/>
      <sheetName val="Week_333"/>
      <sheetName val="Week_343"/>
      <sheetName val="Week_353"/>
      <sheetName val="Pivot_353"/>
      <sheetName val="PIVOT_363"/>
      <sheetName val="WEEK_38&amp;393"/>
      <sheetName val="PIVOT_383"/>
      <sheetName val="PIVOT_393"/>
      <sheetName val="PIVOT_373"/>
      <sheetName val="NEW_SYSTEM_SUMMARY3"/>
      <sheetName val="BU_Assumptions2"/>
      <sheetName val="Infeed_grower_list2"/>
      <sheetName val="Unix_Pricing2"/>
      <sheetName val="Unix_Revised_Pricing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 Menu"/>
      <sheetName val="Navigation Menu"/>
      <sheetName val="Driver"/>
      <sheetName val="Index"/>
      <sheetName val="Exec Summary"/>
      <sheetName val="A1 Macro Trends"/>
      <sheetName val="A2 Salty Snacks Market"/>
      <sheetName val="A3 Macro Snacks Market"/>
      <sheetName val="A4 Quaker Market"/>
      <sheetName val="A5 Volume Build-up"/>
      <sheetName val="A6 Innovation Salty"/>
      <sheetName val="A7 Innovation Non Salty"/>
      <sheetName val="A8 Salty Rev Build &amp; SDV Trend"/>
      <sheetName val="A9 Non Salty Rev Build &amp; SDV"/>
      <sheetName val="B1 P&amp;L LC"/>
      <sheetName val="B2 P&amp;L USD"/>
      <sheetName val="B3 OCF &amp; Balance Sheet KPIs"/>
      <sheetName val="B4 1 Year Algorithm"/>
      <sheetName val="B5 3 Year Algorithm"/>
      <sheetName val="C1 Capex Projects"/>
      <sheetName val="C2 Headcount"/>
      <sheetName val="C3 A&amp;M"/>
      <sheetName val="C4 Operations Metrics"/>
      <sheetName val="03-05 Algorithm"/>
      <sheetName val="D1 Integration Impact"/>
      <sheetName val="Hidden DataSheet"/>
      <sheetName val="D1 Integration Impact (2)"/>
      <sheetName val="ENTITY TABLE"/>
      <sheetName val="Inputs"/>
      <sheetName val="crdr4615-with prices"/>
      <sheetName val="crdr4615-without prices"/>
      <sheetName val="01 conv. wgt."/>
      <sheetName val="COSTCENTRE"/>
      <sheetName val="Print Options"/>
      <sheetName val="Macro Market Trends"/>
      <sheetName val="Salty Market Trends"/>
      <sheetName val="Pringles"/>
      <sheetName val="Volume Build-up"/>
      <sheetName val="P&amp;L LC"/>
      <sheetName val="P&amp;L $"/>
      <sheetName val="AOP 2000 by Quarter"/>
      <sheetName val="P&amp;L Channel"/>
      <sheetName val="P&amp;L Category"/>
      <sheetName val="OCF $"/>
      <sheetName val="Balance Sheet $"/>
      <sheetName val="Capex Projects"/>
      <sheetName val="G&amp;A Breakdown"/>
      <sheetName val="A&amp;M"/>
      <sheetName val="Purchasing"/>
      <sheetName val="Innovation"/>
      <sheetName val="Virtuous Circle"/>
      <sheetName val="Module1"/>
      <sheetName val="Module2"/>
      <sheetName val="Module3"/>
      <sheetName val="#REF"/>
      <sheetName val="prueba"/>
      <sheetName val="Brand Detail"/>
      <sheetName val="INPUT"/>
      <sheetName val="MAR-F"/>
      <sheetName val="Controls"/>
      <sheetName val="dis"/>
      <sheetName val="Prices"/>
      <sheetName val="Sheet1"/>
      <sheetName val="CAESALDO"/>
      <sheetName val="P&amp;L Chart II"/>
      <sheetName val="OFCF Chart"/>
      <sheetName val="COC"/>
      <sheetName val="PCI EPU &amp; LOB PER"/>
      <sheetName val="PCI EPU &amp; LOB YTD"/>
      <sheetName val="PERvsAOP"/>
      <sheetName val="PERvsYago"/>
      <sheetName val="Yago"/>
      <sheetName val="Print_Menu"/>
      <sheetName val="Navigation_Menu"/>
      <sheetName val="Exec_Summary"/>
      <sheetName val="A1_Macro_Trends"/>
      <sheetName val="A2_Salty_Snacks_Market"/>
      <sheetName val="A3_Macro_Snacks_Market"/>
      <sheetName val="A4_Quaker_Market"/>
      <sheetName val="A5_Volume_Build-up"/>
      <sheetName val="A6_Innovation_Salty"/>
      <sheetName val="A7_Innovation_Non_Salty"/>
      <sheetName val="A8_Salty_Rev_Build_&amp;_SDV_Trend"/>
      <sheetName val="A9_Non_Salty_Rev_Build_&amp;_SDV"/>
      <sheetName val="B1_P&amp;L_LC"/>
      <sheetName val="B2_P&amp;L_USD"/>
      <sheetName val="B3_OCF_&amp;_Balance_Sheet_KPIs"/>
      <sheetName val="B4_1_Year_Algorithm"/>
      <sheetName val="B5_3_Year_Algorithm"/>
      <sheetName val="C1_Capex_Projects"/>
      <sheetName val="C2_Headcount"/>
      <sheetName val="C3_A&amp;M"/>
      <sheetName val="C4_Operations_Metrics"/>
      <sheetName val="03-05_Algorithm"/>
      <sheetName val="D1_Integration_Impact"/>
      <sheetName val="Hidden_DataSheet"/>
      <sheetName val="D1_Integration_Impact_(2)"/>
      <sheetName val="ENTITY_TABLE"/>
      <sheetName val="crdr4615-with_prices"/>
      <sheetName val="crdr4615-without_prices"/>
      <sheetName val="01_conv__wgt_"/>
      <sheetName val="Print_Options"/>
      <sheetName val="Macro_Market_Trends"/>
      <sheetName val="Salty_Market_Trends"/>
      <sheetName val="Volume_Build-up"/>
      <sheetName val="P&amp;L_LC"/>
      <sheetName val="P&amp;L_$"/>
      <sheetName val="AOP_2000_by_Quarter"/>
      <sheetName val="P&amp;L_Channel"/>
      <sheetName val="P&amp;L_Category"/>
      <sheetName val="OCF_$"/>
      <sheetName val="Balance_Sheet_$"/>
      <sheetName val="Capex_Projects"/>
      <sheetName val="G&amp;A_Breakdown"/>
      <sheetName val="Virtuous_Circle"/>
      <sheetName val="Brand_Detail"/>
      <sheetName val="P&amp;L_Chart_II"/>
      <sheetName val="OFCF_Chart"/>
      <sheetName val="PCI_EPU_&amp;_LOB_PER"/>
      <sheetName val="PCI_EPU_&amp;_LOB_YTD"/>
      <sheetName val="Print_Menu1"/>
      <sheetName val="Navigation_Menu1"/>
      <sheetName val="Exec_Summary1"/>
      <sheetName val="A1_Macro_Trends1"/>
      <sheetName val="A2_Salty_Snacks_Market1"/>
      <sheetName val="A3_Macro_Snacks_Market1"/>
      <sheetName val="A4_Quaker_Market1"/>
      <sheetName val="A5_Volume_Build-up1"/>
      <sheetName val="A6_Innovation_Salty1"/>
      <sheetName val="A7_Innovation_Non_Salty1"/>
      <sheetName val="A8_Salty_Rev_Build_&amp;_SDV_Trend1"/>
      <sheetName val="A9_Non_Salty_Rev_Build_&amp;_SDV1"/>
      <sheetName val="B1_P&amp;L_LC1"/>
      <sheetName val="B2_P&amp;L_USD1"/>
      <sheetName val="B3_OCF_&amp;_Balance_Sheet_KPIs1"/>
      <sheetName val="B4_1_Year_Algorithm1"/>
      <sheetName val="B5_3_Year_Algorithm1"/>
      <sheetName val="C1_Capex_Projects1"/>
      <sheetName val="C2_Headcount1"/>
      <sheetName val="C3_A&amp;M1"/>
      <sheetName val="C4_Operations_Metrics1"/>
      <sheetName val="03-05_Algorithm1"/>
      <sheetName val="D1_Integration_Impact1"/>
      <sheetName val="Hidden_DataSheet1"/>
      <sheetName val="D1_Integration_Impact_(2)1"/>
      <sheetName val="ENTITY_TABLE1"/>
      <sheetName val="crdr4615-with_prices1"/>
      <sheetName val="crdr4615-without_prices1"/>
      <sheetName val="01_conv__wgt_1"/>
      <sheetName val="Print_Options1"/>
      <sheetName val="Macro_Market_Trends1"/>
      <sheetName val="Salty_Market_Trends1"/>
      <sheetName val="Volume_Build-up1"/>
      <sheetName val="P&amp;L_LC1"/>
      <sheetName val="P&amp;L_$1"/>
      <sheetName val="AOP_2000_by_Quarter1"/>
      <sheetName val="P&amp;L_Channel1"/>
      <sheetName val="P&amp;L_Category1"/>
      <sheetName val="OCF_$1"/>
      <sheetName val="Balance_Sheet_$1"/>
      <sheetName val="Capex_Projects1"/>
      <sheetName val="G&amp;A_Breakdown1"/>
      <sheetName val="Virtuous_Circle1"/>
      <sheetName val="Brand_Detail1"/>
      <sheetName val="P&amp;L_Chart_II1"/>
      <sheetName val="OFCF_Chart1"/>
      <sheetName val="PCI_EPU_&amp;_LOB_PER1"/>
      <sheetName val="PCI_EPU_&amp;_LOB_YTD1"/>
      <sheetName val="Picklist"/>
      <sheetName val="Print_Menu2"/>
      <sheetName val="Navigation_Menu2"/>
      <sheetName val="Exec_Summary2"/>
      <sheetName val="A1_Macro_Trends2"/>
      <sheetName val="A2_Salty_Snacks_Market2"/>
      <sheetName val="A3_Macro_Snacks_Market2"/>
      <sheetName val="A4_Quaker_Market2"/>
      <sheetName val="A5_Volume_Build-up2"/>
      <sheetName val="A6_Innovation_Salty2"/>
      <sheetName val="A7_Innovation_Non_Salty2"/>
      <sheetName val="A8_Salty_Rev_Build_&amp;_SDV_Trend2"/>
      <sheetName val="A9_Non_Salty_Rev_Build_&amp;_SDV2"/>
      <sheetName val="B1_P&amp;L_LC2"/>
      <sheetName val="B2_P&amp;L_USD2"/>
      <sheetName val="B3_OCF_&amp;_Balance_Sheet_KPIs2"/>
      <sheetName val="B4_1_Year_Algorithm2"/>
      <sheetName val="B5_3_Year_Algorithm2"/>
      <sheetName val="C1_Capex_Projects2"/>
      <sheetName val="C2_Headcount2"/>
      <sheetName val="C3_A&amp;M2"/>
      <sheetName val="C4_Operations_Metrics2"/>
      <sheetName val="03-05_Algorithm2"/>
      <sheetName val="D1_Integration_Impact2"/>
      <sheetName val="Hidden_DataSheet2"/>
      <sheetName val="D1_Integration_Impact_(2)2"/>
      <sheetName val="ENTITY_TABLE2"/>
      <sheetName val="crdr4615-with_prices2"/>
      <sheetName val="crdr4615-without_prices2"/>
      <sheetName val="01_conv__wgt_2"/>
      <sheetName val="Print_Options2"/>
      <sheetName val="Macro_Market_Trends2"/>
      <sheetName val="Salty_Market_Trends2"/>
      <sheetName val="Volume_Build-up2"/>
      <sheetName val="P&amp;L_LC2"/>
      <sheetName val="P&amp;L_$2"/>
      <sheetName val="AOP_2000_by_Quarter2"/>
      <sheetName val="P&amp;L_Channel2"/>
      <sheetName val="P&amp;L_Category2"/>
      <sheetName val="OCF_$2"/>
      <sheetName val="Balance_Sheet_$2"/>
      <sheetName val="Capex_Projects2"/>
      <sheetName val="G&amp;A_Breakdown2"/>
      <sheetName val="Virtuous_Circle2"/>
      <sheetName val="Brand_Detail2"/>
      <sheetName val="P&amp;L_Chart_II2"/>
      <sheetName val="OFCF_Chart2"/>
      <sheetName val="PCI_EPU_&amp;_LOB_PER2"/>
      <sheetName val="PCI_EPU_&amp;_LOB_YTD2"/>
      <sheetName val="Lists"/>
      <sheetName val="Setup"/>
      <sheetName val="CC SABU"/>
      <sheetName val="CC Andean"/>
      <sheetName val="6-ProductosCostos"/>
      <sheetName val="2"/>
      <sheetName val="Parameters"/>
      <sheetName val="NEW SYSTEM SUMMARY"/>
      <sheetName val="GZ(16)"/>
      <sheetName val="SZ(17)"/>
      <sheetName val="MUthai1"/>
      <sheetName val="Constar"/>
      <sheetName val="Gemex"/>
    </sheetNames>
    <sheetDataSet>
      <sheetData sheetId="0" refreshError="1"/>
      <sheetData sheetId="1" refreshError="1"/>
      <sheetData sheetId="2" refreshError="1">
        <row r="19">
          <cell r="E19">
            <v>1</v>
          </cell>
        </row>
        <row r="103">
          <cell r="A103">
            <v>31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1">
          <cell r="C1" t="str">
            <v>FcstQ1</v>
          </cell>
        </row>
        <row r="9">
          <cell r="A9">
            <v>1</v>
          </cell>
          <cell r="B9" t="str">
            <v>&lt;&lt;Select Market&gt;&gt;</v>
          </cell>
          <cell r="C9">
            <v>1</v>
          </cell>
        </row>
        <row r="10">
          <cell r="A10">
            <v>2</v>
          </cell>
          <cell r="B10" t="str">
            <v>Baltics</v>
          </cell>
          <cell r="C10">
            <v>2</v>
          </cell>
          <cell r="D10" t="str">
            <v>FLEAME</v>
          </cell>
          <cell r="E10" t="str">
            <v>FLI3360T</v>
          </cell>
          <cell r="F10" t="str">
            <v>FLI2360T</v>
          </cell>
          <cell r="G10" t="str">
            <v>FLI3360T</v>
          </cell>
          <cell r="H10" t="str">
            <v>FLI2360T</v>
          </cell>
          <cell r="I10" t="str">
            <v>n/a</v>
          </cell>
          <cell r="J10" t="str">
            <v>n/a</v>
          </cell>
          <cell r="K10" t="str">
            <v>n/a</v>
          </cell>
          <cell r="L10" t="str">
            <v>n/a</v>
          </cell>
          <cell r="M10" t="str">
            <v>n/a</v>
          </cell>
          <cell r="N10" t="str">
            <v>n/a</v>
          </cell>
          <cell r="O10" t="str">
            <v>n/a</v>
          </cell>
          <cell r="P10" t="str">
            <v>n/a</v>
          </cell>
          <cell r="Q10" t="str">
            <v>n/a</v>
          </cell>
          <cell r="R10" t="str">
            <v>n/a</v>
          </cell>
          <cell r="S10" t="str">
            <v>n/a</v>
          </cell>
          <cell r="T10" t="str">
            <v>n/a</v>
          </cell>
          <cell r="U10" t="str">
            <v>n/a</v>
          </cell>
          <cell r="V10" t="str">
            <v>n/a</v>
          </cell>
          <cell r="W10" t="str">
            <v>n/a</v>
          </cell>
          <cell r="X10" t="str">
            <v>n/a</v>
          </cell>
          <cell r="Y10" t="str">
            <v>n/a</v>
          </cell>
          <cell r="Z10" t="str">
            <v>n/a</v>
          </cell>
          <cell r="AA10" t="str">
            <v>n/a</v>
          </cell>
          <cell r="AB10" t="str">
            <v>n/a</v>
          </cell>
          <cell r="AC10" t="str">
            <v>n/a</v>
          </cell>
          <cell r="AD10" t="str">
            <v>n/a</v>
          </cell>
          <cell r="AE10" t="str">
            <v>n/a</v>
          </cell>
          <cell r="AF10" t="str">
            <v>n/a</v>
          </cell>
          <cell r="AG10" t="str">
            <v>n/a</v>
          </cell>
          <cell r="AH10" t="str">
            <v>n/a</v>
          </cell>
          <cell r="AI10" t="str">
            <v>n/a</v>
          </cell>
          <cell r="AJ10" t="str">
            <v>SVE</v>
          </cell>
          <cell r="AK10" t="str">
            <v>FLIREGION</v>
          </cell>
          <cell r="AL10">
            <v>1</v>
          </cell>
          <cell r="AM10">
            <v>1</v>
          </cell>
          <cell r="AN10">
            <v>1</v>
          </cell>
          <cell r="AO10">
            <v>1</v>
          </cell>
          <cell r="AP10">
            <v>1</v>
          </cell>
          <cell r="AQ10">
            <v>1</v>
          </cell>
          <cell r="AR10" t="str">
            <v>n/a</v>
          </cell>
        </row>
        <row r="11">
          <cell r="A11">
            <v>3</v>
          </cell>
          <cell r="B11" t="str">
            <v>Belgium</v>
          </cell>
          <cell r="C11">
            <v>3</v>
          </cell>
          <cell r="D11" t="str">
            <v>FLEAME</v>
          </cell>
          <cell r="E11" t="str">
            <v>FLI3869T</v>
          </cell>
          <cell r="F11" t="str">
            <v>FLI2869T</v>
          </cell>
          <cell r="G11" t="str">
            <v>FLI3869F</v>
          </cell>
          <cell r="H11" t="str">
            <v>FLI2869F</v>
          </cell>
          <cell r="I11" t="str">
            <v>n/a</v>
          </cell>
          <cell r="J11" t="str">
            <v>n/a</v>
          </cell>
          <cell r="K11" t="str">
            <v>n/a</v>
          </cell>
          <cell r="L11" t="str">
            <v>n/a</v>
          </cell>
          <cell r="M11" t="str">
            <v>n/a</v>
          </cell>
          <cell r="N11" t="str">
            <v>n/a</v>
          </cell>
          <cell r="O11" t="str">
            <v>n/a</v>
          </cell>
          <cell r="P11" t="str">
            <v>n/a</v>
          </cell>
          <cell r="Q11" t="str">
            <v>n/a</v>
          </cell>
          <cell r="R11" t="str">
            <v>n/a</v>
          </cell>
          <cell r="S11" t="str">
            <v>n/a</v>
          </cell>
          <cell r="T11" t="str">
            <v>n/a</v>
          </cell>
          <cell r="U11" t="str">
            <v>n/a</v>
          </cell>
          <cell r="V11" t="str">
            <v>n/a</v>
          </cell>
          <cell r="W11" t="str">
            <v>n/a</v>
          </cell>
          <cell r="X11" t="str">
            <v>n/a</v>
          </cell>
          <cell r="Y11" t="str">
            <v>n/a</v>
          </cell>
          <cell r="Z11" t="str">
            <v>n/a</v>
          </cell>
          <cell r="AA11" t="str">
            <v>n/a</v>
          </cell>
          <cell r="AB11" t="str">
            <v>n/a</v>
          </cell>
          <cell r="AC11" t="str">
            <v>n/a</v>
          </cell>
          <cell r="AD11" t="str">
            <v>n/a</v>
          </cell>
          <cell r="AE11" t="str">
            <v>n/a</v>
          </cell>
          <cell r="AF11" t="str">
            <v>n/a</v>
          </cell>
          <cell r="AG11" t="str">
            <v>n/a</v>
          </cell>
          <cell r="AH11" t="str">
            <v>n/a</v>
          </cell>
          <cell r="AI11" t="str">
            <v>n/a</v>
          </cell>
          <cell r="AJ11" t="str">
            <v>SVE</v>
          </cell>
          <cell r="AK11" t="str">
            <v>FLIREGION</v>
          </cell>
          <cell r="AL11">
            <v>0.91533180778032031</v>
          </cell>
          <cell r="AM11">
            <v>0.91258582351486794</v>
          </cell>
          <cell r="AN11">
            <v>0.9096136174707008</v>
          </cell>
          <cell r="AO11">
            <v>0.91533180778032031</v>
          </cell>
          <cell r="AP11">
            <v>0.91258582351486794</v>
          </cell>
          <cell r="AQ11">
            <v>0.9096136174707008</v>
          </cell>
          <cell r="AR11" t="str">
            <v>n/a</v>
          </cell>
        </row>
        <row r="12">
          <cell r="A12">
            <v>4</v>
          </cell>
          <cell r="B12" t="str">
            <v>Cyprus</v>
          </cell>
          <cell r="C12">
            <v>4</v>
          </cell>
          <cell r="D12" t="str">
            <v>FLEAME</v>
          </cell>
          <cell r="E12" t="str">
            <v>FLI3960T</v>
          </cell>
          <cell r="F12" t="str">
            <v>FLI2960T</v>
          </cell>
          <cell r="G12" t="str">
            <v>FLI3960F</v>
          </cell>
          <cell r="H12" t="str">
            <v>FLI2960F</v>
          </cell>
          <cell r="I12" t="str">
            <v>n/a</v>
          </cell>
          <cell r="J12" t="str">
            <v>n/a</v>
          </cell>
          <cell r="K12" t="str">
            <v>n/a</v>
          </cell>
          <cell r="L12" t="str">
            <v>n/a</v>
          </cell>
          <cell r="M12" t="str">
            <v>n/a</v>
          </cell>
          <cell r="N12" t="str">
            <v>n/a</v>
          </cell>
          <cell r="O12" t="str">
            <v>n/a</v>
          </cell>
          <cell r="P12" t="str">
            <v>n/a</v>
          </cell>
          <cell r="Q12" t="str">
            <v>n/a</v>
          </cell>
          <cell r="R12" t="str">
            <v>n/a</v>
          </cell>
          <cell r="S12" t="str">
            <v>n/a</v>
          </cell>
          <cell r="T12" t="str">
            <v>n/a</v>
          </cell>
          <cell r="U12" t="str">
            <v>n/a</v>
          </cell>
          <cell r="V12" t="str">
            <v>n/a</v>
          </cell>
          <cell r="W12" t="str">
            <v>n/a</v>
          </cell>
          <cell r="X12" t="str">
            <v>n/a</v>
          </cell>
          <cell r="Y12" t="str">
            <v>n/a</v>
          </cell>
          <cell r="Z12" t="str">
            <v>n/a</v>
          </cell>
          <cell r="AA12" t="str">
            <v>n/a</v>
          </cell>
          <cell r="AB12" t="str">
            <v>n/a</v>
          </cell>
          <cell r="AC12" t="str">
            <v>n/a</v>
          </cell>
          <cell r="AD12" t="str">
            <v>n/a</v>
          </cell>
          <cell r="AE12" t="str">
            <v>n/a</v>
          </cell>
          <cell r="AF12" t="str">
            <v>n/a</v>
          </cell>
          <cell r="AG12" t="str">
            <v>n/a</v>
          </cell>
          <cell r="AH12" t="str">
            <v>n/a</v>
          </cell>
          <cell r="AI12" t="str">
            <v>n/a</v>
          </cell>
          <cell r="AJ12">
            <v>50</v>
          </cell>
          <cell r="AK12" t="str">
            <v>FLIREGION</v>
          </cell>
          <cell r="AL12">
            <v>0.53596565360582693</v>
          </cell>
          <cell r="AM12">
            <v>0.53721396143692002</v>
          </cell>
          <cell r="AN12">
            <v>0.54071395624093088</v>
          </cell>
          <cell r="AO12">
            <v>0.53596565360582693</v>
          </cell>
          <cell r="AP12">
            <v>0.53721396143692002</v>
          </cell>
          <cell r="AQ12">
            <v>0.54071395624093088</v>
          </cell>
          <cell r="AR12" t="str">
            <v>n/a</v>
          </cell>
        </row>
        <row r="13">
          <cell r="A13">
            <v>5</v>
          </cell>
          <cell r="B13" t="str">
            <v>Egypt</v>
          </cell>
          <cell r="C13">
            <v>5</v>
          </cell>
          <cell r="D13" t="str">
            <v>FLEAME</v>
          </cell>
          <cell r="E13" t="str">
            <v>FLIEGYPT_SYS</v>
          </cell>
          <cell r="F13" t="str">
            <v>FLIEGYPT_SH</v>
          </cell>
          <cell r="I13" t="str">
            <v>n/a</v>
          </cell>
          <cell r="J13" t="str">
            <v>n/a</v>
          </cell>
          <cell r="K13" t="str">
            <v>n/a</v>
          </cell>
          <cell r="L13" t="str">
            <v>n/a</v>
          </cell>
          <cell r="M13" t="str">
            <v>n/a</v>
          </cell>
          <cell r="N13" t="str">
            <v>n/a</v>
          </cell>
          <cell r="O13" t="str">
            <v>n/a</v>
          </cell>
          <cell r="P13" t="str">
            <v>n/a</v>
          </cell>
          <cell r="Q13" t="str">
            <v>n/a</v>
          </cell>
          <cell r="R13" t="str">
            <v>n/a</v>
          </cell>
          <cell r="S13" t="str">
            <v>n/a</v>
          </cell>
          <cell r="T13" t="str">
            <v>n/a</v>
          </cell>
          <cell r="U13" t="str">
            <v>n/a</v>
          </cell>
          <cell r="V13" t="str">
            <v>n/a</v>
          </cell>
          <cell r="W13" t="str">
            <v>n/a</v>
          </cell>
          <cell r="X13" t="str">
            <v>n/a</v>
          </cell>
          <cell r="Y13" t="str">
            <v>n/a</v>
          </cell>
          <cell r="Z13" t="str">
            <v>n/a</v>
          </cell>
          <cell r="AA13" t="str">
            <v>n/a</v>
          </cell>
          <cell r="AB13" t="str">
            <v>n/a</v>
          </cell>
          <cell r="AC13" t="str">
            <v>n/a</v>
          </cell>
          <cell r="AD13" t="str">
            <v>n/a</v>
          </cell>
          <cell r="AE13" t="str">
            <v>n/a</v>
          </cell>
          <cell r="AF13" t="str">
            <v>n/a</v>
          </cell>
          <cell r="AG13" t="str">
            <v>n/a</v>
          </cell>
          <cell r="AH13" t="str">
            <v>n/a</v>
          </cell>
          <cell r="AI13" t="str">
            <v>n/a</v>
          </cell>
          <cell r="AJ13">
            <v>100</v>
          </cell>
          <cell r="AK13" t="str">
            <v>FLIREGION</v>
          </cell>
          <cell r="AL13">
            <v>5.9649999999999999</v>
          </cell>
          <cell r="AM13">
            <v>6.0844882697188698</v>
          </cell>
          <cell r="AN13">
            <v>6.1508682834894399</v>
          </cell>
          <cell r="AO13">
            <v>5.9649999999999999</v>
          </cell>
          <cell r="AP13">
            <v>6.0844882697188698</v>
          </cell>
          <cell r="AQ13">
            <v>6.1508682834894399</v>
          </cell>
          <cell r="AR13" t="str">
            <v>n/a</v>
          </cell>
        </row>
        <row r="14">
          <cell r="A14">
            <v>6</v>
          </cell>
          <cell r="B14" t="str">
            <v>FLTC, Switzerland</v>
          </cell>
          <cell r="C14">
            <v>6</v>
          </cell>
          <cell r="D14" t="str">
            <v>FLEAME</v>
          </cell>
          <cell r="E14" t="str">
            <v>FLI1340T</v>
          </cell>
          <cell r="F14" t="str">
            <v>FLI1340T</v>
          </cell>
          <cell r="G14" t="str">
            <v>FLI1340F</v>
          </cell>
          <cell r="H14" t="str">
            <v>FLI1340F</v>
          </cell>
          <cell r="I14" t="str">
            <v>n/a</v>
          </cell>
          <cell r="J14" t="str">
            <v>n/a</v>
          </cell>
          <cell r="K14" t="str">
            <v>n/a</v>
          </cell>
          <cell r="L14" t="str">
            <v>n/a</v>
          </cell>
          <cell r="M14" t="str">
            <v>n/a</v>
          </cell>
          <cell r="N14" t="str">
            <v>n/a</v>
          </cell>
          <cell r="O14" t="str">
            <v>n/a</v>
          </cell>
          <cell r="P14" t="str">
            <v>n/a</v>
          </cell>
          <cell r="Q14" t="str">
            <v>n/a</v>
          </cell>
          <cell r="R14" t="str">
            <v>n/a</v>
          </cell>
          <cell r="S14" t="str">
            <v>n/a</v>
          </cell>
          <cell r="T14" t="str">
            <v>n/a</v>
          </cell>
          <cell r="U14" t="str">
            <v>n/a</v>
          </cell>
          <cell r="V14" t="str">
            <v>n/a</v>
          </cell>
          <cell r="W14" t="str">
            <v>n/a</v>
          </cell>
          <cell r="X14" t="str">
            <v>n/a</v>
          </cell>
          <cell r="Y14" t="str">
            <v>n/a</v>
          </cell>
          <cell r="Z14" t="str">
            <v>n/a</v>
          </cell>
          <cell r="AA14" t="str">
            <v>n/a</v>
          </cell>
          <cell r="AB14" t="str">
            <v>n/a</v>
          </cell>
          <cell r="AC14" t="str">
            <v>n/a</v>
          </cell>
          <cell r="AD14" t="str">
            <v>n/a</v>
          </cell>
          <cell r="AE14" t="str">
            <v>n/a</v>
          </cell>
          <cell r="AF14" t="str">
            <v>n/a</v>
          </cell>
          <cell r="AG14" t="str">
            <v>n/a</v>
          </cell>
          <cell r="AH14" t="str">
            <v>n/a</v>
          </cell>
          <cell r="AI14" t="str">
            <v>n/a</v>
          </cell>
          <cell r="AJ14">
            <v>100</v>
          </cell>
          <cell r="AK14" t="str">
            <v>FLIREGION</v>
          </cell>
          <cell r="AL14">
            <v>0.6261740763932373</v>
          </cell>
          <cell r="AM14">
            <v>0.62733730182903413</v>
          </cell>
          <cell r="AN14">
            <v>0.62713302395662773</v>
          </cell>
          <cell r="AO14">
            <v>0.6261740763932373</v>
          </cell>
          <cell r="AP14">
            <v>0.62733730182903413</v>
          </cell>
          <cell r="AQ14">
            <v>0.62713302395662773</v>
          </cell>
          <cell r="AR14" t="str">
            <v>n/a</v>
          </cell>
        </row>
        <row r="15">
          <cell r="A15">
            <v>7</v>
          </cell>
          <cell r="B15" t="str">
            <v>FLTCE, Switzerland</v>
          </cell>
          <cell r="C15">
            <v>7</v>
          </cell>
          <cell r="D15" t="str">
            <v>FLEAME</v>
          </cell>
          <cell r="E15" t="str">
            <v>FLI3340T</v>
          </cell>
          <cell r="F15" t="str">
            <v>FLI2340T</v>
          </cell>
          <cell r="G15" t="str">
            <v>FLI3340F</v>
          </cell>
          <cell r="H15" t="str">
            <v>FLI2340F</v>
          </cell>
          <cell r="I15" t="str">
            <v>n/a</v>
          </cell>
          <cell r="J15" t="str">
            <v>n/a</v>
          </cell>
          <cell r="K15" t="str">
            <v>n/a</v>
          </cell>
          <cell r="L15" t="str">
            <v>n/a</v>
          </cell>
          <cell r="M15" t="str">
            <v>n/a</v>
          </cell>
          <cell r="N15" t="str">
            <v>n/a</v>
          </cell>
          <cell r="O15" t="str">
            <v>n/a</v>
          </cell>
          <cell r="P15" t="str">
            <v>n/a</v>
          </cell>
          <cell r="Q15" t="str">
            <v>n/a</v>
          </cell>
          <cell r="R15" t="str">
            <v>n/a</v>
          </cell>
          <cell r="S15" t="str">
            <v>n/a</v>
          </cell>
          <cell r="T15" t="str">
            <v>n/a</v>
          </cell>
          <cell r="U15" t="str">
            <v>n/a</v>
          </cell>
          <cell r="V15" t="str">
            <v>n/a</v>
          </cell>
          <cell r="W15" t="str">
            <v>n/a</v>
          </cell>
          <cell r="X15" t="str">
            <v>n/a</v>
          </cell>
          <cell r="Y15" t="str">
            <v>n/a</v>
          </cell>
          <cell r="Z15" t="str">
            <v>n/a</v>
          </cell>
          <cell r="AA15" t="str">
            <v>n/a</v>
          </cell>
          <cell r="AB15" t="str">
            <v>n/a</v>
          </cell>
          <cell r="AC15" t="str">
            <v>n/a</v>
          </cell>
          <cell r="AD15" t="str">
            <v>n/a</v>
          </cell>
          <cell r="AE15" t="str">
            <v>n/a</v>
          </cell>
          <cell r="AF15" t="str">
            <v>n/a</v>
          </cell>
          <cell r="AG15" t="str">
            <v>n/a</v>
          </cell>
          <cell r="AH15" t="str">
            <v>n/a</v>
          </cell>
          <cell r="AI15" t="str">
            <v>n/a</v>
          </cell>
          <cell r="AJ15" t="str">
            <v>SVE</v>
          </cell>
          <cell r="AK15" t="str">
            <v>FLIREGION</v>
          </cell>
          <cell r="AL15">
            <v>0.91533180778032031</v>
          </cell>
          <cell r="AM15">
            <v>0.91258582351486794</v>
          </cell>
          <cell r="AN15">
            <v>0.9096136174707008</v>
          </cell>
          <cell r="AO15">
            <v>0.91533180778032031</v>
          </cell>
          <cell r="AP15">
            <v>0.91258582351486794</v>
          </cell>
          <cell r="AQ15">
            <v>0.9096136174707008</v>
          </cell>
          <cell r="AR15" t="str">
            <v>n/a</v>
          </cell>
        </row>
        <row r="16">
          <cell r="A16">
            <v>8</v>
          </cell>
          <cell r="B16" t="str">
            <v>France</v>
          </cell>
          <cell r="C16">
            <v>8</v>
          </cell>
          <cell r="D16" t="str">
            <v>FLEAME</v>
          </cell>
          <cell r="E16" t="str">
            <v>FLI3863T</v>
          </cell>
          <cell r="F16" t="str">
            <v>FLI2863T</v>
          </cell>
          <cell r="G16" t="str">
            <v>FLI3863F</v>
          </cell>
          <cell r="H16" t="str">
            <v>FLI2863F</v>
          </cell>
          <cell r="I16" t="str">
            <v>n/a</v>
          </cell>
          <cell r="J16" t="str">
            <v>n/a</v>
          </cell>
          <cell r="K16" t="str">
            <v>n/a</v>
          </cell>
          <cell r="L16" t="str">
            <v>n/a</v>
          </cell>
          <cell r="M16" t="str">
            <v>n/a</v>
          </cell>
          <cell r="N16" t="str">
            <v>n/a</v>
          </cell>
          <cell r="O16" t="str">
            <v>n/a</v>
          </cell>
          <cell r="P16" t="str">
            <v>n/a</v>
          </cell>
          <cell r="Q16" t="str">
            <v>n/a</v>
          </cell>
          <cell r="R16" t="str">
            <v>n/a</v>
          </cell>
          <cell r="S16" t="str">
            <v>n/a</v>
          </cell>
          <cell r="T16" t="str">
            <v>n/a</v>
          </cell>
          <cell r="U16" t="str">
            <v>n/a</v>
          </cell>
          <cell r="V16" t="str">
            <v>n/a</v>
          </cell>
          <cell r="W16" t="str">
            <v>n/a</v>
          </cell>
          <cell r="X16" t="str">
            <v>n/a</v>
          </cell>
          <cell r="Y16" t="str">
            <v>n/a</v>
          </cell>
          <cell r="Z16" t="str">
            <v>n/a</v>
          </cell>
          <cell r="AA16" t="str">
            <v>n/a</v>
          </cell>
          <cell r="AB16" t="str">
            <v>n/a</v>
          </cell>
          <cell r="AC16" t="str">
            <v>n/a</v>
          </cell>
          <cell r="AD16" t="str">
            <v>n/a</v>
          </cell>
          <cell r="AE16" t="str">
            <v>n/a</v>
          </cell>
          <cell r="AF16" t="str">
            <v>n/a</v>
          </cell>
          <cell r="AG16" t="str">
            <v>n/a</v>
          </cell>
          <cell r="AH16" t="str">
            <v>n/a</v>
          </cell>
          <cell r="AI16" t="str">
            <v>n/a</v>
          </cell>
          <cell r="AJ16" t="str">
            <v>SVE</v>
          </cell>
          <cell r="AK16" t="str">
            <v>FLIREGION</v>
          </cell>
          <cell r="AL16">
            <v>0.91533180778032031</v>
          </cell>
          <cell r="AM16">
            <v>0.91258582351486794</v>
          </cell>
          <cell r="AN16">
            <v>0.9096136174707008</v>
          </cell>
          <cell r="AO16">
            <v>0.91533180778032031</v>
          </cell>
          <cell r="AP16">
            <v>0.91258582351486794</v>
          </cell>
          <cell r="AQ16">
            <v>0.9096136174707008</v>
          </cell>
          <cell r="AR16" t="str">
            <v>n/a</v>
          </cell>
        </row>
        <row r="17">
          <cell r="A17">
            <v>9</v>
          </cell>
          <cell r="B17" t="str">
            <v>Greece</v>
          </cell>
          <cell r="C17">
            <v>9</v>
          </cell>
          <cell r="D17" t="str">
            <v>FLEAME</v>
          </cell>
          <cell r="E17" t="str">
            <v>FLI3825T</v>
          </cell>
          <cell r="F17" t="str">
            <v>FLI2825T</v>
          </cell>
          <cell r="G17" t="str">
            <v>FLI3825F</v>
          </cell>
          <cell r="H17" t="str">
            <v>FLI2825F</v>
          </cell>
          <cell r="I17" t="str">
            <v>n/a</v>
          </cell>
          <cell r="J17" t="str">
            <v>n/a</v>
          </cell>
          <cell r="K17" t="str">
            <v>n/a</v>
          </cell>
          <cell r="L17" t="str">
            <v>n/a</v>
          </cell>
          <cell r="M17" t="str">
            <v>n/a</v>
          </cell>
          <cell r="N17" t="str">
            <v>n/a</v>
          </cell>
          <cell r="O17" t="str">
            <v>n/a</v>
          </cell>
          <cell r="P17" t="str">
            <v>n/a</v>
          </cell>
          <cell r="Q17" t="str">
            <v>n/a</v>
          </cell>
          <cell r="R17" t="str">
            <v>n/a</v>
          </cell>
          <cell r="S17" t="str">
            <v>n/a</v>
          </cell>
          <cell r="T17" t="str">
            <v>n/a</v>
          </cell>
          <cell r="U17" t="str">
            <v>n/a</v>
          </cell>
          <cell r="V17" t="str">
            <v>n/a</v>
          </cell>
          <cell r="W17" t="str">
            <v>n/a</v>
          </cell>
          <cell r="X17" t="str">
            <v>n/a</v>
          </cell>
          <cell r="Y17" t="str">
            <v>n/a</v>
          </cell>
          <cell r="Z17" t="str">
            <v>n/a</v>
          </cell>
          <cell r="AA17" t="str">
            <v>n/a</v>
          </cell>
          <cell r="AB17" t="str">
            <v>n/a</v>
          </cell>
          <cell r="AC17" t="str">
            <v>n/a</v>
          </cell>
          <cell r="AD17" t="str">
            <v>n/a</v>
          </cell>
          <cell r="AE17" t="str">
            <v>n/a</v>
          </cell>
          <cell r="AF17" t="str">
            <v>n/a</v>
          </cell>
          <cell r="AG17" t="str">
            <v>n/a</v>
          </cell>
          <cell r="AH17" t="str">
            <v>n/a</v>
          </cell>
          <cell r="AI17" t="str">
            <v>n/a</v>
          </cell>
          <cell r="AJ17" t="str">
            <v>SVE</v>
          </cell>
          <cell r="AK17" t="str">
            <v>FLIREGION</v>
          </cell>
          <cell r="AL17">
            <v>0.91533180778032031</v>
          </cell>
          <cell r="AM17">
            <v>0.91258582351486794</v>
          </cell>
          <cell r="AN17">
            <v>0.9096136174707008</v>
          </cell>
          <cell r="AO17">
            <v>0.91533180778032031</v>
          </cell>
          <cell r="AP17">
            <v>0.91258582351486794</v>
          </cell>
          <cell r="AQ17">
            <v>0.9096136174707008</v>
          </cell>
          <cell r="AR17" t="str">
            <v>n/a</v>
          </cell>
        </row>
        <row r="18">
          <cell r="A18">
            <v>10</v>
          </cell>
          <cell r="B18" t="str">
            <v>Hungary</v>
          </cell>
          <cell r="C18">
            <v>10</v>
          </cell>
          <cell r="D18" t="str">
            <v>FLEAME</v>
          </cell>
          <cell r="E18" t="str">
            <v>FLI3370T</v>
          </cell>
          <cell r="F18" t="str">
            <v>FLI2370T</v>
          </cell>
          <cell r="G18" t="str">
            <v>FLI3370F</v>
          </cell>
          <cell r="H18" t="str">
            <v>FLI2370F</v>
          </cell>
          <cell r="I18" t="str">
            <v>n/a</v>
          </cell>
          <cell r="J18" t="str">
            <v>n/a</v>
          </cell>
          <cell r="K18" t="str">
            <v>n/a</v>
          </cell>
          <cell r="L18" t="str">
            <v>n/a</v>
          </cell>
          <cell r="M18" t="str">
            <v>n/a</v>
          </cell>
          <cell r="N18" t="str">
            <v>n/a</v>
          </cell>
          <cell r="O18" t="str">
            <v>n/a</v>
          </cell>
          <cell r="P18" t="str">
            <v>n/a</v>
          </cell>
          <cell r="Q18" t="str">
            <v>n/a</v>
          </cell>
          <cell r="R18" t="str">
            <v>n/a</v>
          </cell>
          <cell r="S18" t="str">
            <v>n/a</v>
          </cell>
          <cell r="T18" t="str">
            <v>n/a</v>
          </cell>
          <cell r="U18" t="str">
            <v>n/a</v>
          </cell>
          <cell r="V18" t="str">
            <v>n/a</v>
          </cell>
          <cell r="W18" t="str">
            <v>n/a</v>
          </cell>
          <cell r="X18" t="str">
            <v>n/a</v>
          </cell>
          <cell r="Y18" t="str">
            <v>n/a</v>
          </cell>
          <cell r="Z18" t="str">
            <v>n/a</v>
          </cell>
          <cell r="AA18" t="str">
            <v>n/a</v>
          </cell>
          <cell r="AB18" t="str">
            <v>n/a</v>
          </cell>
          <cell r="AC18" t="str">
            <v>n/a</v>
          </cell>
          <cell r="AD18" t="str">
            <v>n/a</v>
          </cell>
          <cell r="AE18" t="str">
            <v>n/a</v>
          </cell>
          <cell r="AF18" t="str">
            <v>n/a</v>
          </cell>
          <cell r="AG18" t="str">
            <v>n/a</v>
          </cell>
          <cell r="AH18" t="str">
            <v>n/a</v>
          </cell>
          <cell r="AI18" t="str">
            <v>n/a</v>
          </cell>
          <cell r="AJ18" t="str">
            <v>SVE</v>
          </cell>
          <cell r="AK18" t="str">
            <v>FLIREGION</v>
          </cell>
          <cell r="AL18">
            <v>222.5</v>
          </cell>
          <cell r="AM18">
            <v>224.81600902514501</v>
          </cell>
          <cell r="AN18">
            <v>227.37028151935203</v>
          </cell>
          <cell r="AO18">
            <v>222.5</v>
          </cell>
          <cell r="AP18">
            <v>224.81600902514501</v>
          </cell>
          <cell r="AQ18">
            <v>227.37028151935203</v>
          </cell>
          <cell r="AR18" t="str">
            <v>n/a</v>
          </cell>
        </row>
        <row r="19">
          <cell r="A19">
            <v>11</v>
          </cell>
          <cell r="B19" t="str">
            <v>Israel</v>
          </cell>
          <cell r="C19">
            <v>11</v>
          </cell>
          <cell r="D19" t="str">
            <v>FLEAME</v>
          </cell>
          <cell r="E19" t="str">
            <v>FLI3140T</v>
          </cell>
          <cell r="F19" t="str">
            <v>FLI2140T</v>
          </cell>
          <cell r="G19" t="str">
            <v>FLI3140F</v>
          </cell>
          <cell r="H19" t="str">
            <v>FLI2140F</v>
          </cell>
          <cell r="I19" t="str">
            <v>n/a</v>
          </cell>
          <cell r="J19" t="str">
            <v>n/a</v>
          </cell>
          <cell r="K19" t="str">
            <v>n/a</v>
          </cell>
          <cell r="L19" t="str">
            <v>n/a</v>
          </cell>
          <cell r="M19" t="str">
            <v>n/a</v>
          </cell>
          <cell r="N19" t="str">
            <v>n/a</v>
          </cell>
          <cell r="O19" t="str">
            <v>n/a</v>
          </cell>
          <cell r="P19" t="str">
            <v>n/a</v>
          </cell>
          <cell r="Q19" t="str">
            <v>n/a</v>
          </cell>
          <cell r="R19" t="str">
            <v>n/a</v>
          </cell>
          <cell r="S19" t="str">
            <v>n/a</v>
          </cell>
          <cell r="T19" t="str">
            <v>n/a</v>
          </cell>
          <cell r="U19" t="str">
            <v>n/a</v>
          </cell>
          <cell r="V19" t="str">
            <v>n/a</v>
          </cell>
          <cell r="W19" t="str">
            <v>n/a</v>
          </cell>
          <cell r="X19" t="str">
            <v>n/a</v>
          </cell>
          <cell r="Y19" t="str">
            <v>n/a</v>
          </cell>
          <cell r="Z19" t="str">
            <v>n/a</v>
          </cell>
          <cell r="AA19" t="str">
            <v>n/a</v>
          </cell>
          <cell r="AB19" t="str">
            <v>n/a</v>
          </cell>
          <cell r="AC19" t="str">
            <v>n/a</v>
          </cell>
          <cell r="AD19" t="str">
            <v>n/a</v>
          </cell>
          <cell r="AE19" t="str">
            <v>n/a</v>
          </cell>
          <cell r="AF19" t="str">
            <v>n/a</v>
          </cell>
          <cell r="AG19" t="str">
            <v>n/a</v>
          </cell>
          <cell r="AH19" t="str">
            <v>n/a</v>
          </cell>
          <cell r="AI19" t="str">
            <v>n/a</v>
          </cell>
          <cell r="AJ19">
            <v>50</v>
          </cell>
          <cell r="AK19" t="str">
            <v>FLIREGION</v>
          </cell>
          <cell r="AL19">
            <v>4.875</v>
          </cell>
          <cell r="AM19">
            <v>4.9059293836536098</v>
          </cell>
          <cell r="AN19">
            <v>4.9378919322547397</v>
          </cell>
          <cell r="AO19">
            <v>4.875</v>
          </cell>
          <cell r="AP19">
            <v>4.9059293836536098</v>
          </cell>
          <cell r="AQ19">
            <v>4.9378919322547397</v>
          </cell>
          <cell r="AR19" t="str">
            <v>n/a</v>
          </cell>
        </row>
        <row r="20">
          <cell r="A20">
            <v>12</v>
          </cell>
          <cell r="B20" t="str">
            <v>Netherlands</v>
          </cell>
          <cell r="C20">
            <v>12</v>
          </cell>
          <cell r="D20" t="str">
            <v>FLEAME</v>
          </cell>
          <cell r="E20" t="str">
            <v>FLI3835T</v>
          </cell>
          <cell r="F20" t="str">
            <v>FLI2835T</v>
          </cell>
          <cell r="G20" t="str">
            <v>FLI3835F</v>
          </cell>
          <cell r="H20" t="str">
            <v>FLI2835F</v>
          </cell>
          <cell r="I20" t="str">
            <v>n/a</v>
          </cell>
          <cell r="J20" t="str">
            <v>n/a</v>
          </cell>
          <cell r="K20" t="str">
            <v>n/a</v>
          </cell>
          <cell r="L20" t="str">
            <v>n/a</v>
          </cell>
          <cell r="M20" t="str">
            <v>n/a</v>
          </cell>
          <cell r="N20" t="str">
            <v>n/a</v>
          </cell>
          <cell r="O20" t="str">
            <v>n/a</v>
          </cell>
          <cell r="P20" t="str">
            <v>n/a</v>
          </cell>
          <cell r="Q20" t="str">
            <v>n/a</v>
          </cell>
          <cell r="R20" t="str">
            <v>n/a</v>
          </cell>
          <cell r="S20" t="str">
            <v>n/a</v>
          </cell>
          <cell r="T20" t="str">
            <v>n/a</v>
          </cell>
          <cell r="U20" t="str">
            <v>n/a</v>
          </cell>
          <cell r="V20" t="str">
            <v>n/a</v>
          </cell>
          <cell r="W20" t="str">
            <v>n/a</v>
          </cell>
          <cell r="X20" t="str">
            <v>n/a</v>
          </cell>
          <cell r="Y20" t="str">
            <v>n/a</v>
          </cell>
          <cell r="Z20" t="str">
            <v>n/a</v>
          </cell>
          <cell r="AA20" t="str">
            <v>n/a</v>
          </cell>
          <cell r="AB20" t="str">
            <v>n/a</v>
          </cell>
          <cell r="AC20" t="str">
            <v>n/a</v>
          </cell>
          <cell r="AD20" t="str">
            <v>n/a</v>
          </cell>
          <cell r="AE20" t="str">
            <v>n/a</v>
          </cell>
          <cell r="AF20" t="str">
            <v>n/a</v>
          </cell>
          <cell r="AG20" t="str">
            <v>n/a</v>
          </cell>
          <cell r="AH20" t="str">
            <v>n/a</v>
          </cell>
          <cell r="AI20" t="str">
            <v>n/a</v>
          </cell>
          <cell r="AJ20" t="str">
            <v>SVE</v>
          </cell>
          <cell r="AK20" t="str">
            <v>FLIREGION</v>
          </cell>
          <cell r="AL20">
            <v>0.91533180778032031</v>
          </cell>
          <cell r="AM20">
            <v>0.91258582351486794</v>
          </cell>
          <cell r="AN20">
            <v>0.9096136174707008</v>
          </cell>
          <cell r="AO20">
            <v>0.91533180778032031</v>
          </cell>
          <cell r="AP20">
            <v>0.91258582351486794</v>
          </cell>
          <cell r="AQ20">
            <v>0.9096136174707008</v>
          </cell>
          <cell r="AR20" t="str">
            <v>n/a</v>
          </cell>
        </row>
        <row r="21">
          <cell r="A21">
            <v>13</v>
          </cell>
          <cell r="B21" t="str">
            <v>Poland</v>
          </cell>
          <cell r="C21">
            <v>13</v>
          </cell>
          <cell r="D21" t="str">
            <v>FLEAME</v>
          </cell>
          <cell r="E21" t="str">
            <v>FLI1320T</v>
          </cell>
          <cell r="F21" t="str">
            <v>FLI1320T</v>
          </cell>
          <cell r="G21" t="str">
            <v>FLI1320F</v>
          </cell>
          <cell r="H21" t="str">
            <v>FLI1320F</v>
          </cell>
          <cell r="I21" t="str">
            <v>n/a</v>
          </cell>
          <cell r="J21" t="str">
            <v>n/a</v>
          </cell>
          <cell r="K21" t="str">
            <v>n/a</v>
          </cell>
          <cell r="L21" t="str">
            <v>n/a</v>
          </cell>
          <cell r="M21" t="str">
            <v>n/a</v>
          </cell>
          <cell r="N21" t="str">
            <v>n/a</v>
          </cell>
          <cell r="O21" t="str">
            <v>n/a</v>
          </cell>
          <cell r="P21" t="str">
            <v>n/a</v>
          </cell>
          <cell r="Q21" t="str">
            <v>n/a</v>
          </cell>
          <cell r="R21" t="str">
            <v>n/a</v>
          </cell>
          <cell r="S21" t="str">
            <v>n/a</v>
          </cell>
          <cell r="T21" t="str">
            <v>n/a</v>
          </cell>
          <cell r="U21" t="str">
            <v>n/a</v>
          </cell>
          <cell r="V21" t="str">
            <v>n/a</v>
          </cell>
          <cell r="W21" t="str">
            <v>n/a</v>
          </cell>
          <cell r="X21" t="str">
            <v>n/a</v>
          </cell>
          <cell r="Y21" t="str">
            <v>n/a</v>
          </cell>
          <cell r="Z21" t="str">
            <v>n/a</v>
          </cell>
          <cell r="AA21" t="str">
            <v>n/a</v>
          </cell>
          <cell r="AB21" t="str">
            <v>n/a</v>
          </cell>
          <cell r="AC21" t="str">
            <v>n/a</v>
          </cell>
          <cell r="AD21" t="str">
            <v>n/a</v>
          </cell>
          <cell r="AE21" t="str">
            <v>n/a</v>
          </cell>
          <cell r="AF21" t="str">
            <v>n/a</v>
          </cell>
          <cell r="AG21" t="str">
            <v>n/a</v>
          </cell>
          <cell r="AH21" t="str">
            <v>n/a</v>
          </cell>
          <cell r="AI21" t="str">
            <v>n/a</v>
          </cell>
          <cell r="AJ21">
            <v>100</v>
          </cell>
          <cell r="AK21" t="str">
            <v>FLIREGION</v>
          </cell>
          <cell r="AL21">
            <v>3.8865000000000003</v>
          </cell>
          <cell r="AM21">
            <v>3.9438054002336105</v>
          </cell>
          <cell r="AN21">
            <v>3.9598336375744903</v>
          </cell>
          <cell r="AO21">
            <v>3.8865000000000003</v>
          </cell>
          <cell r="AP21">
            <v>3.9438054002336105</v>
          </cell>
          <cell r="AQ21">
            <v>3.9598336375744903</v>
          </cell>
          <cell r="AR21" t="str">
            <v>n/a</v>
          </cell>
        </row>
        <row r="22">
          <cell r="A22">
            <v>14</v>
          </cell>
          <cell r="B22" t="str">
            <v>Portugal</v>
          </cell>
          <cell r="C22">
            <v>14</v>
          </cell>
          <cell r="D22" t="str">
            <v>FLEAME</v>
          </cell>
          <cell r="E22" t="str">
            <v>FLI3815T</v>
          </cell>
          <cell r="F22" t="str">
            <v>FLI2815T</v>
          </cell>
          <cell r="G22" t="str">
            <v>FLI3815F</v>
          </cell>
          <cell r="H22" t="str">
            <v>FLI2815F</v>
          </cell>
          <cell r="I22" t="str">
            <v>n/a</v>
          </cell>
          <cell r="J22" t="str">
            <v>n/a</v>
          </cell>
          <cell r="K22" t="str">
            <v>n/a</v>
          </cell>
          <cell r="L22" t="str">
            <v>n/a</v>
          </cell>
          <cell r="M22" t="str">
            <v>n/a</v>
          </cell>
          <cell r="N22" t="str">
            <v>n/a</v>
          </cell>
          <cell r="O22" t="str">
            <v>n/a</v>
          </cell>
          <cell r="P22" t="str">
            <v>n/a</v>
          </cell>
          <cell r="Q22" t="str">
            <v>n/a</v>
          </cell>
          <cell r="R22" t="str">
            <v>n/a</v>
          </cell>
          <cell r="S22" t="str">
            <v>n/a</v>
          </cell>
          <cell r="T22" t="str">
            <v>n/a</v>
          </cell>
          <cell r="U22" t="str">
            <v>n/a</v>
          </cell>
          <cell r="V22" t="str">
            <v>n/a</v>
          </cell>
          <cell r="W22" t="str">
            <v>n/a</v>
          </cell>
          <cell r="X22" t="str">
            <v>n/a</v>
          </cell>
          <cell r="Y22" t="str">
            <v>n/a</v>
          </cell>
          <cell r="Z22" t="str">
            <v>n/a</v>
          </cell>
          <cell r="AA22" t="str">
            <v>n/a</v>
          </cell>
          <cell r="AB22" t="str">
            <v>n/a</v>
          </cell>
          <cell r="AC22" t="str">
            <v>n/a</v>
          </cell>
          <cell r="AD22" t="str">
            <v>n/a</v>
          </cell>
          <cell r="AE22" t="str">
            <v>n/a</v>
          </cell>
          <cell r="AF22" t="str">
            <v>n/a</v>
          </cell>
          <cell r="AG22" t="str">
            <v>n/a</v>
          </cell>
          <cell r="AH22" t="str">
            <v>n/a</v>
          </cell>
          <cell r="AI22" t="str">
            <v>n/a</v>
          </cell>
          <cell r="AJ22" t="str">
            <v>SVE</v>
          </cell>
          <cell r="AK22" t="str">
            <v>FLIREGION</v>
          </cell>
          <cell r="AL22">
            <v>0.91533180778032031</v>
          </cell>
          <cell r="AM22">
            <v>0.91258582351486794</v>
          </cell>
          <cell r="AN22">
            <v>0.9096136174707008</v>
          </cell>
          <cell r="AO22">
            <v>0.91533180778032031</v>
          </cell>
          <cell r="AP22">
            <v>0.91258582351486794</v>
          </cell>
          <cell r="AQ22">
            <v>0.9096136174707008</v>
          </cell>
          <cell r="AR22" t="str">
            <v>n/a</v>
          </cell>
        </row>
        <row r="23">
          <cell r="A23">
            <v>15</v>
          </cell>
          <cell r="B23" t="str">
            <v>Quaker Reported</v>
          </cell>
          <cell r="C23">
            <v>15</v>
          </cell>
          <cell r="D23" t="str">
            <v>FLEAME</v>
          </cell>
          <cell r="E23" t="str">
            <v>QF4440T</v>
          </cell>
          <cell r="F23" t="str">
            <v>QF4440T</v>
          </cell>
          <cell r="G23" t="str">
            <v>QF4440T</v>
          </cell>
          <cell r="H23" t="str">
            <v>QF4440T</v>
          </cell>
          <cell r="I23" t="str">
            <v>n/a</v>
          </cell>
          <cell r="J23" t="str">
            <v>n/a</v>
          </cell>
          <cell r="K23" t="str">
            <v>n/a</v>
          </cell>
          <cell r="L23" t="str">
            <v>n/a</v>
          </cell>
          <cell r="M23" t="str">
            <v>n/a</v>
          </cell>
          <cell r="N23" t="str">
            <v>n/a</v>
          </cell>
          <cell r="O23" t="str">
            <v>n/a</v>
          </cell>
          <cell r="P23" t="str">
            <v>n/a</v>
          </cell>
          <cell r="Q23" t="str">
            <v>n/a</v>
          </cell>
          <cell r="R23" t="str">
            <v>n/a</v>
          </cell>
          <cell r="S23" t="str">
            <v>n/a</v>
          </cell>
          <cell r="T23" t="str">
            <v>n/a</v>
          </cell>
          <cell r="U23" t="str">
            <v>n/a</v>
          </cell>
          <cell r="V23" t="str">
            <v>n/a</v>
          </cell>
          <cell r="W23" t="str">
            <v>n/a</v>
          </cell>
          <cell r="X23" t="str">
            <v>n/a</v>
          </cell>
          <cell r="Y23" t="str">
            <v>n/a</v>
          </cell>
          <cell r="Z23" t="str">
            <v>n/a</v>
          </cell>
          <cell r="AA23" t="str">
            <v>n/a</v>
          </cell>
          <cell r="AB23" t="str">
            <v>n/a</v>
          </cell>
          <cell r="AC23" t="str">
            <v>n/a</v>
          </cell>
          <cell r="AD23" t="str">
            <v>n/a</v>
          </cell>
          <cell r="AE23" t="str">
            <v>n/a</v>
          </cell>
          <cell r="AF23" t="str">
            <v>n/a</v>
          </cell>
          <cell r="AG23" t="str">
            <v>n/a</v>
          </cell>
          <cell r="AH23" t="str">
            <v>n/a</v>
          </cell>
          <cell r="AI23" t="str">
            <v>n/a</v>
          </cell>
          <cell r="AJ23">
            <v>100</v>
          </cell>
          <cell r="AK23" t="str">
            <v>FLIREGION</v>
          </cell>
          <cell r="AL23">
            <v>1</v>
          </cell>
          <cell r="AM23">
            <v>1</v>
          </cell>
          <cell r="AN23">
            <v>1</v>
          </cell>
          <cell r="AO23">
            <v>1</v>
          </cell>
          <cell r="AP23">
            <v>1</v>
          </cell>
          <cell r="AQ23">
            <v>1</v>
          </cell>
          <cell r="AR23" t="str">
            <v>n/a</v>
          </cell>
        </row>
        <row r="24">
          <cell r="A24">
            <v>16</v>
          </cell>
          <cell r="B24" t="str">
            <v>Region HQ, UK</v>
          </cell>
          <cell r="C24">
            <v>16</v>
          </cell>
          <cell r="D24" t="str">
            <v>FLEAME</v>
          </cell>
          <cell r="E24" t="str">
            <v>FLI9300T</v>
          </cell>
          <cell r="F24" t="str">
            <v>FLI9300T</v>
          </cell>
          <cell r="G24" t="str">
            <v>FLI9300F</v>
          </cell>
          <cell r="H24" t="str">
            <v>FLI9300F</v>
          </cell>
          <cell r="I24" t="str">
            <v>n/a</v>
          </cell>
          <cell r="J24" t="str">
            <v>n/a</v>
          </cell>
          <cell r="K24" t="str">
            <v>n/a</v>
          </cell>
          <cell r="L24" t="str">
            <v>n/a</v>
          </cell>
          <cell r="M24" t="str">
            <v>n/a</v>
          </cell>
          <cell r="N24" t="str">
            <v>n/a</v>
          </cell>
          <cell r="O24" t="str">
            <v>n/a</v>
          </cell>
          <cell r="P24" t="str">
            <v>n/a</v>
          </cell>
          <cell r="Q24" t="str">
            <v>n/a</v>
          </cell>
          <cell r="R24" t="str">
            <v>n/a</v>
          </cell>
          <cell r="S24" t="str">
            <v>n/a</v>
          </cell>
          <cell r="T24" t="str">
            <v>n/a</v>
          </cell>
          <cell r="U24" t="str">
            <v>n/a</v>
          </cell>
          <cell r="V24" t="str">
            <v>n/a</v>
          </cell>
          <cell r="W24" t="str">
            <v>n/a</v>
          </cell>
          <cell r="X24" t="str">
            <v>n/a</v>
          </cell>
          <cell r="Y24" t="str">
            <v>n/a</v>
          </cell>
          <cell r="Z24" t="str">
            <v>n/a</v>
          </cell>
          <cell r="AA24" t="str">
            <v>n/a</v>
          </cell>
          <cell r="AB24" t="str">
            <v>n/a</v>
          </cell>
          <cell r="AC24" t="str">
            <v>n/a</v>
          </cell>
          <cell r="AD24" t="str">
            <v>n/a</v>
          </cell>
          <cell r="AE24" t="str">
            <v>n/a</v>
          </cell>
          <cell r="AF24" t="str">
            <v>n/a</v>
          </cell>
          <cell r="AG24" t="str">
            <v>n/a</v>
          </cell>
          <cell r="AH24" t="str">
            <v>n/a</v>
          </cell>
          <cell r="AI24" t="str">
            <v>n/a</v>
          </cell>
          <cell r="AJ24">
            <v>100</v>
          </cell>
          <cell r="AK24" t="str">
            <v>FLIREGION</v>
          </cell>
          <cell r="AL24">
            <v>0.6261740763932373</v>
          </cell>
          <cell r="AM24">
            <v>0.62733730182903413</v>
          </cell>
          <cell r="AN24">
            <v>0.62713302395662773</v>
          </cell>
          <cell r="AO24">
            <v>0.6261740763932373</v>
          </cell>
          <cell r="AP24">
            <v>0.62733730182903413</v>
          </cell>
          <cell r="AQ24">
            <v>0.62713302395662773</v>
          </cell>
          <cell r="AR24" t="str">
            <v>n/a</v>
          </cell>
        </row>
        <row r="25">
          <cell r="A25">
            <v>17</v>
          </cell>
          <cell r="B25" t="str">
            <v>Russia</v>
          </cell>
          <cell r="C25">
            <v>17</v>
          </cell>
          <cell r="D25" t="str">
            <v>FLEAME</v>
          </cell>
          <cell r="E25" t="str">
            <v>FLI3380T</v>
          </cell>
          <cell r="F25" t="str">
            <v>FLI2380T</v>
          </cell>
          <cell r="G25" t="str">
            <v>FLI3380F</v>
          </cell>
          <cell r="H25" t="str">
            <v>FLI2380F</v>
          </cell>
          <cell r="I25" t="str">
            <v>n/a</v>
          </cell>
          <cell r="J25" t="str">
            <v>n/a</v>
          </cell>
          <cell r="K25" t="str">
            <v>n/a</v>
          </cell>
          <cell r="L25" t="str">
            <v>n/a</v>
          </cell>
          <cell r="M25" t="str">
            <v>n/a</v>
          </cell>
          <cell r="N25" t="str">
            <v>n/a</v>
          </cell>
          <cell r="O25" t="str">
            <v>n/a</v>
          </cell>
          <cell r="P25" t="str">
            <v>n/a</v>
          </cell>
          <cell r="Q25" t="str">
            <v>n/a</v>
          </cell>
          <cell r="R25" t="str">
            <v>n/a</v>
          </cell>
          <cell r="S25" t="str">
            <v>n/a</v>
          </cell>
          <cell r="T25" t="str">
            <v>n/a</v>
          </cell>
          <cell r="U25" t="str">
            <v>n/a</v>
          </cell>
          <cell r="V25" t="str">
            <v>n/a</v>
          </cell>
          <cell r="W25" t="str">
            <v>n/a</v>
          </cell>
          <cell r="X25" t="str">
            <v>n/a</v>
          </cell>
          <cell r="Y25" t="str">
            <v>n/a</v>
          </cell>
          <cell r="Z25" t="str">
            <v>n/a</v>
          </cell>
          <cell r="AA25" t="str">
            <v>n/a</v>
          </cell>
          <cell r="AB25" t="str">
            <v>n/a</v>
          </cell>
          <cell r="AC25" t="str">
            <v>n/a</v>
          </cell>
          <cell r="AD25" t="str">
            <v>n/a</v>
          </cell>
          <cell r="AE25" t="str">
            <v>n/a</v>
          </cell>
          <cell r="AF25" t="str">
            <v>n/a</v>
          </cell>
          <cell r="AG25" t="str">
            <v>n/a</v>
          </cell>
          <cell r="AH25" t="str">
            <v>n/a</v>
          </cell>
          <cell r="AI25" t="str">
            <v>n/a</v>
          </cell>
          <cell r="AJ25" t="str">
            <v>SVE</v>
          </cell>
          <cell r="AK25" t="str">
            <v>FLIREGION</v>
          </cell>
          <cell r="AL25">
            <v>33.984999999999999</v>
          </cell>
          <cell r="AM25">
            <v>36.3778581994872</v>
          </cell>
          <cell r="AN25">
            <v>39.273773046121697</v>
          </cell>
          <cell r="AO25">
            <v>33.984999999999999</v>
          </cell>
          <cell r="AP25">
            <v>36.3778581994872</v>
          </cell>
          <cell r="AQ25">
            <v>39.273773046121697</v>
          </cell>
          <cell r="AR25" t="str">
            <v>n/a</v>
          </cell>
        </row>
        <row r="26">
          <cell r="A26">
            <v>18</v>
          </cell>
          <cell r="B26" t="str">
            <v>Saudi</v>
          </cell>
          <cell r="C26">
            <v>18</v>
          </cell>
          <cell r="D26" t="str">
            <v>FLEAME</v>
          </cell>
          <cell r="E26" t="str">
            <v>FLI3160T</v>
          </cell>
          <cell r="F26" t="str">
            <v>FLI2160T</v>
          </cell>
          <cell r="G26" t="str">
            <v>FLI3160F</v>
          </cell>
          <cell r="H26" t="str">
            <v>FLI2160F</v>
          </cell>
          <cell r="I26" t="str">
            <v>n/a</v>
          </cell>
          <cell r="J26" t="str">
            <v>n/a</v>
          </cell>
          <cell r="K26" t="str">
            <v>n/a</v>
          </cell>
          <cell r="L26" t="str">
            <v>n/a</v>
          </cell>
          <cell r="M26" t="str">
            <v>n/a</v>
          </cell>
          <cell r="N26" t="str">
            <v>n/a</v>
          </cell>
          <cell r="O26" t="str">
            <v>n/a</v>
          </cell>
          <cell r="P26" t="str">
            <v>n/a</v>
          </cell>
          <cell r="Q26" t="str">
            <v>n/a</v>
          </cell>
          <cell r="R26" t="str">
            <v>n/a</v>
          </cell>
          <cell r="S26" t="str">
            <v>n/a</v>
          </cell>
          <cell r="T26" t="str">
            <v>n/a</v>
          </cell>
          <cell r="U26" t="str">
            <v>n/a</v>
          </cell>
          <cell r="V26" t="str">
            <v>n/a</v>
          </cell>
          <cell r="W26" t="str">
            <v>n/a</v>
          </cell>
          <cell r="X26" t="str">
            <v>n/a</v>
          </cell>
          <cell r="Y26" t="str">
            <v>n/a</v>
          </cell>
          <cell r="Z26" t="str">
            <v>n/a</v>
          </cell>
          <cell r="AA26" t="str">
            <v>n/a</v>
          </cell>
          <cell r="AB26" t="str">
            <v>n/a</v>
          </cell>
          <cell r="AC26" t="str">
            <v>n/a</v>
          </cell>
          <cell r="AD26" t="str">
            <v>n/a</v>
          </cell>
          <cell r="AE26" t="str">
            <v>n/a</v>
          </cell>
          <cell r="AF26" t="str">
            <v>n/a</v>
          </cell>
          <cell r="AG26" t="str">
            <v>n/a</v>
          </cell>
          <cell r="AH26" t="str">
            <v>n/a</v>
          </cell>
          <cell r="AI26" t="str">
            <v>n/a</v>
          </cell>
          <cell r="AJ26">
            <v>49</v>
          </cell>
          <cell r="AK26" t="str">
            <v>FLIREGION</v>
          </cell>
          <cell r="AL26">
            <v>3.7489999999999997</v>
          </cell>
          <cell r="AM26">
            <v>3.7489999999999997</v>
          </cell>
          <cell r="AN26">
            <v>3.7495000000000003</v>
          </cell>
          <cell r="AO26">
            <v>3.7489999999999997</v>
          </cell>
          <cell r="AP26">
            <v>3.7489999999999997</v>
          </cell>
          <cell r="AQ26">
            <v>3.7495000000000003</v>
          </cell>
          <cell r="AR26" t="str">
            <v>n/a</v>
          </cell>
        </row>
        <row r="27">
          <cell r="A27">
            <v>19</v>
          </cell>
          <cell r="B27" t="str">
            <v>South Africa</v>
          </cell>
          <cell r="C27">
            <v>19</v>
          </cell>
          <cell r="D27" t="str">
            <v>FLEAME</v>
          </cell>
          <cell r="E27" t="str">
            <v>FLI1920T</v>
          </cell>
          <cell r="F27" t="str">
            <v>FLI1920T</v>
          </cell>
          <cell r="G27" t="str">
            <v>FLI1920F</v>
          </cell>
          <cell r="H27" t="str">
            <v>FLI1920F</v>
          </cell>
          <cell r="I27" t="str">
            <v>n/a</v>
          </cell>
          <cell r="J27" t="str">
            <v>n/a</v>
          </cell>
          <cell r="K27" t="str">
            <v>n/a</v>
          </cell>
          <cell r="L27" t="str">
            <v>n/a</v>
          </cell>
          <cell r="M27" t="str">
            <v>n/a</v>
          </cell>
          <cell r="N27" t="str">
            <v>n/a</v>
          </cell>
          <cell r="O27" t="str">
            <v>n/a</v>
          </cell>
          <cell r="P27" t="str">
            <v>n/a</v>
          </cell>
          <cell r="Q27" t="str">
            <v>n/a</v>
          </cell>
          <cell r="R27" t="str">
            <v>n/a</v>
          </cell>
          <cell r="S27" t="str">
            <v>n/a</v>
          </cell>
          <cell r="T27" t="str">
            <v>n/a</v>
          </cell>
          <cell r="U27" t="str">
            <v>n/a</v>
          </cell>
          <cell r="V27" t="str">
            <v>n/a</v>
          </cell>
          <cell r="W27" t="str">
            <v>n/a</v>
          </cell>
          <cell r="X27" t="str">
            <v>n/a</v>
          </cell>
          <cell r="Y27" t="str">
            <v>n/a</v>
          </cell>
          <cell r="Z27" t="str">
            <v>n/a</v>
          </cell>
          <cell r="AA27" t="str">
            <v>n/a</v>
          </cell>
          <cell r="AB27" t="str">
            <v>n/a</v>
          </cell>
          <cell r="AC27" t="str">
            <v>n/a</v>
          </cell>
          <cell r="AD27" t="str">
            <v>n/a</v>
          </cell>
          <cell r="AE27" t="str">
            <v>n/a</v>
          </cell>
          <cell r="AF27" t="str">
            <v>n/a</v>
          </cell>
          <cell r="AG27" t="str">
            <v>n/a</v>
          </cell>
          <cell r="AH27" t="str">
            <v>n/a</v>
          </cell>
          <cell r="AI27" t="str">
            <v>n/a</v>
          </cell>
          <cell r="AJ27">
            <v>100</v>
          </cell>
          <cell r="AK27" t="str">
            <v>FLIREGION</v>
          </cell>
          <cell r="AL27">
            <v>9.0879999999999992</v>
          </cell>
          <cell r="AM27">
            <v>9.4261420824444109</v>
          </cell>
          <cell r="AN27">
            <v>9.5332382610131905</v>
          </cell>
          <cell r="AO27">
            <v>9.0879999999999992</v>
          </cell>
          <cell r="AP27">
            <v>9.4261420824444109</v>
          </cell>
          <cell r="AQ27">
            <v>9.5332382610131905</v>
          </cell>
          <cell r="AR27" t="str">
            <v>n/a</v>
          </cell>
        </row>
        <row r="28">
          <cell r="A28">
            <v>20</v>
          </cell>
          <cell r="B28" t="str">
            <v>Spain</v>
          </cell>
          <cell r="C28">
            <v>20</v>
          </cell>
          <cell r="D28" t="str">
            <v>FLEAME</v>
          </cell>
          <cell r="E28" t="str">
            <v>FLI3808T</v>
          </cell>
          <cell r="F28" t="str">
            <v>FLI2808T</v>
          </cell>
          <cell r="G28" t="str">
            <v>FLI3808F</v>
          </cell>
          <cell r="H28" t="str">
            <v>FLI2808F</v>
          </cell>
          <cell r="I28" t="str">
            <v>n/a</v>
          </cell>
          <cell r="J28" t="str">
            <v>n/a</v>
          </cell>
          <cell r="K28" t="str">
            <v>n/a</v>
          </cell>
          <cell r="L28" t="str">
            <v>n/a</v>
          </cell>
          <cell r="M28" t="str">
            <v>n/a</v>
          </cell>
          <cell r="N28" t="str">
            <v>n/a</v>
          </cell>
          <cell r="O28" t="str">
            <v>n/a</v>
          </cell>
          <cell r="P28" t="str">
            <v>n/a</v>
          </cell>
          <cell r="Q28" t="str">
            <v>n/a</v>
          </cell>
          <cell r="R28" t="str">
            <v>n/a</v>
          </cell>
          <cell r="S28" t="str">
            <v>n/a</v>
          </cell>
          <cell r="T28" t="str">
            <v>n/a</v>
          </cell>
          <cell r="U28" t="str">
            <v>n/a</v>
          </cell>
          <cell r="V28" t="str">
            <v>n/a</v>
          </cell>
          <cell r="W28" t="str">
            <v>n/a</v>
          </cell>
          <cell r="X28" t="str">
            <v>n/a</v>
          </cell>
          <cell r="Y28" t="str">
            <v>n/a</v>
          </cell>
          <cell r="Z28" t="str">
            <v>n/a</v>
          </cell>
          <cell r="AA28" t="str">
            <v>n/a</v>
          </cell>
          <cell r="AB28" t="str">
            <v>n/a</v>
          </cell>
          <cell r="AC28" t="str">
            <v>n/a</v>
          </cell>
          <cell r="AD28" t="str">
            <v>n/a</v>
          </cell>
          <cell r="AE28" t="str">
            <v>n/a</v>
          </cell>
          <cell r="AF28" t="str">
            <v>n/a</v>
          </cell>
          <cell r="AG28" t="str">
            <v>n/a</v>
          </cell>
          <cell r="AH28" t="str">
            <v>n/a</v>
          </cell>
          <cell r="AI28" t="str">
            <v>n/a</v>
          </cell>
          <cell r="AJ28" t="str">
            <v>SVE</v>
          </cell>
          <cell r="AK28" t="str">
            <v>FLIREGION</v>
          </cell>
          <cell r="AL28">
            <v>0.91533180778032031</v>
          </cell>
          <cell r="AM28">
            <v>0.91258582351486794</v>
          </cell>
          <cell r="AN28">
            <v>0.9096136174707008</v>
          </cell>
          <cell r="AO28">
            <v>0.91533180778032031</v>
          </cell>
          <cell r="AP28">
            <v>0.91258582351486794</v>
          </cell>
          <cell r="AQ28">
            <v>0.9096136174707008</v>
          </cell>
          <cell r="AR28" t="str">
            <v>n/a</v>
          </cell>
        </row>
        <row r="29">
          <cell r="A29">
            <v>21</v>
          </cell>
          <cell r="B29" t="str">
            <v>SVE Region HQ, UK</v>
          </cell>
          <cell r="C29">
            <v>21</v>
          </cell>
          <cell r="D29" t="str">
            <v>FLEAME</v>
          </cell>
          <cell r="E29" t="str">
            <v>FLI3880T</v>
          </cell>
          <cell r="F29" t="str">
            <v>FLI2880T</v>
          </cell>
          <cell r="G29" t="str">
            <v>FLI3880F</v>
          </cell>
          <cell r="H29" t="str">
            <v>FLI2880F</v>
          </cell>
          <cell r="I29" t="str">
            <v>n/a</v>
          </cell>
          <cell r="J29" t="str">
            <v>n/a</v>
          </cell>
          <cell r="K29" t="str">
            <v>n/a</v>
          </cell>
          <cell r="L29" t="str">
            <v>n/a</v>
          </cell>
          <cell r="M29" t="str">
            <v>n/a</v>
          </cell>
          <cell r="N29" t="str">
            <v>n/a</v>
          </cell>
          <cell r="O29" t="str">
            <v>n/a</v>
          </cell>
          <cell r="P29" t="str">
            <v>n/a</v>
          </cell>
          <cell r="Q29" t="str">
            <v>n/a</v>
          </cell>
          <cell r="R29" t="str">
            <v>n/a</v>
          </cell>
          <cell r="S29" t="str">
            <v>n/a</v>
          </cell>
          <cell r="T29" t="str">
            <v>n/a</v>
          </cell>
          <cell r="U29" t="str">
            <v>n/a</v>
          </cell>
          <cell r="V29" t="str">
            <v>n/a</v>
          </cell>
          <cell r="W29" t="str">
            <v>n/a</v>
          </cell>
          <cell r="X29" t="str">
            <v>n/a</v>
          </cell>
          <cell r="Y29" t="str">
            <v>n/a</v>
          </cell>
          <cell r="Z29" t="str">
            <v>n/a</v>
          </cell>
          <cell r="AA29" t="str">
            <v>n/a</v>
          </cell>
          <cell r="AB29" t="str">
            <v>n/a</v>
          </cell>
          <cell r="AC29" t="str">
            <v>n/a</v>
          </cell>
          <cell r="AD29" t="str">
            <v>n/a</v>
          </cell>
          <cell r="AE29" t="str">
            <v>n/a</v>
          </cell>
          <cell r="AF29" t="str">
            <v>n/a</v>
          </cell>
          <cell r="AG29" t="str">
            <v>n/a</v>
          </cell>
          <cell r="AH29" t="str">
            <v>n/a</v>
          </cell>
          <cell r="AI29" t="str">
            <v>n/a</v>
          </cell>
          <cell r="AJ29" t="str">
            <v>SVE</v>
          </cell>
          <cell r="AK29" t="str">
            <v>FLIREGION</v>
          </cell>
          <cell r="AL29">
            <v>0.6261740763932373</v>
          </cell>
          <cell r="AM29">
            <v>0.62733730182903413</v>
          </cell>
          <cell r="AN29">
            <v>0.62713302395662773</v>
          </cell>
          <cell r="AO29">
            <v>0.6261740763932373</v>
          </cell>
          <cell r="AP29">
            <v>0.62733730182903413</v>
          </cell>
          <cell r="AQ29">
            <v>0.62713302395662773</v>
          </cell>
          <cell r="AR29" t="str">
            <v>n/a</v>
          </cell>
        </row>
        <row r="30">
          <cell r="A30">
            <v>22</v>
          </cell>
          <cell r="B30" t="str">
            <v>Turkey</v>
          </cell>
          <cell r="C30">
            <v>22</v>
          </cell>
          <cell r="D30" t="str">
            <v>FLEAME</v>
          </cell>
          <cell r="E30" t="str">
            <v>FLI1550T</v>
          </cell>
          <cell r="F30" t="str">
            <v>FLI1550T</v>
          </cell>
          <cell r="G30" t="str">
            <v>FLI1550T</v>
          </cell>
          <cell r="H30" t="str">
            <v>FLI1550T</v>
          </cell>
          <cell r="I30" t="str">
            <v>n/a</v>
          </cell>
          <cell r="J30" t="str">
            <v>n/a</v>
          </cell>
          <cell r="K30" t="str">
            <v>n/a</v>
          </cell>
          <cell r="L30" t="str">
            <v>n/a</v>
          </cell>
          <cell r="M30" t="str">
            <v>n/a</v>
          </cell>
          <cell r="N30" t="str">
            <v>n/a</v>
          </cell>
          <cell r="O30" t="str">
            <v>n/a</v>
          </cell>
          <cell r="P30" t="str">
            <v>n/a</v>
          </cell>
          <cell r="Q30" t="str">
            <v>n/a</v>
          </cell>
          <cell r="R30" t="str">
            <v>n/a</v>
          </cell>
          <cell r="S30" t="str">
            <v>n/a</v>
          </cell>
          <cell r="T30" t="str">
            <v>n/a</v>
          </cell>
          <cell r="U30" t="str">
            <v>n/a</v>
          </cell>
          <cell r="V30" t="str">
            <v>n/a</v>
          </cell>
          <cell r="W30" t="str">
            <v>n/a</v>
          </cell>
          <cell r="X30" t="str">
            <v>n/a</v>
          </cell>
          <cell r="Y30" t="str">
            <v>n/a</v>
          </cell>
          <cell r="Z30" t="str">
            <v>n/a</v>
          </cell>
          <cell r="AA30" t="str">
            <v>n/a</v>
          </cell>
          <cell r="AB30" t="str">
            <v>n/a</v>
          </cell>
          <cell r="AC30" t="str">
            <v>n/a</v>
          </cell>
          <cell r="AD30" t="str">
            <v>n/a</v>
          </cell>
          <cell r="AE30" t="str">
            <v>n/a</v>
          </cell>
          <cell r="AF30" t="str">
            <v>n/a</v>
          </cell>
          <cell r="AG30" t="str">
            <v>n/a</v>
          </cell>
          <cell r="AH30" t="str">
            <v>n/a</v>
          </cell>
          <cell r="AI30" t="str">
            <v>n/a</v>
          </cell>
          <cell r="AJ30">
            <v>100</v>
          </cell>
          <cell r="AK30" t="str">
            <v>FLIREGION</v>
          </cell>
          <cell r="AL30">
            <v>1</v>
          </cell>
          <cell r="AM30">
            <v>1</v>
          </cell>
          <cell r="AN30">
            <v>1</v>
          </cell>
          <cell r="AO30">
            <v>1</v>
          </cell>
          <cell r="AP30">
            <v>1</v>
          </cell>
          <cell r="AQ30">
            <v>1</v>
          </cell>
          <cell r="AR30" t="str">
            <v>n/a</v>
          </cell>
        </row>
        <row r="31">
          <cell r="A31">
            <v>23</v>
          </cell>
          <cell r="B31" t="str">
            <v>Walkers, UK</v>
          </cell>
          <cell r="C31">
            <v>23</v>
          </cell>
          <cell r="D31" t="str">
            <v>FLEAME</v>
          </cell>
          <cell r="E31" t="str">
            <v>FLI0100T</v>
          </cell>
          <cell r="F31" t="str">
            <v>FLI0100T</v>
          </cell>
          <cell r="G31" t="str">
            <v>FLI0100F</v>
          </cell>
          <cell r="H31" t="str">
            <v>FLI0100F</v>
          </cell>
          <cell r="I31" t="str">
            <v>n/a</v>
          </cell>
          <cell r="J31" t="str">
            <v>n/a</v>
          </cell>
          <cell r="K31" t="str">
            <v>n/a</v>
          </cell>
          <cell r="L31" t="str">
            <v>n/a</v>
          </cell>
          <cell r="M31" t="str">
            <v>n/a</v>
          </cell>
          <cell r="N31" t="str">
            <v>n/a</v>
          </cell>
          <cell r="O31" t="str">
            <v>n/a</v>
          </cell>
          <cell r="P31" t="str">
            <v>n/a</v>
          </cell>
          <cell r="Q31" t="str">
            <v>n/a</v>
          </cell>
          <cell r="R31" t="str">
            <v>n/a</v>
          </cell>
          <cell r="S31" t="str">
            <v>n/a</v>
          </cell>
          <cell r="T31" t="str">
            <v>n/a</v>
          </cell>
          <cell r="U31" t="str">
            <v>n/a</v>
          </cell>
          <cell r="V31" t="str">
            <v>n/a</v>
          </cell>
          <cell r="W31" t="str">
            <v>n/a</v>
          </cell>
          <cell r="X31" t="str">
            <v>n/a</v>
          </cell>
          <cell r="Y31" t="str">
            <v>n/a</v>
          </cell>
          <cell r="Z31" t="str">
            <v>n/a</v>
          </cell>
          <cell r="AA31" t="str">
            <v>n/a</v>
          </cell>
          <cell r="AB31" t="str">
            <v>n/a</v>
          </cell>
          <cell r="AC31" t="str">
            <v>n/a</v>
          </cell>
          <cell r="AD31" t="str">
            <v>n/a</v>
          </cell>
          <cell r="AE31" t="str">
            <v>n/a</v>
          </cell>
          <cell r="AF31" t="str">
            <v>n/a</v>
          </cell>
          <cell r="AG31" t="str">
            <v>n/a</v>
          </cell>
          <cell r="AH31" t="str">
            <v>n/a</v>
          </cell>
          <cell r="AI31" t="str">
            <v>n/a</v>
          </cell>
          <cell r="AJ31">
            <v>100</v>
          </cell>
          <cell r="AK31" t="str">
            <v>FLIREGION</v>
          </cell>
          <cell r="AL31">
            <v>0.6261740763932373</v>
          </cell>
          <cell r="AM31">
            <v>0.62733730182903413</v>
          </cell>
          <cell r="AN31">
            <v>0.62713302395662773</v>
          </cell>
          <cell r="AO31">
            <v>0.6261740763932373</v>
          </cell>
          <cell r="AP31">
            <v>0.62733730182903413</v>
          </cell>
          <cell r="AQ31">
            <v>0.62713302395662773</v>
          </cell>
          <cell r="AR31" t="str">
            <v>n/a</v>
          </cell>
        </row>
        <row r="32">
          <cell r="A32">
            <v>24</v>
          </cell>
          <cell r="B32" t="str">
            <v>WEBU-HQ</v>
          </cell>
          <cell r="C32">
            <v>24</v>
          </cell>
          <cell r="D32" t="str">
            <v>FLEAME</v>
          </cell>
          <cell r="E32" t="str">
            <v>FLI3878T</v>
          </cell>
          <cell r="F32" t="str">
            <v>FLI2878T</v>
          </cell>
          <cell r="G32" t="str">
            <v>FLI3878F</v>
          </cell>
          <cell r="H32" t="str">
            <v>FLI2878F</v>
          </cell>
          <cell r="I32" t="str">
            <v>n/a</v>
          </cell>
          <cell r="J32" t="str">
            <v>n/a</v>
          </cell>
          <cell r="K32" t="str">
            <v>n/a</v>
          </cell>
          <cell r="L32" t="str">
            <v>n/a</v>
          </cell>
          <cell r="M32" t="str">
            <v>n/a</v>
          </cell>
          <cell r="N32" t="str">
            <v>n/a</v>
          </cell>
          <cell r="O32" t="str">
            <v>n/a</v>
          </cell>
          <cell r="P32" t="str">
            <v>n/a</v>
          </cell>
          <cell r="Q32" t="str">
            <v>n/a</v>
          </cell>
          <cell r="R32" t="str">
            <v>n/a</v>
          </cell>
          <cell r="S32" t="str">
            <v>n/a</v>
          </cell>
          <cell r="T32" t="str">
            <v>n/a</v>
          </cell>
          <cell r="U32" t="str">
            <v>n/a</v>
          </cell>
          <cell r="V32" t="str">
            <v>n/a</v>
          </cell>
          <cell r="W32" t="str">
            <v>n/a</v>
          </cell>
          <cell r="X32" t="str">
            <v>n/a</v>
          </cell>
          <cell r="Y32" t="str">
            <v>n/a</v>
          </cell>
          <cell r="Z32" t="str">
            <v>n/a</v>
          </cell>
          <cell r="AA32" t="str">
            <v>n/a</v>
          </cell>
          <cell r="AB32" t="str">
            <v>n/a</v>
          </cell>
          <cell r="AC32" t="str">
            <v>n/a</v>
          </cell>
          <cell r="AD32" t="str">
            <v>n/a</v>
          </cell>
          <cell r="AE32" t="str">
            <v>n/a</v>
          </cell>
          <cell r="AF32" t="str">
            <v>n/a</v>
          </cell>
          <cell r="AG32" t="str">
            <v>n/a</v>
          </cell>
          <cell r="AH32" t="str">
            <v>n/a</v>
          </cell>
          <cell r="AI32" t="str">
            <v>n/a</v>
          </cell>
          <cell r="AJ32" t="str">
            <v>SVE</v>
          </cell>
          <cell r="AK32" t="str">
            <v>FLIREGION</v>
          </cell>
          <cell r="AL32">
            <v>0.91533180778032031</v>
          </cell>
          <cell r="AM32">
            <v>0.91258582351486794</v>
          </cell>
          <cell r="AN32">
            <v>0.9096136174707008</v>
          </cell>
          <cell r="AO32">
            <v>0.91533180778032031</v>
          </cell>
          <cell r="AP32">
            <v>0.91258582351486794</v>
          </cell>
          <cell r="AQ32">
            <v>0.9096136174707008</v>
          </cell>
          <cell r="AR32" t="str">
            <v>n/a</v>
          </cell>
        </row>
        <row r="33">
          <cell r="A33">
            <v>25</v>
          </cell>
          <cell r="B33" t="str">
            <v>Sabritas</v>
          </cell>
          <cell r="C33">
            <v>25</v>
          </cell>
          <cell r="D33" t="str">
            <v>LAR</v>
          </cell>
          <cell r="E33" t="str">
            <v>fli0300t</v>
          </cell>
          <cell r="F33" t="str">
            <v>fli0300t</v>
          </cell>
          <cell r="G33" t="str">
            <v>fli0300f</v>
          </cell>
          <cell r="H33" t="str">
            <v>fli0300f</v>
          </cell>
          <cell r="I33" t="str">
            <v>n/a</v>
          </cell>
          <cell r="J33" t="str">
            <v>n/a</v>
          </cell>
          <cell r="K33" t="str">
            <v>n/a</v>
          </cell>
          <cell r="L33" t="str">
            <v>n/a</v>
          </cell>
          <cell r="M33" t="str">
            <v>n/a</v>
          </cell>
          <cell r="N33" t="str">
            <v>n/a</v>
          </cell>
          <cell r="O33" t="str">
            <v>n/a</v>
          </cell>
          <cell r="P33" t="str">
            <v>n/a</v>
          </cell>
          <cell r="Q33" t="str">
            <v>n/a</v>
          </cell>
          <cell r="R33" t="str">
            <v>n/a</v>
          </cell>
          <cell r="S33" t="str">
            <v>n/a</v>
          </cell>
          <cell r="T33" t="str">
            <v>n/a</v>
          </cell>
          <cell r="U33" t="str">
            <v>n/a</v>
          </cell>
          <cell r="V33" t="str">
            <v>n/a</v>
          </cell>
          <cell r="W33" t="str">
            <v>n/a</v>
          </cell>
          <cell r="X33" t="str">
            <v>n/a</v>
          </cell>
          <cell r="Y33" t="str">
            <v>n/a</v>
          </cell>
          <cell r="Z33" t="str">
            <v>n/a</v>
          </cell>
          <cell r="AA33" t="str">
            <v>n/a</v>
          </cell>
          <cell r="AB33" t="str">
            <v>n/a</v>
          </cell>
          <cell r="AC33" t="str">
            <v>n/a</v>
          </cell>
          <cell r="AD33" t="str">
            <v>n/a</v>
          </cell>
          <cell r="AE33" t="str">
            <v>n/a</v>
          </cell>
          <cell r="AF33" t="str">
            <v>n/a</v>
          </cell>
          <cell r="AG33" t="str">
            <v>n/a</v>
          </cell>
          <cell r="AH33" t="str">
            <v>n/a</v>
          </cell>
          <cell r="AI33" t="str">
            <v>n/a</v>
          </cell>
          <cell r="AJ33">
            <v>100</v>
          </cell>
          <cell r="AK33" t="str">
            <v>FLIHQ</v>
          </cell>
          <cell r="AL33">
            <v>11.145</v>
          </cell>
          <cell r="AM33">
            <v>11.351696240462463</v>
          </cell>
          <cell r="AN33">
            <v>11.536582185066774</v>
          </cell>
          <cell r="AO33">
            <v>11.26</v>
          </cell>
          <cell r="AP33">
            <v>11.443392480924924</v>
          </cell>
          <cell r="AQ33">
            <v>11.629771889208623</v>
          </cell>
          <cell r="AR33" t="str">
            <v>n/a</v>
          </cell>
        </row>
        <row r="34">
          <cell r="A34">
            <v>26</v>
          </cell>
          <cell r="B34" t="str">
            <v>Gamesa</v>
          </cell>
          <cell r="C34">
            <v>26</v>
          </cell>
          <cell r="D34" t="str">
            <v>LAR</v>
          </cell>
          <cell r="E34" t="str">
            <v>fqt1050t</v>
          </cell>
          <cell r="F34" t="str">
            <v>fqt1050t</v>
          </cell>
          <cell r="G34" t="str">
            <v>fqt1050f</v>
          </cell>
          <cell r="H34" t="str">
            <v>fqt1050f</v>
          </cell>
          <cell r="I34" t="str">
            <v>n/a</v>
          </cell>
          <cell r="J34" t="str">
            <v>n/a</v>
          </cell>
          <cell r="K34" t="str">
            <v>n/a</v>
          </cell>
          <cell r="L34" t="str">
            <v>n/a</v>
          </cell>
          <cell r="M34" t="str">
            <v>n/a</v>
          </cell>
          <cell r="N34" t="str">
            <v>n/a</v>
          </cell>
          <cell r="O34" t="str">
            <v>n/a</v>
          </cell>
          <cell r="P34" t="str">
            <v>n/a</v>
          </cell>
          <cell r="Q34" t="str">
            <v>n/a</v>
          </cell>
          <cell r="R34" t="str">
            <v>n/a</v>
          </cell>
          <cell r="S34" t="str">
            <v>n/a</v>
          </cell>
          <cell r="T34" t="str">
            <v>n/a</v>
          </cell>
          <cell r="U34" t="str">
            <v>n/a</v>
          </cell>
          <cell r="V34" t="str">
            <v>n/a</v>
          </cell>
          <cell r="W34" t="str">
            <v>n/a</v>
          </cell>
          <cell r="X34" t="str">
            <v>n/a</v>
          </cell>
          <cell r="Y34" t="str">
            <v>n/a</v>
          </cell>
          <cell r="Z34" t="str">
            <v>n/a</v>
          </cell>
          <cell r="AA34" t="str">
            <v>n/a</v>
          </cell>
          <cell r="AB34" t="str">
            <v>n/a</v>
          </cell>
          <cell r="AC34" t="str">
            <v>n/a</v>
          </cell>
          <cell r="AD34" t="str">
            <v>n/a</v>
          </cell>
          <cell r="AE34" t="str">
            <v>n/a</v>
          </cell>
          <cell r="AF34" t="str">
            <v>n/a</v>
          </cell>
          <cell r="AG34" t="str">
            <v>n/a</v>
          </cell>
          <cell r="AH34" t="str">
            <v>n/a</v>
          </cell>
          <cell r="AI34" t="str">
            <v>n/a</v>
          </cell>
          <cell r="AJ34">
            <v>100</v>
          </cell>
          <cell r="AK34" t="str">
            <v>FLIHQ</v>
          </cell>
          <cell r="AL34">
            <v>11.145</v>
          </cell>
          <cell r="AM34">
            <v>11.351696240462463</v>
          </cell>
          <cell r="AN34">
            <v>11.536582185066774</v>
          </cell>
          <cell r="AO34">
            <v>11.26</v>
          </cell>
          <cell r="AP34">
            <v>11.443392480924924</v>
          </cell>
          <cell r="AQ34">
            <v>11.629771889208623</v>
          </cell>
          <cell r="AR34" t="str">
            <v>n/a</v>
          </cell>
        </row>
        <row r="35">
          <cell r="A35">
            <v>27</v>
          </cell>
          <cell r="B35" t="str">
            <v>Brasil</v>
          </cell>
          <cell r="C35">
            <v>27</v>
          </cell>
          <cell r="D35" t="str">
            <v>LAR</v>
          </cell>
          <cell r="E35" t="str">
            <v>fqt0500t</v>
          </cell>
          <cell r="F35" t="str">
            <v>fqt0500t</v>
          </cell>
          <cell r="G35" t="str">
            <v>fqt0500f</v>
          </cell>
          <cell r="H35" t="str">
            <v>fqt0500f</v>
          </cell>
          <cell r="I35" t="str">
            <v>n/a</v>
          </cell>
          <cell r="J35" t="str">
            <v>n/a</v>
          </cell>
          <cell r="K35" t="str">
            <v>n/a</v>
          </cell>
          <cell r="L35" t="str">
            <v>fli0500T</v>
          </cell>
          <cell r="M35" t="str">
            <v>fli0500T</v>
          </cell>
          <cell r="N35" t="str">
            <v>fli0500F</v>
          </cell>
          <cell r="O35" t="str">
            <v>fli0500F</v>
          </cell>
          <cell r="P35" t="str">
            <v>fli0500T</v>
          </cell>
          <cell r="Q35" t="str">
            <v>fli0500T</v>
          </cell>
          <cell r="R35" t="str">
            <v>fli0500F</v>
          </cell>
          <cell r="S35" t="str">
            <v>fli0500F</v>
          </cell>
          <cell r="T35" t="str">
            <v>qf0500T</v>
          </cell>
          <cell r="U35" t="str">
            <v>qf0500T</v>
          </cell>
          <cell r="V35" t="str">
            <v>qf0500f</v>
          </cell>
          <cell r="W35" t="str">
            <v>qf0500f</v>
          </cell>
          <cell r="X35" t="str">
            <v>qf0500T</v>
          </cell>
          <cell r="Y35" t="str">
            <v>qf0500T</v>
          </cell>
          <cell r="Z35" t="str">
            <v>qf0500f</v>
          </cell>
          <cell r="AA35" t="str">
            <v>qf0500f</v>
          </cell>
          <cell r="AB35" t="str">
            <v>n/a</v>
          </cell>
          <cell r="AC35" t="str">
            <v>n/a</v>
          </cell>
          <cell r="AD35" t="str">
            <v>n/a</v>
          </cell>
          <cell r="AE35" t="str">
            <v>n/a</v>
          </cell>
          <cell r="AF35" t="str">
            <v>n/a</v>
          </cell>
          <cell r="AG35" t="str">
            <v>n/a</v>
          </cell>
          <cell r="AH35" t="str">
            <v>n/a</v>
          </cell>
          <cell r="AI35" t="str">
            <v>n/a</v>
          </cell>
          <cell r="AJ35">
            <v>100</v>
          </cell>
          <cell r="AK35" t="str">
            <v>FLIHQ</v>
          </cell>
          <cell r="AL35">
            <v>3.3075000000000001</v>
          </cell>
          <cell r="AM35">
            <v>3.4910545070329846</v>
          </cell>
          <cell r="AN35">
            <v>3.6843717932762967</v>
          </cell>
          <cell r="AO35">
            <v>3.3969999999999998</v>
          </cell>
          <cell r="AP35">
            <v>3.5851090140659689</v>
          </cell>
          <cell r="AQ35">
            <v>3.7836345724866249</v>
          </cell>
          <cell r="AR35" t="str">
            <v>n/a</v>
          </cell>
        </row>
        <row r="36">
          <cell r="A36">
            <v>28</v>
          </cell>
          <cell r="B36" t="str">
            <v>FLAU</v>
          </cell>
          <cell r="C36">
            <v>28</v>
          </cell>
          <cell r="D36" t="str">
            <v>LAR</v>
          </cell>
          <cell r="E36" t="str">
            <v>fqt1140t</v>
          </cell>
          <cell r="F36" t="str">
            <v>fqt1140t</v>
          </cell>
          <cell r="G36" t="str">
            <v>fqt1140f</v>
          </cell>
          <cell r="H36" t="str">
            <v>fqt1140f</v>
          </cell>
          <cell r="I36" t="str">
            <v>n/a</v>
          </cell>
          <cell r="J36" t="str">
            <v>n/a</v>
          </cell>
          <cell r="K36" t="str">
            <v>n/a</v>
          </cell>
          <cell r="L36" t="str">
            <v>fli1140T</v>
          </cell>
          <cell r="M36" t="str">
            <v>fli1140T</v>
          </cell>
          <cell r="N36" t="str">
            <v>fli1140F</v>
          </cell>
          <cell r="O36" t="str">
            <v>fli1140F</v>
          </cell>
          <cell r="P36" t="str">
            <v>fli1140T</v>
          </cell>
          <cell r="Q36" t="str">
            <v>fli1140T</v>
          </cell>
          <cell r="R36" t="str">
            <v>fli1140F</v>
          </cell>
          <cell r="S36" t="str">
            <v>fli1140F</v>
          </cell>
          <cell r="T36" t="str">
            <v>qf1140T</v>
          </cell>
          <cell r="U36" t="str">
            <v>qf1140T</v>
          </cell>
          <cell r="V36" t="str">
            <v>qf1140f</v>
          </cell>
          <cell r="W36" t="str">
            <v>qf1140f</v>
          </cell>
          <cell r="X36" t="str">
            <v>qf1140T</v>
          </cell>
          <cell r="Y36" t="str">
            <v>qf1140T</v>
          </cell>
          <cell r="Z36" t="str">
            <v>qf1140f</v>
          </cell>
          <cell r="AA36" t="str">
            <v>qf1140f</v>
          </cell>
          <cell r="AB36" t="str">
            <v>n/a</v>
          </cell>
          <cell r="AC36" t="str">
            <v>n/a</v>
          </cell>
          <cell r="AD36" t="str">
            <v>n/a</v>
          </cell>
          <cell r="AE36" t="str">
            <v>n/a</v>
          </cell>
          <cell r="AF36" t="str">
            <v>n/a</v>
          </cell>
          <cell r="AG36" t="str">
            <v>n/a</v>
          </cell>
          <cell r="AH36" t="str">
            <v>n/a</v>
          </cell>
          <cell r="AI36" t="str">
            <v>n/a</v>
          </cell>
          <cell r="AJ36">
            <v>100</v>
          </cell>
          <cell r="AK36" t="str">
            <v>FLIHQ</v>
          </cell>
          <cell r="AL36">
            <v>3.1144999999999996</v>
          </cell>
          <cell r="AM36">
            <v>3.4153851383790492</v>
          </cell>
          <cell r="AN36">
            <v>3.8692813586346366</v>
          </cell>
          <cell r="AO36">
            <v>3.1869999999999998</v>
          </cell>
          <cell r="AP36">
            <v>3.6437702767580991</v>
          </cell>
          <cell r="AQ36">
            <v>4.0947924405111742</v>
          </cell>
          <cell r="AR36" t="str">
            <v>n/a</v>
          </cell>
        </row>
        <row r="37">
          <cell r="A37">
            <v>29</v>
          </cell>
          <cell r="B37" t="str">
            <v>Chile</v>
          </cell>
          <cell r="C37">
            <v>29</v>
          </cell>
          <cell r="D37" t="str">
            <v>LAR</v>
          </cell>
          <cell r="E37" t="str">
            <v>fqtchile_sys</v>
          </cell>
          <cell r="F37" t="str">
            <v>fqtchile_sh</v>
          </cell>
          <cell r="G37" t="str">
            <v>fqtchile_fs</v>
          </cell>
          <cell r="H37" t="str">
            <v>fqtchile_fs</v>
          </cell>
          <cell r="I37" t="str">
            <v>n/a</v>
          </cell>
          <cell r="J37" t="str">
            <v>n/a</v>
          </cell>
          <cell r="K37" t="str">
            <v>n/a</v>
          </cell>
          <cell r="L37" t="str">
            <v>n/a</v>
          </cell>
          <cell r="M37" t="str">
            <v>n/a</v>
          </cell>
          <cell r="N37" t="str">
            <v>n/a</v>
          </cell>
          <cell r="O37" t="str">
            <v>n/a</v>
          </cell>
          <cell r="P37" t="str">
            <v>n/a</v>
          </cell>
          <cell r="Q37" t="str">
            <v>n/a</v>
          </cell>
          <cell r="R37" t="str">
            <v>n/a</v>
          </cell>
          <cell r="S37" t="str">
            <v>n/a</v>
          </cell>
          <cell r="T37" t="str">
            <v>n/a</v>
          </cell>
          <cell r="U37" t="str">
            <v>n/a</v>
          </cell>
          <cell r="V37" t="str">
            <v>n/a</v>
          </cell>
          <cell r="W37" t="str">
            <v>n/a</v>
          </cell>
          <cell r="X37" t="str">
            <v>n/a</v>
          </cell>
          <cell r="Y37" t="str">
            <v>n/a</v>
          </cell>
          <cell r="Z37" t="str">
            <v>n/a</v>
          </cell>
          <cell r="AA37" t="str">
            <v>n/a</v>
          </cell>
          <cell r="AB37" t="str">
            <v>n/a</v>
          </cell>
          <cell r="AC37" t="str">
            <v>n/a</v>
          </cell>
          <cell r="AD37" t="str">
            <v>n/a</v>
          </cell>
          <cell r="AE37" t="str">
            <v>n/a</v>
          </cell>
          <cell r="AF37" t="str">
            <v>n/a</v>
          </cell>
          <cell r="AG37" t="str">
            <v>n/a</v>
          </cell>
          <cell r="AH37" t="str">
            <v>n/a</v>
          </cell>
          <cell r="AI37" t="str">
            <v>n/a</v>
          </cell>
          <cell r="AJ37">
            <v>100</v>
          </cell>
          <cell r="AK37" t="str">
            <v>FLIHQ</v>
          </cell>
          <cell r="AL37">
            <v>720.6</v>
          </cell>
          <cell r="AM37">
            <v>720.84054440800037</v>
          </cell>
          <cell r="AN37">
            <v>725.5368820705587</v>
          </cell>
          <cell r="AO37">
            <v>718.5</v>
          </cell>
          <cell r="AP37">
            <v>723.18108881600074</v>
          </cell>
          <cell r="AQ37">
            <v>727.89267532511667</v>
          </cell>
          <cell r="AR37" t="str">
            <v>n/a</v>
          </cell>
        </row>
        <row r="38">
          <cell r="A38">
            <v>30</v>
          </cell>
          <cell r="B38" t="str">
            <v>Puerto Rico</v>
          </cell>
          <cell r="C38">
            <v>30</v>
          </cell>
          <cell r="D38" t="str">
            <v>LAR</v>
          </cell>
          <cell r="E38" t="str">
            <v>fqt0600t</v>
          </cell>
          <cell r="F38" t="str">
            <v>fqt0600t</v>
          </cell>
          <cell r="G38" t="str">
            <v>fqt0600t</v>
          </cell>
          <cell r="H38" t="str">
            <v>fqt0600t</v>
          </cell>
          <cell r="I38" t="str">
            <v>n/a</v>
          </cell>
          <cell r="J38" t="str">
            <v>n/a</v>
          </cell>
          <cell r="K38" t="str">
            <v>n/a</v>
          </cell>
          <cell r="L38" t="str">
            <v>n/a</v>
          </cell>
          <cell r="M38" t="str">
            <v>n/a</v>
          </cell>
          <cell r="N38" t="str">
            <v>n/a</v>
          </cell>
          <cell r="O38" t="str">
            <v>n/a</v>
          </cell>
          <cell r="P38" t="str">
            <v>n/a</v>
          </cell>
          <cell r="Q38" t="str">
            <v>n/a</v>
          </cell>
          <cell r="R38" t="str">
            <v>n/a</v>
          </cell>
          <cell r="S38" t="str">
            <v>n/a</v>
          </cell>
          <cell r="T38" t="str">
            <v>n/a</v>
          </cell>
          <cell r="U38" t="str">
            <v>n/a</v>
          </cell>
          <cell r="V38" t="str">
            <v>n/a</v>
          </cell>
          <cell r="W38" t="str">
            <v>n/a</v>
          </cell>
          <cell r="X38" t="str">
            <v>n/a</v>
          </cell>
          <cell r="Y38" t="str">
            <v>n/a</v>
          </cell>
          <cell r="Z38" t="str">
            <v>n/a</v>
          </cell>
          <cell r="AA38" t="str">
            <v>n/a</v>
          </cell>
          <cell r="AB38" t="str">
            <v>n/a</v>
          </cell>
          <cell r="AC38" t="str">
            <v>n/a</v>
          </cell>
          <cell r="AD38" t="str">
            <v>n/a</v>
          </cell>
          <cell r="AE38" t="str">
            <v>n/a</v>
          </cell>
          <cell r="AF38" t="str">
            <v>n/a</v>
          </cell>
          <cell r="AG38" t="str">
            <v>n/a</v>
          </cell>
          <cell r="AH38" t="str">
            <v>n/a</v>
          </cell>
          <cell r="AI38" t="str">
            <v>n/a</v>
          </cell>
          <cell r="AJ38">
            <v>100</v>
          </cell>
          <cell r="AK38" t="str">
            <v>FLIHQ</v>
          </cell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Q38">
            <v>1</v>
          </cell>
          <cell r="AR38" t="str">
            <v>n/a</v>
          </cell>
        </row>
        <row r="39">
          <cell r="A39">
            <v>31</v>
          </cell>
          <cell r="B39" t="str">
            <v>Dom. Rep.</v>
          </cell>
          <cell r="C39">
            <v>31</v>
          </cell>
          <cell r="D39" t="str">
            <v>LAR</v>
          </cell>
          <cell r="E39" t="str">
            <v>fli1900t</v>
          </cell>
          <cell r="F39" t="str">
            <v>fli1900t</v>
          </cell>
          <cell r="G39" t="str">
            <v>fli1900f</v>
          </cell>
          <cell r="H39" t="str">
            <v>fli1900f</v>
          </cell>
          <cell r="I39" t="str">
            <v>n/a</v>
          </cell>
          <cell r="J39" t="str">
            <v>n/a</v>
          </cell>
          <cell r="K39" t="str">
            <v>n/a</v>
          </cell>
          <cell r="L39" t="str">
            <v>n/a</v>
          </cell>
          <cell r="M39" t="str">
            <v>n/a</v>
          </cell>
          <cell r="N39" t="str">
            <v>n/a</v>
          </cell>
          <cell r="O39" t="str">
            <v>n/a</v>
          </cell>
          <cell r="P39" t="str">
            <v>n/a</v>
          </cell>
          <cell r="Q39" t="str">
            <v>n/a</v>
          </cell>
          <cell r="R39" t="str">
            <v>n/a</v>
          </cell>
          <cell r="S39" t="str">
            <v>n/a</v>
          </cell>
          <cell r="T39" t="str">
            <v>n/a</v>
          </cell>
          <cell r="U39" t="str">
            <v>n/a</v>
          </cell>
          <cell r="V39" t="str">
            <v>n/a</v>
          </cell>
          <cell r="W39" t="str">
            <v>n/a</v>
          </cell>
          <cell r="X39" t="str">
            <v>n/a</v>
          </cell>
          <cell r="Y39" t="str">
            <v>n/a</v>
          </cell>
          <cell r="Z39" t="str">
            <v>n/a</v>
          </cell>
          <cell r="AA39" t="str">
            <v>n/a</v>
          </cell>
          <cell r="AB39" t="str">
            <v>n/a</v>
          </cell>
          <cell r="AC39" t="str">
            <v>n/a</v>
          </cell>
          <cell r="AD39" t="str">
            <v>n/a</v>
          </cell>
          <cell r="AE39" t="str">
            <v>n/a</v>
          </cell>
          <cell r="AF39" t="str">
            <v>n/a</v>
          </cell>
          <cell r="AG39" t="str">
            <v>n/a</v>
          </cell>
          <cell r="AH39" t="str">
            <v>n/a</v>
          </cell>
          <cell r="AI39" t="str">
            <v>n/a</v>
          </cell>
          <cell r="AJ39">
            <v>100</v>
          </cell>
          <cell r="AK39" t="str">
            <v>FLIHQ</v>
          </cell>
          <cell r="AL39">
            <v>27.48</v>
          </cell>
          <cell r="AM39">
            <v>28.878263567635202</v>
          </cell>
          <cell r="AN39">
            <v>29.913002324631748</v>
          </cell>
          <cell r="AO39">
            <v>28.37</v>
          </cell>
          <cell r="AP39">
            <v>29.386527135270406</v>
          </cell>
          <cell r="AQ39">
            <v>30.439477513993086</v>
          </cell>
          <cell r="AR39" t="str">
            <v>n/a</v>
          </cell>
        </row>
        <row r="40">
          <cell r="A40">
            <v>32</v>
          </cell>
          <cell r="B40" t="str">
            <v>Peru - FLI</v>
          </cell>
          <cell r="C40">
            <v>32</v>
          </cell>
          <cell r="D40" t="str">
            <v>LAR</v>
          </cell>
          <cell r="E40" t="str">
            <v>fli1160t</v>
          </cell>
          <cell r="F40" t="str">
            <v>fli1160t</v>
          </cell>
          <cell r="G40" t="str">
            <v>fli1160t</v>
          </cell>
          <cell r="H40" t="str">
            <v>fli1160t</v>
          </cell>
          <cell r="I40" t="str">
            <v>n/a</v>
          </cell>
          <cell r="J40" t="str">
            <v>n/a</v>
          </cell>
          <cell r="K40" t="str">
            <v>n/a</v>
          </cell>
          <cell r="L40" t="str">
            <v>n/a</v>
          </cell>
          <cell r="M40" t="str">
            <v>n/a</v>
          </cell>
          <cell r="N40" t="str">
            <v>n/a</v>
          </cell>
          <cell r="O40" t="str">
            <v>n/a</v>
          </cell>
          <cell r="P40" t="str">
            <v>n/a</v>
          </cell>
          <cell r="Q40" t="str">
            <v>n/a</v>
          </cell>
          <cell r="R40" t="str">
            <v>n/a</v>
          </cell>
          <cell r="S40" t="str">
            <v>n/a</v>
          </cell>
          <cell r="T40" t="str">
            <v>n/a</v>
          </cell>
          <cell r="U40" t="str">
            <v>n/a</v>
          </cell>
          <cell r="V40" t="str">
            <v>n/a</v>
          </cell>
          <cell r="W40" t="str">
            <v>n/a</v>
          </cell>
          <cell r="X40" t="str">
            <v>n/a</v>
          </cell>
          <cell r="Y40" t="str">
            <v>n/a</v>
          </cell>
          <cell r="Z40" t="str">
            <v>n/a</v>
          </cell>
          <cell r="AA40" t="str">
            <v>n/a</v>
          </cell>
          <cell r="AB40" t="str">
            <v>n/a</v>
          </cell>
          <cell r="AC40" t="str">
            <v>n/a</v>
          </cell>
          <cell r="AD40" t="str">
            <v>n/a</v>
          </cell>
          <cell r="AE40" t="str">
            <v>n/a</v>
          </cell>
          <cell r="AF40" t="str">
            <v>n/a</v>
          </cell>
          <cell r="AG40" t="str">
            <v>n/a</v>
          </cell>
          <cell r="AH40" t="str">
            <v>n/a</v>
          </cell>
          <cell r="AI40" t="str">
            <v>n/a</v>
          </cell>
          <cell r="AJ40">
            <v>100</v>
          </cell>
          <cell r="AK40" t="str">
            <v>FLIHQ</v>
          </cell>
          <cell r="AL40">
            <v>3.6204999999999998</v>
          </cell>
          <cell r="AM40">
            <v>3.6769926379240303</v>
          </cell>
          <cell r="AN40">
            <v>3.6829827890479447</v>
          </cell>
          <cell r="AO40">
            <v>3.6739999999999999</v>
          </cell>
          <cell r="AP40">
            <v>3.6799852758480602</v>
          </cell>
          <cell r="AQ40">
            <v>3.6859803022478292</v>
          </cell>
          <cell r="AR40" t="str">
            <v>n/a</v>
          </cell>
        </row>
        <row r="41">
          <cell r="A41">
            <v>33</v>
          </cell>
          <cell r="B41" t="str">
            <v>Quaker Colombia Shell</v>
          </cell>
          <cell r="C41">
            <v>33</v>
          </cell>
          <cell r="D41" t="str">
            <v>LAR</v>
          </cell>
          <cell r="E41" t="str">
            <v>qf3471t</v>
          </cell>
          <cell r="F41" t="str">
            <v>qf3471t</v>
          </cell>
          <cell r="G41" t="str">
            <v>qf3471f</v>
          </cell>
          <cell r="H41" t="str">
            <v>qf3471f</v>
          </cell>
          <cell r="I41" t="str">
            <v>n/a</v>
          </cell>
          <cell r="J41" t="str">
            <v>n/a</v>
          </cell>
          <cell r="K41" t="str">
            <v>n/a</v>
          </cell>
          <cell r="L41" t="str">
            <v>n/a</v>
          </cell>
          <cell r="M41" t="str">
            <v>n/a</v>
          </cell>
          <cell r="N41" t="str">
            <v>n/a</v>
          </cell>
          <cell r="O41" t="str">
            <v>n/a</v>
          </cell>
          <cell r="P41" t="str">
            <v>n/a</v>
          </cell>
          <cell r="Q41" t="str">
            <v>n/a</v>
          </cell>
          <cell r="R41" t="str">
            <v>n/a</v>
          </cell>
          <cell r="S41" t="str">
            <v>n/a</v>
          </cell>
          <cell r="T41" t="str">
            <v>n/a</v>
          </cell>
          <cell r="U41" t="str">
            <v>n/a</v>
          </cell>
          <cell r="V41" t="str">
            <v>n/a</v>
          </cell>
          <cell r="W41" t="str">
            <v>n/a</v>
          </cell>
          <cell r="X41" t="str">
            <v>n/a</v>
          </cell>
          <cell r="Y41" t="str">
            <v>n/a</v>
          </cell>
          <cell r="Z41" t="str">
            <v>n/a</v>
          </cell>
          <cell r="AA41" t="str">
            <v>n/a</v>
          </cell>
          <cell r="AB41" t="str">
            <v>n/a</v>
          </cell>
          <cell r="AC41" t="str">
            <v>n/a</v>
          </cell>
          <cell r="AD41" t="str">
            <v>n/a</v>
          </cell>
          <cell r="AE41" t="str">
            <v>n/a</v>
          </cell>
          <cell r="AF41" t="str">
            <v>n/a</v>
          </cell>
          <cell r="AG41" t="str">
            <v>n/a</v>
          </cell>
          <cell r="AH41" t="str">
            <v>n/a</v>
          </cell>
          <cell r="AI41" t="str">
            <v>n/a</v>
          </cell>
          <cell r="AJ41">
            <v>100</v>
          </cell>
          <cell r="AK41" t="str">
            <v>FLIHQ</v>
          </cell>
          <cell r="AL41">
            <v>3107</v>
          </cell>
          <cell r="AM41">
            <v>3246.1326230944187</v>
          </cell>
          <cell r="AN41">
            <v>3362.4449916549393</v>
          </cell>
          <cell r="AO41">
            <v>3189</v>
          </cell>
          <cell r="AP41">
            <v>3303.2652461888374</v>
          </cell>
          <cell r="AQ41">
            <v>3421.6247371210411</v>
          </cell>
          <cell r="AR41" t="str">
            <v>n/a</v>
          </cell>
        </row>
        <row r="42">
          <cell r="A42">
            <v>34</v>
          </cell>
          <cell r="B42" t="str">
            <v>Quaker Central America</v>
          </cell>
          <cell r="C42">
            <v>34</v>
          </cell>
          <cell r="D42" t="str">
            <v>LAR</v>
          </cell>
          <cell r="E42" t="str">
            <v>qf3430t</v>
          </cell>
          <cell r="F42" t="str">
            <v>qf3430t</v>
          </cell>
          <cell r="G42" t="str">
            <v>qf3430t</v>
          </cell>
          <cell r="H42" t="str">
            <v>qf3430t</v>
          </cell>
          <cell r="I42" t="str">
            <v>n/a</v>
          </cell>
          <cell r="J42" t="str">
            <v>n/a</v>
          </cell>
          <cell r="K42" t="str">
            <v>n/a</v>
          </cell>
          <cell r="L42" t="str">
            <v>n/a</v>
          </cell>
          <cell r="M42" t="str">
            <v>n/a</v>
          </cell>
          <cell r="N42" t="str">
            <v>n/a</v>
          </cell>
          <cell r="O42" t="str">
            <v>n/a</v>
          </cell>
          <cell r="P42" t="str">
            <v>n/a</v>
          </cell>
          <cell r="Q42" t="str">
            <v>n/a</v>
          </cell>
          <cell r="R42" t="str">
            <v>n/a</v>
          </cell>
          <cell r="S42" t="str">
            <v>n/a</v>
          </cell>
          <cell r="T42" t="str">
            <v>n/a</v>
          </cell>
          <cell r="U42" t="str">
            <v>n/a</v>
          </cell>
          <cell r="V42" t="str">
            <v>n/a</v>
          </cell>
          <cell r="W42" t="str">
            <v>n/a</v>
          </cell>
          <cell r="X42" t="str">
            <v>n/a</v>
          </cell>
          <cell r="Y42" t="str">
            <v>n/a</v>
          </cell>
          <cell r="Z42" t="str">
            <v>n/a</v>
          </cell>
          <cell r="AA42" t="str">
            <v>n/a</v>
          </cell>
          <cell r="AB42" t="str">
            <v>n/a</v>
          </cell>
          <cell r="AC42" t="str">
            <v>n/a</v>
          </cell>
          <cell r="AD42" t="str">
            <v>n/a</v>
          </cell>
          <cell r="AE42" t="str">
            <v>n/a</v>
          </cell>
          <cell r="AF42" t="str">
            <v>n/a</v>
          </cell>
          <cell r="AG42" t="str">
            <v>n/a</v>
          </cell>
          <cell r="AH42" t="str">
            <v>n/a</v>
          </cell>
          <cell r="AI42" t="str">
            <v>n/a</v>
          </cell>
          <cell r="AJ42">
            <v>100</v>
          </cell>
          <cell r="AK42" t="str">
            <v>FLIHQ</v>
          </cell>
          <cell r="AL42">
            <v>1</v>
          </cell>
          <cell r="AM42">
            <v>1</v>
          </cell>
          <cell r="AN42">
            <v>1</v>
          </cell>
          <cell r="AO42">
            <v>1</v>
          </cell>
          <cell r="AP42">
            <v>1</v>
          </cell>
          <cell r="AQ42">
            <v>1</v>
          </cell>
          <cell r="AR42" t="str">
            <v>n/a</v>
          </cell>
        </row>
        <row r="43">
          <cell r="A43">
            <v>35</v>
          </cell>
          <cell r="B43" t="str">
            <v>Quaker US Exports</v>
          </cell>
          <cell r="C43">
            <v>35</v>
          </cell>
          <cell r="D43" t="str">
            <v>LAR</v>
          </cell>
          <cell r="I43" t="str">
            <v>Qkr Peru</v>
          </cell>
          <cell r="J43" t="str">
            <v>Qkr Ecuador</v>
          </cell>
          <cell r="K43" t="str">
            <v>Qkr US Export</v>
          </cell>
          <cell r="L43" t="str">
            <v>qf1160t</v>
          </cell>
          <cell r="M43" t="str">
            <v>qf1160t</v>
          </cell>
          <cell r="N43" t="str">
            <v>qf1160t</v>
          </cell>
          <cell r="O43" t="str">
            <v>qf1160t</v>
          </cell>
          <cell r="P43" t="str">
            <v>qf1160t</v>
          </cell>
          <cell r="Q43" t="str">
            <v>qf1160t</v>
          </cell>
          <cell r="R43" t="str">
            <v>qf1160t</v>
          </cell>
          <cell r="S43" t="str">
            <v>qf1160t</v>
          </cell>
          <cell r="T43" t="str">
            <v>qf3490t</v>
          </cell>
          <cell r="U43" t="str">
            <v>qf3490t</v>
          </cell>
          <cell r="V43" t="str">
            <v>qf3490t</v>
          </cell>
          <cell r="W43" t="str">
            <v>qf3490t</v>
          </cell>
          <cell r="X43" t="str">
            <v>qf3490t</v>
          </cell>
          <cell r="Y43" t="str">
            <v>qf3490t</v>
          </cell>
          <cell r="Z43" t="str">
            <v>qf3490t</v>
          </cell>
          <cell r="AA43" t="str">
            <v>qf3490t</v>
          </cell>
          <cell r="AB43" t="str">
            <v>qf1080t</v>
          </cell>
          <cell r="AC43" t="str">
            <v>qf1080t</v>
          </cell>
          <cell r="AD43" t="str">
            <v>qf1080t</v>
          </cell>
          <cell r="AE43" t="str">
            <v>qf1080t</v>
          </cell>
          <cell r="AF43" t="str">
            <v>qf1080t</v>
          </cell>
          <cell r="AG43" t="str">
            <v>qf1080t</v>
          </cell>
          <cell r="AH43" t="str">
            <v>qf1080t</v>
          </cell>
          <cell r="AI43" t="str">
            <v>qf1080t</v>
          </cell>
          <cell r="AJ43">
            <v>100</v>
          </cell>
          <cell r="AK43" t="str">
            <v>FLIHQ</v>
          </cell>
          <cell r="AL43">
            <v>1</v>
          </cell>
          <cell r="AM43">
            <v>1</v>
          </cell>
          <cell r="AN43">
            <v>1</v>
          </cell>
          <cell r="AO43">
            <v>1</v>
          </cell>
          <cell r="AP43">
            <v>1</v>
          </cell>
          <cell r="AQ43">
            <v>1</v>
          </cell>
          <cell r="AR43" t="str">
            <v>n/a</v>
          </cell>
        </row>
        <row r="44">
          <cell r="A44">
            <v>36</v>
          </cell>
          <cell r="B44" t="str">
            <v>Quaker Adjustments</v>
          </cell>
          <cell r="C44">
            <v>36</v>
          </cell>
          <cell r="D44" t="str">
            <v>LAR</v>
          </cell>
          <cell r="E44" t="str">
            <v>qf8799.totq</v>
          </cell>
          <cell r="F44" t="str">
            <v>qf8799.totq</v>
          </cell>
          <cell r="G44" t="str">
            <v>qf8799.totq</v>
          </cell>
          <cell r="H44" t="str">
            <v>qf8799.totq</v>
          </cell>
          <cell r="I44" t="str">
            <v>n/a</v>
          </cell>
          <cell r="J44" t="str">
            <v>n/a</v>
          </cell>
          <cell r="K44" t="str">
            <v>n/a</v>
          </cell>
          <cell r="L44" t="str">
            <v>n/a</v>
          </cell>
          <cell r="M44" t="str">
            <v>n/a</v>
          </cell>
          <cell r="N44" t="str">
            <v>n/a</v>
          </cell>
          <cell r="O44" t="str">
            <v>n/a</v>
          </cell>
          <cell r="P44" t="str">
            <v>n/a</v>
          </cell>
          <cell r="Q44" t="str">
            <v>n/a</v>
          </cell>
          <cell r="R44" t="str">
            <v>n/a</v>
          </cell>
          <cell r="S44" t="str">
            <v>n/a</v>
          </cell>
          <cell r="T44" t="str">
            <v>n/a</v>
          </cell>
          <cell r="U44" t="str">
            <v>n/a</v>
          </cell>
          <cell r="V44" t="str">
            <v>n/a</v>
          </cell>
          <cell r="W44" t="str">
            <v>n/a</v>
          </cell>
          <cell r="X44" t="str">
            <v>n/a</v>
          </cell>
          <cell r="Y44" t="str">
            <v>n/a</v>
          </cell>
          <cell r="Z44" t="str">
            <v>n/a</v>
          </cell>
          <cell r="AA44" t="str">
            <v>n/a</v>
          </cell>
          <cell r="AB44" t="str">
            <v>n/a</v>
          </cell>
          <cell r="AC44" t="str">
            <v>n/a</v>
          </cell>
          <cell r="AD44" t="str">
            <v>n/a</v>
          </cell>
          <cell r="AE44" t="str">
            <v>n/a</v>
          </cell>
          <cell r="AF44" t="str">
            <v>n/a</v>
          </cell>
          <cell r="AG44" t="str">
            <v>n/a</v>
          </cell>
          <cell r="AH44" t="str">
            <v>n/a</v>
          </cell>
          <cell r="AI44" t="str">
            <v>n/a</v>
          </cell>
          <cell r="AJ44">
            <v>100</v>
          </cell>
          <cell r="AK44" t="str">
            <v>FLIHQ</v>
          </cell>
          <cell r="AL44">
            <v>1</v>
          </cell>
          <cell r="AM44">
            <v>1</v>
          </cell>
          <cell r="AN44">
            <v>1</v>
          </cell>
          <cell r="AO44">
            <v>1</v>
          </cell>
          <cell r="AP44">
            <v>1</v>
          </cell>
          <cell r="AQ44">
            <v>1</v>
          </cell>
          <cell r="AR44" t="str">
            <v>n/a</v>
          </cell>
        </row>
        <row r="45">
          <cell r="A45">
            <v>37</v>
          </cell>
          <cell r="B45" t="str">
            <v xml:space="preserve">HQ Latin America </v>
          </cell>
          <cell r="C45">
            <v>37</v>
          </cell>
          <cell r="D45" t="str">
            <v>LAR</v>
          </cell>
          <cell r="E45" t="str">
            <v>fqt9500t</v>
          </cell>
          <cell r="F45" t="str">
            <v>fqt9500t</v>
          </cell>
          <cell r="G45" t="str">
            <v>fqt9500t</v>
          </cell>
          <cell r="H45" t="str">
            <v>fqt9500t</v>
          </cell>
          <cell r="I45" t="str">
            <v>n/a</v>
          </cell>
          <cell r="J45" t="str">
            <v>n/a</v>
          </cell>
          <cell r="K45" t="str">
            <v>n/a</v>
          </cell>
          <cell r="L45" t="str">
            <v>n/a</v>
          </cell>
          <cell r="M45" t="str">
            <v>n/a</v>
          </cell>
          <cell r="N45" t="str">
            <v>n/a</v>
          </cell>
          <cell r="O45" t="str">
            <v>n/a</v>
          </cell>
          <cell r="P45" t="str">
            <v>n/a</v>
          </cell>
          <cell r="Q45" t="str">
            <v>n/a</v>
          </cell>
          <cell r="R45" t="str">
            <v>n/a</v>
          </cell>
          <cell r="S45" t="str">
            <v>n/a</v>
          </cell>
          <cell r="T45" t="str">
            <v>n/a</v>
          </cell>
          <cell r="U45" t="str">
            <v>n/a</v>
          </cell>
          <cell r="V45" t="str">
            <v>n/a</v>
          </cell>
          <cell r="W45" t="str">
            <v>n/a</v>
          </cell>
          <cell r="X45" t="str">
            <v>n/a</v>
          </cell>
          <cell r="Y45" t="str">
            <v>n/a</v>
          </cell>
          <cell r="Z45" t="str">
            <v>n/a</v>
          </cell>
          <cell r="AA45" t="str">
            <v>n/a</v>
          </cell>
          <cell r="AB45" t="str">
            <v>n/a</v>
          </cell>
          <cell r="AC45" t="str">
            <v>n/a</v>
          </cell>
          <cell r="AD45" t="str">
            <v>n/a</v>
          </cell>
          <cell r="AE45" t="str">
            <v>n/a</v>
          </cell>
          <cell r="AF45" t="str">
            <v>n/a</v>
          </cell>
          <cell r="AG45" t="str">
            <v>n/a</v>
          </cell>
          <cell r="AH45" t="str">
            <v>n/a</v>
          </cell>
          <cell r="AI45" t="str">
            <v>n/a</v>
          </cell>
          <cell r="AJ45">
            <v>100</v>
          </cell>
          <cell r="AK45" t="str">
            <v>FLIHQ</v>
          </cell>
          <cell r="AL45">
            <v>1</v>
          </cell>
          <cell r="AM45">
            <v>1</v>
          </cell>
          <cell r="AN45">
            <v>1</v>
          </cell>
          <cell r="AO45">
            <v>1</v>
          </cell>
          <cell r="AP45">
            <v>1</v>
          </cell>
          <cell r="AQ45">
            <v>1</v>
          </cell>
          <cell r="AR45" t="str">
            <v>n/a</v>
          </cell>
        </row>
        <row r="46">
          <cell r="A46">
            <v>38</v>
          </cell>
          <cell r="B46" t="str">
            <v>Venezuela</v>
          </cell>
          <cell r="C46">
            <v>38</v>
          </cell>
          <cell r="D46" t="str">
            <v>LAR</v>
          </cell>
          <cell r="E46" t="str">
            <v>fli3450t</v>
          </cell>
          <cell r="F46" t="str">
            <v>fli2450t</v>
          </cell>
          <cell r="G46" t="str">
            <v>fli3450f</v>
          </cell>
          <cell r="H46" t="str">
            <v>fli3450f</v>
          </cell>
          <cell r="I46" t="str">
            <v>n/a</v>
          </cell>
          <cell r="J46" t="str">
            <v>n/a</v>
          </cell>
          <cell r="K46" t="str">
            <v>n/a</v>
          </cell>
          <cell r="L46" t="str">
            <v>n/a</v>
          </cell>
          <cell r="M46" t="str">
            <v>n/a</v>
          </cell>
          <cell r="N46" t="str">
            <v>n/a</v>
          </cell>
          <cell r="O46" t="str">
            <v>n/a</v>
          </cell>
          <cell r="P46" t="str">
            <v>n/a</v>
          </cell>
          <cell r="Q46" t="str">
            <v>n/a</v>
          </cell>
          <cell r="R46" t="str">
            <v>n/a</v>
          </cell>
          <cell r="S46" t="str">
            <v>n/a</v>
          </cell>
          <cell r="T46" t="str">
            <v>n/a</v>
          </cell>
          <cell r="U46" t="str">
            <v>n/a</v>
          </cell>
          <cell r="V46" t="str">
            <v>n/a</v>
          </cell>
          <cell r="W46" t="str">
            <v>n/a</v>
          </cell>
          <cell r="X46" t="str">
            <v>n/a</v>
          </cell>
          <cell r="Y46" t="str">
            <v>n/a</v>
          </cell>
          <cell r="Z46" t="str">
            <v>n/a</v>
          </cell>
          <cell r="AA46" t="str">
            <v>n/a</v>
          </cell>
          <cell r="AB46" t="str">
            <v>n/a</v>
          </cell>
          <cell r="AC46" t="str">
            <v>n/a</v>
          </cell>
          <cell r="AD46" t="str">
            <v>n/a</v>
          </cell>
          <cell r="AE46" t="str">
            <v>n/a</v>
          </cell>
          <cell r="AF46" t="str">
            <v>n/a</v>
          </cell>
          <cell r="AG46" t="str">
            <v>n/a</v>
          </cell>
          <cell r="AH46" t="str">
            <v>n/a</v>
          </cell>
          <cell r="AI46" t="str">
            <v>n/a</v>
          </cell>
          <cell r="AJ46">
            <v>50</v>
          </cell>
          <cell r="AK46" t="str">
            <v>FLIHQ</v>
          </cell>
          <cell r="AL46">
            <v>2341</v>
          </cell>
          <cell r="AM46">
            <v>2827.6895730896081</v>
          </cell>
          <cell r="AN46">
            <v>3241.2893329555036</v>
          </cell>
          <cell r="AO46">
            <v>2603</v>
          </cell>
          <cell r="AP46">
            <v>3052.3791461792161</v>
          </cell>
          <cell r="AQ46">
            <v>3430.199519731791</v>
          </cell>
          <cell r="AR46" t="str">
            <v>n/a</v>
          </cell>
        </row>
        <row r="47">
          <cell r="A47">
            <v>39</v>
          </cell>
          <cell r="B47" t="str">
            <v>Colombia</v>
          </cell>
          <cell r="C47">
            <v>39</v>
          </cell>
          <cell r="D47" t="str">
            <v>LAR</v>
          </cell>
          <cell r="E47" t="str">
            <v>fli3470t</v>
          </cell>
          <cell r="F47" t="str">
            <v>fli2470t</v>
          </cell>
          <cell r="G47" t="str">
            <v>fli3470f</v>
          </cell>
          <cell r="H47" t="str">
            <v>fli3470f</v>
          </cell>
          <cell r="I47" t="str">
            <v>n/a</v>
          </cell>
          <cell r="J47" t="str">
            <v>n/a</v>
          </cell>
          <cell r="K47" t="str">
            <v>n/a</v>
          </cell>
          <cell r="L47" t="str">
            <v>n/a</v>
          </cell>
          <cell r="M47" t="str">
            <v>n/a</v>
          </cell>
          <cell r="N47" t="str">
            <v>n/a</v>
          </cell>
          <cell r="O47" t="str">
            <v>n/a</v>
          </cell>
          <cell r="P47" t="str">
            <v>n/a</v>
          </cell>
          <cell r="Q47" t="str">
            <v>n/a</v>
          </cell>
          <cell r="R47" t="str">
            <v>n/a</v>
          </cell>
          <cell r="S47" t="str">
            <v>n/a</v>
          </cell>
          <cell r="T47" t="str">
            <v>n/a</v>
          </cell>
          <cell r="U47" t="str">
            <v>n/a</v>
          </cell>
          <cell r="V47" t="str">
            <v>n/a</v>
          </cell>
          <cell r="W47" t="str">
            <v>n/a</v>
          </cell>
          <cell r="X47" t="str">
            <v>n/a</v>
          </cell>
          <cell r="Y47" t="str">
            <v>n/a</v>
          </cell>
          <cell r="Z47" t="str">
            <v>n/a</v>
          </cell>
          <cell r="AA47" t="str">
            <v>n/a</v>
          </cell>
          <cell r="AB47" t="str">
            <v>n/a</v>
          </cell>
          <cell r="AC47" t="str">
            <v>n/a</v>
          </cell>
          <cell r="AD47" t="str">
            <v>n/a</v>
          </cell>
          <cell r="AE47" t="str">
            <v>n/a</v>
          </cell>
          <cell r="AF47" t="str">
            <v>n/a</v>
          </cell>
          <cell r="AG47" t="str">
            <v>n/a</v>
          </cell>
          <cell r="AH47" t="str">
            <v>n/a</v>
          </cell>
          <cell r="AI47" t="str">
            <v>n/a</v>
          </cell>
          <cell r="AJ47">
            <v>50</v>
          </cell>
          <cell r="AK47" t="str">
            <v>FLIHQ</v>
          </cell>
          <cell r="AL47">
            <v>3107</v>
          </cell>
          <cell r="AM47">
            <v>3246.1326230944187</v>
          </cell>
          <cell r="AN47">
            <v>3362.4449916549393</v>
          </cell>
          <cell r="AO47">
            <v>3189</v>
          </cell>
          <cell r="AP47">
            <v>3303.2652461888374</v>
          </cell>
          <cell r="AQ47">
            <v>3421.6247371210411</v>
          </cell>
          <cell r="AR47" t="str">
            <v>n/a</v>
          </cell>
        </row>
        <row r="48">
          <cell r="A48">
            <v>40</v>
          </cell>
          <cell r="B48" t="str">
            <v xml:space="preserve">Peru </v>
          </cell>
          <cell r="C48">
            <v>40</v>
          </cell>
          <cell r="D48" t="str">
            <v>LAR</v>
          </cell>
          <cell r="E48" t="str">
            <v>fli3480t</v>
          </cell>
          <cell r="F48" t="str">
            <v>fli2480t</v>
          </cell>
          <cell r="G48" t="str">
            <v>fli3480f</v>
          </cell>
          <cell r="H48" t="str">
            <v>fli3480f</v>
          </cell>
          <cell r="I48" t="str">
            <v>n/a</v>
          </cell>
          <cell r="J48" t="str">
            <v>n/a</v>
          </cell>
          <cell r="K48" t="str">
            <v>n/a</v>
          </cell>
          <cell r="L48" t="str">
            <v>n/a</v>
          </cell>
          <cell r="M48" t="str">
            <v>n/a</v>
          </cell>
          <cell r="N48" t="str">
            <v>n/a</v>
          </cell>
          <cell r="O48" t="str">
            <v>n/a</v>
          </cell>
          <cell r="P48" t="str">
            <v>n/a</v>
          </cell>
          <cell r="Q48" t="str">
            <v>n/a</v>
          </cell>
          <cell r="R48" t="str">
            <v>n/a</v>
          </cell>
          <cell r="S48" t="str">
            <v>n/a</v>
          </cell>
          <cell r="T48" t="str">
            <v>n/a</v>
          </cell>
          <cell r="U48" t="str">
            <v>n/a</v>
          </cell>
          <cell r="V48" t="str">
            <v>n/a</v>
          </cell>
          <cell r="W48" t="str">
            <v>n/a</v>
          </cell>
          <cell r="X48" t="str">
            <v>n/a</v>
          </cell>
          <cell r="Y48" t="str">
            <v>n/a</v>
          </cell>
          <cell r="Z48" t="str">
            <v>n/a</v>
          </cell>
          <cell r="AA48" t="str">
            <v>n/a</v>
          </cell>
          <cell r="AB48" t="str">
            <v>n/a</v>
          </cell>
          <cell r="AC48" t="str">
            <v>n/a</v>
          </cell>
          <cell r="AD48" t="str">
            <v>n/a</v>
          </cell>
          <cell r="AE48" t="str">
            <v>n/a</v>
          </cell>
          <cell r="AF48" t="str">
            <v>n/a</v>
          </cell>
          <cell r="AG48" t="str">
            <v>n/a</v>
          </cell>
          <cell r="AH48" t="str">
            <v>n/a</v>
          </cell>
          <cell r="AI48" t="str">
            <v>n/a</v>
          </cell>
          <cell r="AJ48">
            <v>50</v>
          </cell>
          <cell r="AK48" t="str">
            <v>FLIHQ</v>
          </cell>
          <cell r="AL48">
            <v>3.6204999999999998</v>
          </cell>
          <cell r="AM48">
            <v>3.6769926379240303</v>
          </cell>
          <cell r="AN48">
            <v>3.6829827890479447</v>
          </cell>
          <cell r="AO48">
            <v>3.6739999999999999</v>
          </cell>
          <cell r="AP48">
            <v>3.6799852758480602</v>
          </cell>
          <cell r="AQ48">
            <v>3.6859803022478292</v>
          </cell>
          <cell r="AR48" t="str">
            <v>n/a</v>
          </cell>
        </row>
        <row r="49">
          <cell r="A49">
            <v>41</v>
          </cell>
          <cell r="B49" t="str">
            <v>Ecuador</v>
          </cell>
          <cell r="C49">
            <v>41</v>
          </cell>
          <cell r="D49" t="str">
            <v>LAR</v>
          </cell>
          <cell r="E49" t="str">
            <v>fli3490t</v>
          </cell>
          <cell r="F49" t="str">
            <v>fli2490t</v>
          </cell>
          <cell r="G49" t="str">
            <v>fli3490t</v>
          </cell>
          <cell r="H49" t="str">
            <v>fli3490t</v>
          </cell>
          <cell r="I49" t="str">
            <v>n/a</v>
          </cell>
          <cell r="J49" t="str">
            <v>n/a</v>
          </cell>
          <cell r="K49" t="str">
            <v>n/a</v>
          </cell>
          <cell r="L49" t="str">
            <v>n/a</v>
          </cell>
          <cell r="M49" t="str">
            <v>n/a</v>
          </cell>
          <cell r="N49" t="str">
            <v>n/a</v>
          </cell>
          <cell r="O49" t="str">
            <v>n/a</v>
          </cell>
          <cell r="P49" t="str">
            <v>n/a</v>
          </cell>
          <cell r="Q49" t="str">
            <v>n/a</v>
          </cell>
          <cell r="R49" t="str">
            <v>n/a</v>
          </cell>
          <cell r="S49" t="str">
            <v>n/a</v>
          </cell>
          <cell r="T49" t="str">
            <v>n/a</v>
          </cell>
          <cell r="U49" t="str">
            <v>n/a</v>
          </cell>
          <cell r="V49" t="str">
            <v>n/a</v>
          </cell>
          <cell r="W49" t="str">
            <v>n/a</v>
          </cell>
          <cell r="X49" t="str">
            <v>n/a</v>
          </cell>
          <cell r="Y49" t="str">
            <v>n/a</v>
          </cell>
          <cell r="Z49" t="str">
            <v>n/a</v>
          </cell>
          <cell r="AA49" t="str">
            <v>n/a</v>
          </cell>
          <cell r="AB49" t="str">
            <v>n/a</v>
          </cell>
          <cell r="AC49" t="str">
            <v>n/a</v>
          </cell>
          <cell r="AD49" t="str">
            <v>n/a</v>
          </cell>
          <cell r="AE49" t="str">
            <v>n/a</v>
          </cell>
          <cell r="AF49" t="str">
            <v>n/a</v>
          </cell>
          <cell r="AG49" t="str">
            <v>n/a</v>
          </cell>
          <cell r="AH49" t="str">
            <v>n/a</v>
          </cell>
          <cell r="AI49" t="str">
            <v>n/a</v>
          </cell>
          <cell r="AJ49">
            <v>50</v>
          </cell>
          <cell r="AK49" t="str">
            <v>FLIHQ</v>
          </cell>
          <cell r="AL49">
            <v>1</v>
          </cell>
          <cell r="AM49">
            <v>1</v>
          </cell>
          <cell r="AN49">
            <v>1</v>
          </cell>
          <cell r="AO49">
            <v>1</v>
          </cell>
          <cell r="AP49">
            <v>1</v>
          </cell>
          <cell r="AQ49">
            <v>1</v>
          </cell>
          <cell r="AR49" t="str">
            <v>n/a</v>
          </cell>
        </row>
        <row r="50">
          <cell r="A50">
            <v>42</v>
          </cell>
          <cell r="B50" t="str">
            <v>Andean HQ</v>
          </cell>
          <cell r="C50">
            <v>42</v>
          </cell>
          <cell r="D50" t="str">
            <v>LAR</v>
          </cell>
          <cell r="E50" t="str">
            <v>fli3405t</v>
          </cell>
          <cell r="F50" t="str">
            <v>fli2405t</v>
          </cell>
          <cell r="G50" t="str">
            <v>fli3405t</v>
          </cell>
          <cell r="H50" t="str">
            <v>fli3405t</v>
          </cell>
          <cell r="I50" t="str">
            <v>n/a</v>
          </cell>
          <cell r="J50" t="str">
            <v>n/a</v>
          </cell>
          <cell r="K50" t="str">
            <v>n/a</v>
          </cell>
          <cell r="L50" t="str">
            <v>n/a</v>
          </cell>
          <cell r="M50" t="str">
            <v>n/a</v>
          </cell>
          <cell r="N50" t="str">
            <v>n/a</v>
          </cell>
          <cell r="O50" t="str">
            <v>n/a</v>
          </cell>
          <cell r="P50" t="str">
            <v>n/a</v>
          </cell>
          <cell r="Q50" t="str">
            <v>n/a</v>
          </cell>
          <cell r="R50" t="str">
            <v>n/a</v>
          </cell>
          <cell r="S50" t="str">
            <v>n/a</v>
          </cell>
          <cell r="T50" t="str">
            <v>n/a</v>
          </cell>
          <cell r="U50" t="str">
            <v>n/a</v>
          </cell>
          <cell r="V50" t="str">
            <v>n/a</v>
          </cell>
          <cell r="W50" t="str">
            <v>n/a</v>
          </cell>
          <cell r="X50" t="str">
            <v>n/a</v>
          </cell>
          <cell r="Y50" t="str">
            <v>n/a</v>
          </cell>
          <cell r="Z50" t="str">
            <v>n/a</v>
          </cell>
          <cell r="AA50" t="str">
            <v>n/a</v>
          </cell>
          <cell r="AB50" t="str">
            <v>n/a</v>
          </cell>
          <cell r="AC50" t="str">
            <v>n/a</v>
          </cell>
          <cell r="AD50" t="str">
            <v>n/a</v>
          </cell>
          <cell r="AE50" t="str">
            <v>n/a</v>
          </cell>
          <cell r="AF50" t="str">
            <v>n/a</v>
          </cell>
          <cell r="AG50" t="str">
            <v>n/a</v>
          </cell>
          <cell r="AH50" t="str">
            <v>n/a</v>
          </cell>
          <cell r="AI50" t="str">
            <v>n/a</v>
          </cell>
          <cell r="AJ50">
            <v>50</v>
          </cell>
          <cell r="AK50" t="str">
            <v>FLIHQ</v>
          </cell>
          <cell r="AL50">
            <v>1</v>
          </cell>
          <cell r="AM50">
            <v>1</v>
          </cell>
          <cell r="AN50">
            <v>1</v>
          </cell>
          <cell r="AO50">
            <v>1</v>
          </cell>
          <cell r="AP50">
            <v>1</v>
          </cell>
          <cell r="AQ50">
            <v>1</v>
          </cell>
          <cell r="AR50" t="str">
            <v>n/a</v>
          </cell>
        </row>
        <row r="51">
          <cell r="A51">
            <v>43</v>
          </cell>
          <cell r="B51" t="str">
            <v>Guatemala</v>
          </cell>
          <cell r="C51">
            <v>43</v>
          </cell>
          <cell r="D51" t="str">
            <v>LAR</v>
          </cell>
          <cell r="E51" t="str">
            <v>fli3430t</v>
          </cell>
          <cell r="F51" t="str">
            <v>fli2430t</v>
          </cell>
          <cell r="G51" t="str">
            <v>fli3430f</v>
          </cell>
          <cell r="H51" t="str">
            <v>fli3430f</v>
          </cell>
          <cell r="I51" t="str">
            <v>n/a</v>
          </cell>
          <cell r="J51" t="str">
            <v>n/a</v>
          </cell>
          <cell r="K51" t="str">
            <v>n/a</v>
          </cell>
          <cell r="L51" t="str">
            <v>n/a</v>
          </cell>
          <cell r="M51" t="str">
            <v>n/a</v>
          </cell>
          <cell r="N51" t="str">
            <v>n/a</v>
          </cell>
          <cell r="O51" t="str">
            <v>n/a</v>
          </cell>
          <cell r="P51" t="str">
            <v>n/a</v>
          </cell>
          <cell r="Q51" t="str">
            <v>n/a</v>
          </cell>
          <cell r="R51" t="str">
            <v>n/a</v>
          </cell>
          <cell r="S51" t="str">
            <v>n/a</v>
          </cell>
          <cell r="T51" t="str">
            <v>n/a</v>
          </cell>
          <cell r="U51" t="str">
            <v>n/a</v>
          </cell>
          <cell r="V51" t="str">
            <v>n/a</v>
          </cell>
          <cell r="W51" t="str">
            <v>n/a</v>
          </cell>
          <cell r="X51" t="str">
            <v>n/a</v>
          </cell>
          <cell r="Y51" t="str">
            <v>n/a</v>
          </cell>
          <cell r="Z51" t="str">
            <v>n/a</v>
          </cell>
          <cell r="AA51" t="str">
            <v>n/a</v>
          </cell>
          <cell r="AB51" t="str">
            <v>n/a</v>
          </cell>
          <cell r="AC51" t="str">
            <v>n/a</v>
          </cell>
          <cell r="AD51" t="str">
            <v>n/a</v>
          </cell>
          <cell r="AE51" t="str">
            <v>n/a</v>
          </cell>
          <cell r="AF51" t="str">
            <v>n/a</v>
          </cell>
          <cell r="AG51" t="str">
            <v>n/a</v>
          </cell>
          <cell r="AH51" t="str">
            <v>n/a</v>
          </cell>
          <cell r="AI51" t="str">
            <v>n/a</v>
          </cell>
          <cell r="AJ51">
            <v>50</v>
          </cell>
          <cell r="AK51" t="str">
            <v>FLIHQ</v>
          </cell>
          <cell r="AL51">
            <v>8.2650584835253085</v>
          </cell>
          <cell r="AM51">
            <v>8.5003220668729984</v>
          </cell>
          <cell r="AN51">
            <v>8.721832534052588</v>
          </cell>
          <cell r="AO51">
            <v>8.3909913614043106</v>
          </cell>
          <cell r="AP51">
            <v>8.6096527723416862</v>
          </cell>
          <cell r="AQ51">
            <v>8.8340122957634879</v>
          </cell>
          <cell r="AR51" t="str">
            <v>n/a</v>
          </cell>
        </row>
        <row r="52">
          <cell r="A52">
            <v>44</v>
          </cell>
          <cell r="B52" t="str">
            <v>Honduras</v>
          </cell>
          <cell r="C52">
            <v>44</v>
          </cell>
          <cell r="D52" t="str">
            <v>LAR</v>
          </cell>
          <cell r="E52" t="str">
            <v>fli3440t</v>
          </cell>
          <cell r="F52" t="str">
            <v>fli2440t</v>
          </cell>
          <cell r="G52" t="str">
            <v>fli3440f</v>
          </cell>
          <cell r="H52" t="str">
            <v>fli3440f</v>
          </cell>
          <cell r="I52" t="str">
            <v>n/a</v>
          </cell>
          <cell r="J52" t="str">
            <v>n/a</v>
          </cell>
          <cell r="K52" t="str">
            <v>n/a</v>
          </cell>
          <cell r="L52" t="str">
            <v>n/a</v>
          </cell>
          <cell r="M52" t="str">
            <v>n/a</v>
          </cell>
          <cell r="N52" t="str">
            <v>n/a</v>
          </cell>
          <cell r="O52" t="str">
            <v>n/a</v>
          </cell>
          <cell r="P52" t="str">
            <v>n/a</v>
          </cell>
          <cell r="Q52" t="str">
            <v>n/a</v>
          </cell>
          <cell r="R52" t="str">
            <v>n/a</v>
          </cell>
          <cell r="S52" t="str">
            <v>n/a</v>
          </cell>
          <cell r="T52" t="str">
            <v>n/a</v>
          </cell>
          <cell r="U52" t="str">
            <v>n/a</v>
          </cell>
          <cell r="V52" t="str">
            <v>n/a</v>
          </cell>
          <cell r="W52" t="str">
            <v>n/a</v>
          </cell>
          <cell r="X52" t="str">
            <v>n/a</v>
          </cell>
          <cell r="Y52" t="str">
            <v>n/a</v>
          </cell>
          <cell r="Z52" t="str">
            <v>n/a</v>
          </cell>
          <cell r="AA52" t="str">
            <v>n/a</v>
          </cell>
          <cell r="AB52" t="str">
            <v>n/a</v>
          </cell>
          <cell r="AC52" t="str">
            <v>n/a</v>
          </cell>
          <cell r="AD52" t="str">
            <v>n/a</v>
          </cell>
          <cell r="AE52" t="str">
            <v>n/a</v>
          </cell>
          <cell r="AF52" t="str">
            <v>n/a</v>
          </cell>
          <cell r="AG52" t="str">
            <v>n/a</v>
          </cell>
          <cell r="AH52" t="str">
            <v>n/a</v>
          </cell>
          <cell r="AI52" t="str">
            <v>n/a</v>
          </cell>
          <cell r="AJ52">
            <v>50</v>
          </cell>
          <cell r="AK52" t="str">
            <v>FLIHQ</v>
          </cell>
          <cell r="AL52">
            <v>18.676035991010576</v>
          </cell>
          <cell r="AM52">
            <v>19.663367510883269</v>
          </cell>
          <cell r="AN52">
            <v>20.656152165424146</v>
          </cell>
          <cell r="AO52">
            <v>19.179197816449292</v>
          </cell>
          <cell r="AP52">
            <v>20.147537205317249</v>
          </cell>
          <cell r="AQ52">
            <v>21.164767125531043</v>
          </cell>
          <cell r="AR52" t="str">
            <v>n/a</v>
          </cell>
        </row>
        <row r="53">
          <cell r="A53">
            <v>45</v>
          </cell>
          <cell r="B53" t="str">
            <v>El Salvador</v>
          </cell>
          <cell r="C53">
            <v>45</v>
          </cell>
          <cell r="D53" t="str">
            <v>LAR</v>
          </cell>
          <cell r="E53" t="str">
            <v>fli3420t</v>
          </cell>
          <cell r="F53" t="str">
            <v>fli2420t</v>
          </cell>
          <cell r="G53" t="str">
            <v>fli3420f</v>
          </cell>
          <cell r="H53" t="str">
            <v>fli3420f</v>
          </cell>
          <cell r="I53" t="str">
            <v>n/a</v>
          </cell>
          <cell r="J53" t="str">
            <v>n/a</v>
          </cell>
          <cell r="K53" t="str">
            <v>n/a</v>
          </cell>
          <cell r="L53" t="str">
            <v>n/a</v>
          </cell>
          <cell r="M53" t="str">
            <v>n/a</v>
          </cell>
          <cell r="N53" t="str">
            <v>n/a</v>
          </cell>
          <cell r="O53" t="str">
            <v>n/a</v>
          </cell>
          <cell r="P53" t="str">
            <v>n/a</v>
          </cell>
          <cell r="Q53" t="str">
            <v>n/a</v>
          </cell>
          <cell r="R53" t="str">
            <v>n/a</v>
          </cell>
          <cell r="S53" t="str">
            <v>n/a</v>
          </cell>
          <cell r="T53" t="str">
            <v>n/a</v>
          </cell>
          <cell r="U53" t="str">
            <v>n/a</v>
          </cell>
          <cell r="V53" t="str">
            <v>n/a</v>
          </cell>
          <cell r="W53" t="str">
            <v>n/a</v>
          </cell>
          <cell r="X53" t="str">
            <v>n/a</v>
          </cell>
          <cell r="Y53" t="str">
            <v>n/a</v>
          </cell>
          <cell r="Z53" t="str">
            <v>n/a</v>
          </cell>
          <cell r="AA53" t="str">
            <v>n/a</v>
          </cell>
          <cell r="AB53" t="str">
            <v>n/a</v>
          </cell>
          <cell r="AC53" t="str">
            <v>n/a</v>
          </cell>
          <cell r="AD53" t="str">
            <v>n/a</v>
          </cell>
          <cell r="AE53" t="str">
            <v>n/a</v>
          </cell>
          <cell r="AF53" t="str">
            <v>n/a</v>
          </cell>
          <cell r="AG53" t="str">
            <v>n/a</v>
          </cell>
          <cell r="AH53" t="str">
            <v>n/a</v>
          </cell>
          <cell r="AI53" t="str">
            <v>n/a</v>
          </cell>
          <cell r="AJ53">
            <v>50</v>
          </cell>
          <cell r="AK53" t="str">
            <v>FLIHQ</v>
          </cell>
          <cell r="AL53">
            <v>8.75</v>
          </cell>
          <cell r="AM53">
            <v>8.75</v>
          </cell>
          <cell r="AN53">
            <v>8.75</v>
          </cell>
          <cell r="AO53">
            <v>8.75</v>
          </cell>
          <cell r="AP53">
            <v>8.75</v>
          </cell>
          <cell r="AQ53">
            <v>8.75</v>
          </cell>
          <cell r="AR53" t="str">
            <v>n/a</v>
          </cell>
        </row>
        <row r="54">
          <cell r="A54">
            <v>46</v>
          </cell>
          <cell r="B54" t="str">
            <v>Panama</v>
          </cell>
          <cell r="C54">
            <v>46</v>
          </cell>
          <cell r="D54" t="str">
            <v>LAR</v>
          </cell>
          <cell r="E54" t="str">
            <v>fli3460t</v>
          </cell>
          <cell r="F54" t="str">
            <v>fli2460t</v>
          </cell>
          <cell r="G54" t="str">
            <v>fli3460t</v>
          </cell>
          <cell r="H54" t="str">
            <v>fli3460t</v>
          </cell>
          <cell r="I54" t="str">
            <v>n/a</v>
          </cell>
          <cell r="J54" t="str">
            <v>n/a</v>
          </cell>
          <cell r="K54" t="str">
            <v>n/a</v>
          </cell>
          <cell r="L54" t="str">
            <v>n/a</v>
          </cell>
          <cell r="M54" t="str">
            <v>n/a</v>
          </cell>
          <cell r="N54" t="str">
            <v>n/a</v>
          </cell>
          <cell r="O54" t="str">
            <v>n/a</v>
          </cell>
          <cell r="P54" t="str">
            <v>n/a</v>
          </cell>
          <cell r="Q54" t="str">
            <v>n/a</v>
          </cell>
          <cell r="R54" t="str">
            <v>n/a</v>
          </cell>
          <cell r="S54" t="str">
            <v>n/a</v>
          </cell>
          <cell r="T54" t="str">
            <v>n/a</v>
          </cell>
          <cell r="U54" t="str">
            <v>n/a</v>
          </cell>
          <cell r="V54" t="str">
            <v>n/a</v>
          </cell>
          <cell r="W54" t="str">
            <v>n/a</v>
          </cell>
          <cell r="X54" t="str">
            <v>n/a</v>
          </cell>
          <cell r="Y54" t="str">
            <v>n/a</v>
          </cell>
          <cell r="Z54" t="str">
            <v>n/a</v>
          </cell>
          <cell r="AA54" t="str">
            <v>n/a</v>
          </cell>
          <cell r="AB54" t="str">
            <v>n/a</v>
          </cell>
          <cell r="AC54" t="str">
            <v>n/a</v>
          </cell>
          <cell r="AD54" t="str">
            <v>n/a</v>
          </cell>
          <cell r="AE54" t="str">
            <v>n/a</v>
          </cell>
          <cell r="AF54" t="str">
            <v>n/a</v>
          </cell>
          <cell r="AG54" t="str">
            <v>n/a</v>
          </cell>
          <cell r="AH54" t="str">
            <v>n/a</v>
          </cell>
          <cell r="AI54" t="str">
            <v>n/a</v>
          </cell>
          <cell r="AJ54">
            <v>50</v>
          </cell>
          <cell r="AK54" t="str">
            <v>FLIHQ</v>
          </cell>
          <cell r="AL54">
            <v>1</v>
          </cell>
          <cell r="AM54">
            <v>1</v>
          </cell>
          <cell r="AN54">
            <v>1</v>
          </cell>
          <cell r="AO54">
            <v>1</v>
          </cell>
          <cell r="AP54">
            <v>1</v>
          </cell>
          <cell r="AQ54">
            <v>1</v>
          </cell>
          <cell r="AR54" t="str">
            <v>n/a</v>
          </cell>
        </row>
        <row r="55">
          <cell r="A55">
            <v>47</v>
          </cell>
          <cell r="B55" t="str">
            <v>Goodwill/SAS CV</v>
          </cell>
          <cell r="C55">
            <v>47</v>
          </cell>
          <cell r="D55" t="str">
            <v>LAR</v>
          </cell>
          <cell r="E55" t="str">
            <v>fli3415t</v>
          </cell>
          <cell r="F55" t="str">
            <v>fli2415t</v>
          </cell>
          <cell r="G55" t="str">
            <v>fli3415t</v>
          </cell>
          <cell r="H55" t="str">
            <v>fli3415t</v>
          </cell>
          <cell r="I55" t="str">
            <v>n/a</v>
          </cell>
          <cell r="J55" t="str">
            <v>n/a</v>
          </cell>
          <cell r="K55" t="str">
            <v>n/a</v>
          </cell>
          <cell r="L55" t="str">
            <v>n/a</v>
          </cell>
          <cell r="M55" t="str">
            <v>n/a</v>
          </cell>
          <cell r="N55" t="str">
            <v>n/a</v>
          </cell>
          <cell r="O55" t="str">
            <v>n/a</v>
          </cell>
          <cell r="P55" t="str">
            <v>n/a</v>
          </cell>
          <cell r="Q55" t="str">
            <v>n/a</v>
          </cell>
          <cell r="R55" t="str">
            <v>n/a</v>
          </cell>
          <cell r="S55" t="str">
            <v>n/a</v>
          </cell>
          <cell r="T55" t="str">
            <v>n/a</v>
          </cell>
          <cell r="U55" t="str">
            <v>n/a</v>
          </cell>
          <cell r="V55" t="str">
            <v>n/a</v>
          </cell>
          <cell r="W55" t="str">
            <v>n/a</v>
          </cell>
          <cell r="X55" t="str">
            <v>n/a</v>
          </cell>
          <cell r="Y55" t="str">
            <v>n/a</v>
          </cell>
          <cell r="Z55" t="str">
            <v>n/a</v>
          </cell>
          <cell r="AA55" t="str">
            <v>n/a</v>
          </cell>
          <cell r="AB55" t="str">
            <v>n/a</v>
          </cell>
          <cell r="AC55" t="str">
            <v>n/a</v>
          </cell>
          <cell r="AD55" t="str">
            <v>n/a</v>
          </cell>
          <cell r="AE55" t="str">
            <v>n/a</v>
          </cell>
          <cell r="AF55" t="str">
            <v>n/a</v>
          </cell>
          <cell r="AG55" t="str">
            <v>n/a</v>
          </cell>
          <cell r="AH55" t="str">
            <v>n/a</v>
          </cell>
          <cell r="AI55" t="str">
            <v>n/a</v>
          </cell>
          <cell r="AJ55">
            <v>50</v>
          </cell>
          <cell r="AK55" t="str">
            <v>FLIHQ</v>
          </cell>
          <cell r="AL55">
            <v>1</v>
          </cell>
          <cell r="AM55">
            <v>1</v>
          </cell>
          <cell r="AN55">
            <v>1</v>
          </cell>
          <cell r="AO55">
            <v>1</v>
          </cell>
          <cell r="AP55">
            <v>1</v>
          </cell>
          <cell r="AQ55">
            <v>1</v>
          </cell>
          <cell r="AR55" t="str">
            <v>n/a</v>
          </cell>
        </row>
        <row r="56">
          <cell r="A56">
            <v>48</v>
          </cell>
          <cell r="B56" t="str">
            <v>Eliminations</v>
          </cell>
          <cell r="C56">
            <v>48</v>
          </cell>
          <cell r="D56" t="str">
            <v>LAR</v>
          </cell>
          <cell r="E56" t="str">
            <v>fli3410c</v>
          </cell>
          <cell r="F56" t="str">
            <v>fli2410</v>
          </cell>
          <cell r="G56" t="str">
            <v>fli3410c</v>
          </cell>
          <cell r="H56" t="str">
            <v>fli3410c</v>
          </cell>
          <cell r="I56" t="str">
            <v>n/a</v>
          </cell>
          <cell r="J56" t="str">
            <v>n/a</v>
          </cell>
          <cell r="K56" t="str">
            <v>n/a</v>
          </cell>
          <cell r="L56" t="str">
            <v>n/a</v>
          </cell>
          <cell r="M56" t="str">
            <v>n/a</v>
          </cell>
          <cell r="N56" t="str">
            <v>n/a</v>
          </cell>
          <cell r="O56" t="str">
            <v>n/a</v>
          </cell>
          <cell r="P56" t="str">
            <v>n/a</v>
          </cell>
          <cell r="Q56" t="str">
            <v>n/a</v>
          </cell>
          <cell r="R56" t="str">
            <v>n/a</v>
          </cell>
          <cell r="S56" t="str">
            <v>n/a</v>
          </cell>
          <cell r="T56" t="str">
            <v>n/a</v>
          </cell>
          <cell r="U56" t="str">
            <v>n/a</v>
          </cell>
          <cell r="V56" t="str">
            <v>n/a</v>
          </cell>
          <cell r="W56" t="str">
            <v>n/a</v>
          </cell>
          <cell r="X56" t="str">
            <v>n/a</v>
          </cell>
          <cell r="Y56" t="str">
            <v>n/a</v>
          </cell>
          <cell r="Z56" t="str">
            <v>n/a</v>
          </cell>
          <cell r="AA56" t="str">
            <v>n/a</v>
          </cell>
          <cell r="AB56" t="str">
            <v>n/a</v>
          </cell>
          <cell r="AC56" t="str">
            <v>n/a</v>
          </cell>
          <cell r="AD56" t="str">
            <v>n/a</v>
          </cell>
          <cell r="AE56" t="str">
            <v>n/a</v>
          </cell>
          <cell r="AF56" t="str">
            <v>n/a</v>
          </cell>
          <cell r="AG56" t="str">
            <v>n/a</v>
          </cell>
          <cell r="AH56" t="str">
            <v>n/a</v>
          </cell>
          <cell r="AI56" t="str">
            <v>n/a</v>
          </cell>
          <cell r="AJ56">
            <v>50</v>
          </cell>
          <cell r="AK56" t="str">
            <v>FLIHQ</v>
          </cell>
          <cell r="AL56">
            <v>1</v>
          </cell>
          <cell r="AM56">
            <v>1</v>
          </cell>
          <cell r="AN56">
            <v>1</v>
          </cell>
          <cell r="AO56">
            <v>1</v>
          </cell>
          <cell r="AP56">
            <v>1</v>
          </cell>
          <cell r="AQ56">
            <v>1</v>
          </cell>
          <cell r="AR56" t="str">
            <v>n/a</v>
          </cell>
        </row>
        <row r="57">
          <cell r="A57">
            <v>49</v>
          </cell>
          <cell r="B57" t="str">
            <v xml:space="preserve">China </v>
          </cell>
          <cell r="C57">
            <v>49</v>
          </cell>
          <cell r="D57" t="str">
            <v>ASIA</v>
          </cell>
          <cell r="E57" t="str">
            <v>fli1700t</v>
          </cell>
          <cell r="F57" t="str">
            <v>fli1700t</v>
          </cell>
          <cell r="G57" t="str">
            <v>fli1700f</v>
          </cell>
          <cell r="H57" t="str">
            <v>fli1700f</v>
          </cell>
          <cell r="I57" t="str">
            <v>n/a</v>
          </cell>
          <cell r="J57" t="str">
            <v>n/a</v>
          </cell>
          <cell r="K57" t="str">
            <v>n/a</v>
          </cell>
          <cell r="L57" t="str">
            <v>n/a</v>
          </cell>
          <cell r="M57" t="str">
            <v>n/a</v>
          </cell>
          <cell r="N57" t="str">
            <v>n/a</v>
          </cell>
          <cell r="O57" t="str">
            <v>n/a</v>
          </cell>
          <cell r="P57" t="str">
            <v>n/a</v>
          </cell>
          <cell r="Q57" t="str">
            <v>n/a</v>
          </cell>
          <cell r="R57" t="str">
            <v>n/a</v>
          </cell>
          <cell r="S57" t="str">
            <v>n/a</v>
          </cell>
          <cell r="T57" t="str">
            <v>n/a</v>
          </cell>
          <cell r="U57" t="str">
            <v>n/a</v>
          </cell>
          <cell r="V57" t="str">
            <v>n/a</v>
          </cell>
          <cell r="W57" t="str">
            <v>n/a</v>
          </cell>
          <cell r="X57" t="str">
            <v>n/a</v>
          </cell>
          <cell r="Y57" t="str">
            <v>n/a</v>
          </cell>
          <cell r="Z57" t="str">
            <v>n/a</v>
          </cell>
          <cell r="AA57" t="str">
            <v>n/a</v>
          </cell>
          <cell r="AB57" t="str">
            <v>n/a</v>
          </cell>
          <cell r="AC57" t="str">
            <v>n/a</v>
          </cell>
          <cell r="AD57" t="str">
            <v>n/a</v>
          </cell>
          <cell r="AE57" t="str">
            <v>n/a</v>
          </cell>
          <cell r="AF57" t="str">
            <v>n/a</v>
          </cell>
          <cell r="AG57" t="str">
            <v>n/a</v>
          </cell>
          <cell r="AH57" t="str">
            <v>n/a</v>
          </cell>
          <cell r="AI57" t="str">
            <v>n/a</v>
          </cell>
          <cell r="AJ57">
            <v>100</v>
          </cell>
          <cell r="AK57" t="str">
            <v>FLIHQ</v>
          </cell>
          <cell r="AL57">
            <v>8.2475000000000005</v>
          </cell>
          <cell r="AM57">
            <v>8.2578128337122489</v>
          </cell>
          <cell r="AN57">
            <v>8.3116131890365601</v>
          </cell>
          <cell r="AO57">
            <v>8.2309999999999999</v>
          </cell>
          <cell r="AP57">
            <v>8.284625667424498</v>
          </cell>
          <cell r="AQ57">
            <v>8.3386007106486222</v>
          </cell>
          <cell r="AR57" t="str">
            <v>n/a</v>
          </cell>
        </row>
        <row r="58">
          <cell r="A58">
            <v>50</v>
          </cell>
          <cell r="B58" t="str">
            <v>Thailand</v>
          </cell>
          <cell r="C58">
            <v>50</v>
          </cell>
          <cell r="D58" t="str">
            <v>ASIA</v>
          </cell>
          <cell r="E58" t="str">
            <v>fli1410t</v>
          </cell>
          <cell r="F58" t="str">
            <v>fli1410t</v>
          </cell>
          <cell r="G58" t="str">
            <v>fli1410f</v>
          </cell>
          <cell r="H58" t="str">
            <v>fli1410f</v>
          </cell>
          <cell r="I58" t="str">
            <v>n/a</v>
          </cell>
          <cell r="J58" t="str">
            <v>n/a</v>
          </cell>
          <cell r="K58" t="str">
            <v>n/a</v>
          </cell>
          <cell r="L58" t="str">
            <v>n/a</v>
          </cell>
          <cell r="M58" t="str">
            <v>n/a</v>
          </cell>
          <cell r="N58" t="str">
            <v>n/a</v>
          </cell>
          <cell r="O58" t="str">
            <v>n/a</v>
          </cell>
          <cell r="P58" t="str">
            <v>n/a</v>
          </cell>
          <cell r="Q58" t="str">
            <v>n/a</v>
          </cell>
          <cell r="R58" t="str">
            <v>n/a</v>
          </cell>
          <cell r="S58" t="str">
            <v>n/a</v>
          </cell>
          <cell r="T58" t="str">
            <v>n/a</v>
          </cell>
          <cell r="U58" t="str">
            <v>n/a</v>
          </cell>
          <cell r="V58" t="str">
            <v>n/a</v>
          </cell>
          <cell r="W58" t="str">
            <v>n/a</v>
          </cell>
          <cell r="X58" t="str">
            <v>n/a</v>
          </cell>
          <cell r="Y58" t="str">
            <v>n/a</v>
          </cell>
          <cell r="Z58" t="str">
            <v>n/a</v>
          </cell>
          <cell r="AA58" t="str">
            <v>n/a</v>
          </cell>
          <cell r="AB58" t="str">
            <v>n/a</v>
          </cell>
          <cell r="AC58" t="str">
            <v>n/a</v>
          </cell>
          <cell r="AD58" t="str">
            <v>n/a</v>
          </cell>
          <cell r="AE58" t="str">
            <v>n/a</v>
          </cell>
          <cell r="AF58" t="str">
            <v>n/a</v>
          </cell>
          <cell r="AG58" t="str">
            <v>n/a</v>
          </cell>
          <cell r="AH58" t="str">
            <v>n/a</v>
          </cell>
          <cell r="AI58" t="str">
            <v>n/a</v>
          </cell>
          <cell r="AJ58">
            <v>100</v>
          </cell>
          <cell r="AK58" t="str">
            <v>FLIHQ</v>
          </cell>
          <cell r="AL58">
            <v>41.484999999999999</v>
          </cell>
          <cell r="AM58">
            <v>41.023086870731547</v>
          </cell>
          <cell r="AN58">
            <v>40.989534383477746</v>
          </cell>
          <cell r="AO58">
            <v>41.09</v>
          </cell>
          <cell r="AP58">
            <v>40.956173741463083</v>
          </cell>
          <cell r="AQ58">
            <v>41.02289502549241</v>
          </cell>
          <cell r="AR58" t="str">
            <v>n/a</v>
          </cell>
        </row>
        <row r="59">
          <cell r="A59">
            <v>51</v>
          </cell>
          <cell r="B59" t="str">
            <v>Taiwan</v>
          </cell>
          <cell r="C59">
            <v>51</v>
          </cell>
          <cell r="D59" t="str">
            <v>ASIA</v>
          </cell>
          <cell r="E59" t="str">
            <v>fli1790t</v>
          </cell>
          <cell r="F59" t="str">
            <v>fli1790t</v>
          </cell>
          <cell r="G59" t="str">
            <v>fli1790f</v>
          </cell>
          <cell r="H59" t="str">
            <v>fli1790f</v>
          </cell>
          <cell r="I59" t="str">
            <v>n/a</v>
          </cell>
          <cell r="J59" t="str">
            <v>n/a</v>
          </cell>
          <cell r="K59" t="str">
            <v>n/a</v>
          </cell>
          <cell r="L59" t="str">
            <v>n/a</v>
          </cell>
          <cell r="M59" t="str">
            <v>n/a</v>
          </cell>
          <cell r="N59" t="str">
            <v>n/a</v>
          </cell>
          <cell r="O59" t="str">
            <v>n/a</v>
          </cell>
          <cell r="P59" t="str">
            <v>n/a</v>
          </cell>
          <cell r="Q59" t="str">
            <v>n/a</v>
          </cell>
          <cell r="R59" t="str">
            <v>n/a</v>
          </cell>
          <cell r="S59" t="str">
            <v>n/a</v>
          </cell>
          <cell r="T59" t="str">
            <v>n/a</v>
          </cell>
          <cell r="U59" t="str">
            <v>n/a</v>
          </cell>
          <cell r="V59" t="str">
            <v>n/a</v>
          </cell>
          <cell r="W59" t="str">
            <v>n/a</v>
          </cell>
          <cell r="X59" t="str">
            <v>n/a</v>
          </cell>
          <cell r="Y59" t="str">
            <v>n/a</v>
          </cell>
          <cell r="Z59" t="str">
            <v>n/a</v>
          </cell>
          <cell r="AA59" t="str">
            <v>n/a</v>
          </cell>
          <cell r="AB59" t="str">
            <v>n/a</v>
          </cell>
          <cell r="AC59" t="str">
            <v>n/a</v>
          </cell>
          <cell r="AD59" t="str">
            <v>n/a</v>
          </cell>
          <cell r="AE59" t="str">
            <v>n/a</v>
          </cell>
          <cell r="AF59" t="str">
            <v>n/a</v>
          </cell>
          <cell r="AG59" t="str">
            <v>n/a</v>
          </cell>
          <cell r="AH59" t="str">
            <v>n/a</v>
          </cell>
          <cell r="AI59" t="str">
            <v>n/a</v>
          </cell>
          <cell r="AJ59">
            <v>100</v>
          </cell>
          <cell r="AK59" t="str">
            <v>FLIHQ</v>
          </cell>
          <cell r="AL59">
            <v>33.74</v>
          </cell>
          <cell r="AM59">
            <v>33.363606402541748</v>
          </cell>
          <cell r="AN59">
            <v>33.140634251502874</v>
          </cell>
          <cell r="AO59">
            <v>33.5</v>
          </cell>
          <cell r="AP59">
            <v>33.227212805083489</v>
          </cell>
          <cell r="AQ59">
            <v>33.054055697922266</v>
          </cell>
          <cell r="AR59" t="str">
            <v>n/a</v>
          </cell>
        </row>
        <row r="60">
          <cell r="A60">
            <v>52</v>
          </cell>
          <cell r="B60" t="str">
            <v>India</v>
          </cell>
          <cell r="C60">
            <v>52</v>
          </cell>
          <cell r="D60" t="str">
            <v>ASIA</v>
          </cell>
          <cell r="E60" t="str">
            <v>fli1950t</v>
          </cell>
          <cell r="F60" t="str">
            <v>fli1950t</v>
          </cell>
          <cell r="G60" t="str">
            <v>fli1950f</v>
          </cell>
          <cell r="H60" t="str">
            <v>fli1950f</v>
          </cell>
          <cell r="I60" t="str">
            <v>n/a</v>
          </cell>
          <cell r="J60" t="str">
            <v>n/a</v>
          </cell>
          <cell r="K60" t="str">
            <v>n/a</v>
          </cell>
          <cell r="L60" t="str">
            <v>n/a</v>
          </cell>
          <cell r="M60" t="str">
            <v>n/a</v>
          </cell>
          <cell r="N60" t="str">
            <v>n/a</v>
          </cell>
          <cell r="O60" t="str">
            <v>n/a</v>
          </cell>
          <cell r="P60" t="str">
            <v>n/a</v>
          </cell>
          <cell r="Q60" t="str">
            <v>n/a</v>
          </cell>
          <cell r="R60" t="str">
            <v>n/a</v>
          </cell>
          <cell r="S60" t="str">
            <v>n/a</v>
          </cell>
          <cell r="T60" t="str">
            <v>n/a</v>
          </cell>
          <cell r="U60" t="str">
            <v>n/a</v>
          </cell>
          <cell r="V60" t="str">
            <v>n/a</v>
          </cell>
          <cell r="W60" t="str">
            <v>n/a</v>
          </cell>
          <cell r="X60" t="str">
            <v>n/a</v>
          </cell>
          <cell r="Y60" t="str">
            <v>n/a</v>
          </cell>
          <cell r="Z60" t="str">
            <v>n/a</v>
          </cell>
          <cell r="AA60" t="str">
            <v>n/a</v>
          </cell>
          <cell r="AB60" t="str">
            <v>n/a</v>
          </cell>
          <cell r="AC60" t="str">
            <v>n/a</v>
          </cell>
          <cell r="AD60" t="str">
            <v>n/a</v>
          </cell>
          <cell r="AE60" t="str">
            <v>n/a</v>
          </cell>
          <cell r="AF60" t="str">
            <v>n/a</v>
          </cell>
          <cell r="AG60" t="str">
            <v>n/a</v>
          </cell>
          <cell r="AH60" t="str">
            <v>n/a</v>
          </cell>
          <cell r="AI60" t="str">
            <v>n/a</v>
          </cell>
          <cell r="AJ60">
            <v>100</v>
          </cell>
          <cell r="AK60" t="str">
            <v>FLIHQ</v>
          </cell>
          <cell r="AL60">
            <v>49.03</v>
          </cell>
          <cell r="AM60">
            <v>50.712551672174328</v>
          </cell>
          <cell r="AN60">
            <v>52.529636087879922</v>
          </cell>
          <cell r="AO60">
            <v>49.82</v>
          </cell>
          <cell r="AP60">
            <v>51.605103344348663</v>
          </cell>
          <cell r="AQ60">
            <v>53.454168831411188</v>
          </cell>
          <cell r="AR60" t="str">
            <v>n/a</v>
          </cell>
        </row>
        <row r="61">
          <cell r="A61">
            <v>53</v>
          </cell>
          <cell r="B61" t="str">
            <v>Japan</v>
          </cell>
          <cell r="C61">
            <v>53</v>
          </cell>
          <cell r="D61" t="str">
            <v>ASIA</v>
          </cell>
          <cell r="E61" t="str">
            <v>fli1000t</v>
          </cell>
          <cell r="F61" t="str">
            <v>fli1000t</v>
          </cell>
          <cell r="G61" t="str">
            <v>fli1000f</v>
          </cell>
          <cell r="H61" t="str">
            <v>fli1000f</v>
          </cell>
          <cell r="I61" t="str">
            <v>n/a</v>
          </cell>
          <cell r="J61" t="str">
            <v>n/a</v>
          </cell>
          <cell r="K61" t="str">
            <v>n/a</v>
          </cell>
          <cell r="L61" t="str">
            <v>n/a</v>
          </cell>
          <cell r="M61" t="str">
            <v>n/a</v>
          </cell>
          <cell r="N61" t="str">
            <v>n/a</v>
          </cell>
          <cell r="O61" t="str">
            <v>n/a</v>
          </cell>
          <cell r="P61" t="str">
            <v>n/a</v>
          </cell>
          <cell r="Q61" t="str">
            <v>n/a</v>
          </cell>
          <cell r="R61" t="str">
            <v>n/a</v>
          </cell>
          <cell r="S61" t="str">
            <v>n/a</v>
          </cell>
          <cell r="T61" t="str">
            <v>n/a</v>
          </cell>
          <cell r="U61" t="str">
            <v>n/a</v>
          </cell>
          <cell r="V61" t="str">
            <v>n/a</v>
          </cell>
          <cell r="W61" t="str">
            <v>n/a</v>
          </cell>
          <cell r="X61" t="str">
            <v>n/a</v>
          </cell>
          <cell r="Y61" t="str">
            <v>n/a</v>
          </cell>
          <cell r="Z61" t="str">
            <v>n/a</v>
          </cell>
          <cell r="AA61" t="str">
            <v>n/a</v>
          </cell>
          <cell r="AB61" t="str">
            <v>n/a</v>
          </cell>
          <cell r="AC61" t="str">
            <v>n/a</v>
          </cell>
          <cell r="AD61" t="str">
            <v>n/a</v>
          </cell>
          <cell r="AE61" t="str">
            <v>n/a</v>
          </cell>
          <cell r="AF61" t="str">
            <v>n/a</v>
          </cell>
          <cell r="AG61" t="str">
            <v>n/a</v>
          </cell>
          <cell r="AH61" t="str">
            <v>n/a</v>
          </cell>
          <cell r="AI61" t="str">
            <v>n/a</v>
          </cell>
          <cell r="AJ61">
            <v>100</v>
          </cell>
          <cell r="AK61" t="str">
            <v>FLIHQ</v>
          </cell>
          <cell r="AL61">
            <v>120.1</v>
          </cell>
          <cell r="AM61">
            <v>119.21826618595867</v>
          </cell>
          <cell r="AN61">
            <v>117.66498368714292</v>
          </cell>
          <cell r="AO61">
            <v>120</v>
          </cell>
          <cell r="AP61">
            <v>118.43653237191734</v>
          </cell>
          <cell r="AQ61">
            <v>116.89343500236852</v>
          </cell>
          <cell r="AR61" t="str">
            <v>n/a</v>
          </cell>
        </row>
        <row r="62">
          <cell r="A62">
            <v>54</v>
          </cell>
          <cell r="B62" t="str">
            <v>Korea</v>
          </cell>
          <cell r="C62">
            <v>54</v>
          </cell>
          <cell r="D62" t="str">
            <v>ASIA</v>
          </cell>
          <cell r="E62" t="str">
            <v>fli3300t</v>
          </cell>
          <cell r="F62" t="str">
            <v>fli2300t</v>
          </cell>
          <cell r="G62" t="str">
            <v>fli3300f</v>
          </cell>
          <cell r="H62" t="str">
            <v>fli3300f</v>
          </cell>
          <cell r="I62" t="str">
            <v>n/a</v>
          </cell>
          <cell r="J62" t="str">
            <v>n/a</v>
          </cell>
          <cell r="K62" t="str">
            <v>n/a</v>
          </cell>
          <cell r="L62" t="str">
            <v>n/a</v>
          </cell>
          <cell r="M62" t="str">
            <v>n/a</v>
          </cell>
          <cell r="N62" t="str">
            <v>n/a</v>
          </cell>
          <cell r="O62" t="str">
            <v>n/a</v>
          </cell>
          <cell r="P62" t="str">
            <v>n/a</v>
          </cell>
          <cell r="Q62" t="str">
            <v>n/a</v>
          </cell>
          <cell r="R62" t="str">
            <v>n/a</v>
          </cell>
          <cell r="S62" t="str">
            <v>n/a</v>
          </cell>
          <cell r="T62" t="str">
            <v>n/a</v>
          </cell>
          <cell r="U62" t="str">
            <v>n/a</v>
          </cell>
          <cell r="V62" t="str">
            <v>n/a</v>
          </cell>
          <cell r="W62" t="str">
            <v>n/a</v>
          </cell>
          <cell r="X62" t="str">
            <v>n/a</v>
          </cell>
          <cell r="Y62" t="str">
            <v>n/a</v>
          </cell>
          <cell r="Z62" t="str">
            <v>n/a</v>
          </cell>
          <cell r="AA62" t="str">
            <v>n/a</v>
          </cell>
          <cell r="AB62" t="str">
            <v>n/a</v>
          </cell>
          <cell r="AC62" t="str">
            <v>n/a</v>
          </cell>
          <cell r="AD62" t="str">
            <v>n/a</v>
          </cell>
          <cell r="AE62" t="str">
            <v>n/a</v>
          </cell>
          <cell r="AF62" t="str">
            <v>n/a</v>
          </cell>
          <cell r="AG62" t="str">
            <v>n/a</v>
          </cell>
          <cell r="AH62" t="str">
            <v>n/a</v>
          </cell>
          <cell r="AI62" t="str">
            <v>n/a</v>
          </cell>
          <cell r="AJ62">
            <v>50</v>
          </cell>
          <cell r="AK62" t="str">
            <v>FLIHQ</v>
          </cell>
          <cell r="AL62">
            <v>1165</v>
          </cell>
          <cell r="AM62">
            <v>1164.4057866548974</v>
          </cell>
          <cell r="AN62">
            <v>1183.3705527310944</v>
          </cell>
          <cell r="AO62">
            <v>1155</v>
          </cell>
          <cell r="AP62">
            <v>1173.8115733097945</v>
          </cell>
          <cell r="AQ62">
            <v>1192.9295321523941</v>
          </cell>
          <cell r="AR62" t="str">
            <v>n/a</v>
          </cell>
        </row>
        <row r="63">
          <cell r="A63">
            <v>55</v>
          </cell>
          <cell r="B63" t="str">
            <v>Indonesia</v>
          </cell>
          <cell r="C63">
            <v>55</v>
          </cell>
          <cell r="D63" t="str">
            <v>ASIA</v>
          </cell>
          <cell r="E63" t="str">
            <v>fli3910t</v>
          </cell>
          <cell r="F63" t="str">
            <v>fli2910t</v>
          </cell>
          <cell r="G63" t="str">
            <v>fli3910f</v>
          </cell>
          <cell r="H63" t="str">
            <v>fli3910f</v>
          </cell>
          <cell r="I63" t="str">
            <v>n/a</v>
          </cell>
          <cell r="J63" t="str">
            <v>n/a</v>
          </cell>
          <cell r="K63" t="str">
            <v>n/a</v>
          </cell>
          <cell r="L63" t="str">
            <v>n/a</v>
          </cell>
          <cell r="M63" t="str">
            <v>n/a</v>
          </cell>
          <cell r="N63" t="str">
            <v>n/a</v>
          </cell>
          <cell r="O63" t="str">
            <v>n/a</v>
          </cell>
          <cell r="P63" t="str">
            <v>n/a</v>
          </cell>
          <cell r="Q63" t="str">
            <v>n/a</v>
          </cell>
          <cell r="R63" t="str">
            <v>n/a</v>
          </cell>
          <cell r="S63" t="str">
            <v>n/a</v>
          </cell>
          <cell r="T63" t="str">
            <v>n/a</v>
          </cell>
          <cell r="U63" t="str">
            <v>n/a</v>
          </cell>
          <cell r="V63" t="str">
            <v>n/a</v>
          </cell>
          <cell r="W63" t="str">
            <v>n/a</v>
          </cell>
          <cell r="X63" t="str">
            <v>n/a</v>
          </cell>
          <cell r="Y63" t="str">
            <v>n/a</v>
          </cell>
          <cell r="Z63" t="str">
            <v>n/a</v>
          </cell>
          <cell r="AA63" t="str">
            <v>n/a</v>
          </cell>
          <cell r="AB63" t="str">
            <v>n/a</v>
          </cell>
          <cell r="AC63" t="str">
            <v>n/a</v>
          </cell>
          <cell r="AD63" t="str">
            <v>n/a</v>
          </cell>
          <cell r="AE63" t="str">
            <v>n/a</v>
          </cell>
          <cell r="AF63" t="str">
            <v>n/a</v>
          </cell>
          <cell r="AG63" t="str">
            <v>n/a</v>
          </cell>
          <cell r="AH63" t="str">
            <v>n/a</v>
          </cell>
          <cell r="AI63" t="str">
            <v>n/a</v>
          </cell>
          <cell r="AJ63">
            <v>49</v>
          </cell>
          <cell r="AK63" t="str">
            <v>FLIHQ</v>
          </cell>
          <cell r="AL63">
            <v>8810.5</v>
          </cell>
          <cell r="AM63">
            <v>8905.6892247827163</v>
          </cell>
          <cell r="AN63">
            <v>9223.9213093812778</v>
          </cell>
          <cell r="AO63">
            <v>8728</v>
          </cell>
          <cell r="AP63">
            <v>9083.3784495654345</v>
          </cell>
          <cell r="AQ63">
            <v>9364.464169197121</v>
          </cell>
          <cell r="AR63" t="str">
            <v>n/a</v>
          </cell>
        </row>
        <row r="64">
          <cell r="A64">
            <v>56</v>
          </cell>
          <cell r="B64" t="str">
            <v>GMD/Quaker Asia</v>
          </cell>
          <cell r="C64">
            <v>56</v>
          </cell>
          <cell r="D64" t="str">
            <v>ASIA</v>
          </cell>
          <cell r="E64" t="str">
            <v>fqf9990</v>
          </cell>
          <cell r="F64" t="str">
            <v>fqf9999</v>
          </cell>
          <cell r="G64">
            <v>0</v>
          </cell>
          <cell r="H64">
            <v>0</v>
          </cell>
          <cell r="I64" t="str">
            <v>n/a</v>
          </cell>
          <cell r="J64" t="str">
            <v>n/a</v>
          </cell>
          <cell r="K64" t="str">
            <v>n/a</v>
          </cell>
          <cell r="L64" t="str">
            <v>n/a</v>
          </cell>
          <cell r="M64" t="str">
            <v>n/a</v>
          </cell>
          <cell r="N64" t="str">
            <v>n/a</v>
          </cell>
          <cell r="O64" t="str">
            <v>n/a</v>
          </cell>
          <cell r="P64" t="str">
            <v>n/a</v>
          </cell>
          <cell r="Q64" t="str">
            <v>n/a</v>
          </cell>
          <cell r="R64" t="str">
            <v>n/a</v>
          </cell>
          <cell r="S64" t="str">
            <v>n/a</v>
          </cell>
          <cell r="T64" t="str">
            <v>n/a</v>
          </cell>
          <cell r="U64" t="str">
            <v>n/a</v>
          </cell>
          <cell r="V64" t="str">
            <v>n/a</v>
          </cell>
          <cell r="W64" t="str">
            <v>n/a</v>
          </cell>
          <cell r="X64" t="str">
            <v>n/a</v>
          </cell>
          <cell r="Y64" t="str">
            <v>n/a</v>
          </cell>
          <cell r="Z64" t="str">
            <v>n/a</v>
          </cell>
          <cell r="AA64" t="str">
            <v>n/a</v>
          </cell>
          <cell r="AB64" t="str">
            <v>n/a</v>
          </cell>
          <cell r="AC64" t="str">
            <v>n/a</v>
          </cell>
          <cell r="AD64" t="str">
            <v>n/a</v>
          </cell>
          <cell r="AE64" t="str">
            <v>n/a</v>
          </cell>
          <cell r="AF64" t="str">
            <v>n/a</v>
          </cell>
          <cell r="AG64" t="str">
            <v>n/a</v>
          </cell>
          <cell r="AH64" t="str">
            <v>n/a</v>
          </cell>
          <cell r="AI64" t="str">
            <v>n/a</v>
          </cell>
          <cell r="AJ64">
            <v>100</v>
          </cell>
          <cell r="AK64" t="str">
            <v>FLIHQ</v>
          </cell>
          <cell r="AL64">
            <v>1</v>
          </cell>
          <cell r="AM64">
            <v>1</v>
          </cell>
          <cell r="AN64">
            <v>1</v>
          </cell>
          <cell r="AO64">
            <v>1</v>
          </cell>
          <cell r="AP64">
            <v>1</v>
          </cell>
          <cell r="AQ64">
            <v>1</v>
          </cell>
          <cell r="AR64" t="str">
            <v>n/a</v>
          </cell>
        </row>
        <row r="65">
          <cell r="A65">
            <v>57</v>
          </cell>
          <cell r="B65" t="str">
            <v>HQ Asia/Pacific</v>
          </cell>
          <cell r="C65">
            <v>57</v>
          </cell>
          <cell r="D65" t="str">
            <v>ASIA</v>
          </cell>
          <cell r="E65" t="str">
            <v>fli9400t</v>
          </cell>
          <cell r="F65" t="str">
            <v>fli9400t</v>
          </cell>
          <cell r="G65" t="str">
            <v>fli9400f</v>
          </cell>
          <cell r="H65" t="str">
            <v>fli9400f</v>
          </cell>
          <cell r="I65" t="str">
            <v>n/a</v>
          </cell>
          <cell r="J65" t="str">
            <v>n/a</v>
          </cell>
          <cell r="K65" t="str">
            <v>n/a</v>
          </cell>
          <cell r="L65" t="str">
            <v>n/a</v>
          </cell>
          <cell r="M65" t="str">
            <v>n/a</v>
          </cell>
          <cell r="N65" t="str">
            <v>n/a</v>
          </cell>
          <cell r="O65" t="str">
            <v>n/a</v>
          </cell>
          <cell r="P65" t="str">
            <v>n/a</v>
          </cell>
          <cell r="Q65" t="str">
            <v>n/a</v>
          </cell>
          <cell r="R65" t="str">
            <v>n/a</v>
          </cell>
          <cell r="S65" t="str">
            <v>n/a</v>
          </cell>
          <cell r="T65" t="str">
            <v>n/a</v>
          </cell>
          <cell r="U65" t="str">
            <v>n/a</v>
          </cell>
          <cell r="V65" t="str">
            <v>n/a</v>
          </cell>
          <cell r="W65" t="str">
            <v>n/a</v>
          </cell>
          <cell r="X65" t="str">
            <v>n/a</v>
          </cell>
          <cell r="Y65" t="str">
            <v>n/a</v>
          </cell>
          <cell r="Z65" t="str">
            <v>n/a</v>
          </cell>
          <cell r="AA65" t="str">
            <v>n/a</v>
          </cell>
          <cell r="AB65" t="str">
            <v>n/a</v>
          </cell>
          <cell r="AC65" t="str">
            <v>n/a</v>
          </cell>
          <cell r="AD65" t="str">
            <v>n/a</v>
          </cell>
          <cell r="AE65" t="str">
            <v>n/a</v>
          </cell>
          <cell r="AF65" t="str">
            <v>n/a</v>
          </cell>
          <cell r="AG65" t="str">
            <v>n/a</v>
          </cell>
          <cell r="AH65" t="str">
            <v>n/a</v>
          </cell>
          <cell r="AI65" t="str">
            <v>n/a</v>
          </cell>
          <cell r="AJ65">
            <v>100</v>
          </cell>
          <cell r="AK65" t="str">
            <v>FLIHQ</v>
          </cell>
          <cell r="AL65">
            <v>1</v>
          </cell>
          <cell r="AM65">
            <v>1</v>
          </cell>
          <cell r="AN65">
            <v>1</v>
          </cell>
          <cell r="AO65">
            <v>1</v>
          </cell>
          <cell r="AP65">
            <v>1</v>
          </cell>
          <cell r="AQ65">
            <v>1</v>
          </cell>
          <cell r="AR65" t="str">
            <v>n/a</v>
          </cell>
        </row>
        <row r="66">
          <cell r="A66">
            <v>58</v>
          </cell>
          <cell r="B66" t="str">
            <v>Australia</v>
          </cell>
          <cell r="C66">
            <v>58</v>
          </cell>
          <cell r="E66" t="str">
            <v>fli1420t</v>
          </cell>
          <cell r="F66" t="str">
            <v>fli1420t</v>
          </cell>
          <cell r="G66" t="str">
            <v>fli1420f</v>
          </cell>
          <cell r="H66" t="str">
            <v>fli1420f</v>
          </cell>
          <cell r="I66" t="str">
            <v>n/a</v>
          </cell>
          <cell r="J66" t="str">
            <v>n/a</v>
          </cell>
          <cell r="K66" t="str">
            <v>n/a</v>
          </cell>
          <cell r="L66" t="str">
            <v>n/a</v>
          </cell>
          <cell r="M66" t="str">
            <v>n/a</v>
          </cell>
          <cell r="N66" t="str">
            <v>n/a</v>
          </cell>
          <cell r="O66" t="str">
            <v>n/a</v>
          </cell>
          <cell r="P66" t="str">
            <v>n/a</v>
          </cell>
          <cell r="Q66" t="str">
            <v>n/a</v>
          </cell>
          <cell r="R66" t="str">
            <v>n/a</v>
          </cell>
          <cell r="S66" t="str">
            <v>n/a</v>
          </cell>
          <cell r="T66" t="str">
            <v>n/a</v>
          </cell>
          <cell r="U66" t="str">
            <v>n/a</v>
          </cell>
          <cell r="V66" t="str">
            <v>n/a</v>
          </cell>
          <cell r="W66" t="str">
            <v>n/a</v>
          </cell>
          <cell r="X66" t="str">
            <v>n/a</v>
          </cell>
          <cell r="Y66" t="str">
            <v>n/a</v>
          </cell>
          <cell r="Z66" t="str">
            <v>n/a</v>
          </cell>
          <cell r="AA66" t="str">
            <v>n/a</v>
          </cell>
          <cell r="AB66" t="str">
            <v>n/a</v>
          </cell>
          <cell r="AC66" t="str">
            <v>n/a</v>
          </cell>
          <cell r="AD66" t="str">
            <v>n/a</v>
          </cell>
          <cell r="AE66" t="str">
            <v>n/a</v>
          </cell>
          <cell r="AF66" t="str">
            <v>n/a</v>
          </cell>
          <cell r="AG66" t="str">
            <v>n/a</v>
          </cell>
          <cell r="AH66" t="str">
            <v>n/a</v>
          </cell>
          <cell r="AI66" t="str">
            <v>n/a</v>
          </cell>
          <cell r="AJ66">
            <v>100</v>
          </cell>
          <cell r="AK66" t="str">
            <v>FLIHQ</v>
          </cell>
          <cell r="AL66">
            <v>1.5748031496062991</v>
          </cell>
          <cell r="AM66">
            <v>1.5651278713582775</v>
          </cell>
          <cell r="AN66">
            <v>1.5753248130064694</v>
          </cell>
          <cell r="AO66">
            <v>1.5600624024960998</v>
          </cell>
          <cell r="AP66">
            <v>1.5702263421823734</v>
          </cell>
          <cell r="AQ66">
            <v>1.5804565008030824</v>
          </cell>
          <cell r="AR66" t="str">
            <v>n/a</v>
          </cell>
        </row>
        <row r="67">
          <cell r="A67">
            <v>59</v>
          </cell>
          <cell r="B67" t="str">
            <v>FLIHQ</v>
          </cell>
          <cell r="C67">
            <v>59</v>
          </cell>
          <cell r="E67" t="str">
            <v>fqf0090</v>
          </cell>
          <cell r="F67" t="str">
            <v>fqf0099</v>
          </cell>
          <cell r="G67">
            <v>0</v>
          </cell>
          <cell r="H67">
            <v>0</v>
          </cell>
          <cell r="I67" t="str">
            <v>n/a</v>
          </cell>
          <cell r="J67" t="str">
            <v>n/a</v>
          </cell>
          <cell r="K67" t="str">
            <v>n/a</v>
          </cell>
          <cell r="L67" t="str">
            <v>n/a</v>
          </cell>
          <cell r="M67" t="str">
            <v>n/a</v>
          </cell>
          <cell r="N67" t="str">
            <v>n/a</v>
          </cell>
          <cell r="O67" t="str">
            <v>n/a</v>
          </cell>
          <cell r="P67" t="str">
            <v>n/a</v>
          </cell>
          <cell r="Q67" t="str">
            <v>n/a</v>
          </cell>
          <cell r="R67" t="str">
            <v>n/a</v>
          </cell>
          <cell r="S67" t="str">
            <v>n/a</v>
          </cell>
          <cell r="T67" t="str">
            <v>n/a</v>
          </cell>
          <cell r="U67" t="str">
            <v>n/a</v>
          </cell>
          <cell r="V67" t="str">
            <v>n/a</v>
          </cell>
          <cell r="W67" t="str">
            <v>n/a</v>
          </cell>
          <cell r="X67" t="str">
            <v>n/a</v>
          </cell>
          <cell r="Y67" t="str">
            <v>n/a</v>
          </cell>
          <cell r="Z67" t="str">
            <v>n/a</v>
          </cell>
          <cell r="AA67" t="str">
            <v>n/a</v>
          </cell>
          <cell r="AB67" t="str">
            <v>n/a</v>
          </cell>
          <cell r="AC67" t="str">
            <v>n/a</v>
          </cell>
          <cell r="AD67" t="str">
            <v>n/a</v>
          </cell>
          <cell r="AE67" t="str">
            <v>n/a</v>
          </cell>
          <cell r="AF67" t="str">
            <v>n/a</v>
          </cell>
          <cell r="AG67" t="str">
            <v>n/a</v>
          </cell>
          <cell r="AH67" t="str">
            <v>n/a</v>
          </cell>
          <cell r="AI67" t="str">
            <v>n/a</v>
          </cell>
          <cell r="AJ67">
            <v>100</v>
          </cell>
          <cell r="AK67" t="str">
            <v>FLIHQ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>
            <v>1</v>
          </cell>
          <cell r="AR67" t="str">
            <v>n/a</v>
          </cell>
        </row>
        <row r="68">
          <cell r="A68">
            <v>60</v>
          </cell>
          <cell r="B68" t="str">
            <v>Gatorade</v>
          </cell>
          <cell r="C68">
            <v>60</v>
          </cell>
          <cell r="E68" t="str">
            <v>qb1050t</v>
          </cell>
          <cell r="F68" t="str">
            <v>qb1050t</v>
          </cell>
          <cell r="G68" t="str">
            <v>qb1050f</v>
          </cell>
          <cell r="H68" t="str">
            <v>qb1050f</v>
          </cell>
          <cell r="I68" t="str">
            <v>n/a</v>
          </cell>
          <cell r="J68" t="str">
            <v>n/a</v>
          </cell>
          <cell r="K68" t="str">
            <v>n/a</v>
          </cell>
          <cell r="L68" t="str">
            <v>n/a</v>
          </cell>
          <cell r="M68" t="str">
            <v>n/a</v>
          </cell>
          <cell r="N68" t="str">
            <v>n/a</v>
          </cell>
          <cell r="O68" t="str">
            <v>n/a</v>
          </cell>
          <cell r="P68" t="str">
            <v>n/a</v>
          </cell>
          <cell r="Q68" t="str">
            <v>n/a</v>
          </cell>
          <cell r="R68" t="str">
            <v>n/a</v>
          </cell>
          <cell r="S68" t="str">
            <v>n/a</v>
          </cell>
          <cell r="T68" t="str">
            <v>n/a</v>
          </cell>
          <cell r="U68" t="str">
            <v>n/a</v>
          </cell>
          <cell r="V68" t="str">
            <v>n/a</v>
          </cell>
          <cell r="W68" t="str">
            <v>n/a</v>
          </cell>
          <cell r="X68" t="str">
            <v>n/a</v>
          </cell>
          <cell r="Y68" t="str">
            <v>n/a</v>
          </cell>
          <cell r="Z68" t="str">
            <v>n/a</v>
          </cell>
          <cell r="AA68" t="str">
            <v>n/a</v>
          </cell>
          <cell r="AB68" t="str">
            <v>n/a</v>
          </cell>
          <cell r="AC68" t="str">
            <v>n/a</v>
          </cell>
          <cell r="AD68" t="str">
            <v>n/a</v>
          </cell>
          <cell r="AE68" t="str">
            <v>n/a</v>
          </cell>
          <cell r="AF68" t="str">
            <v>n/a</v>
          </cell>
          <cell r="AG68" t="str">
            <v>n/a</v>
          </cell>
          <cell r="AH68" t="str">
            <v>n/a</v>
          </cell>
          <cell r="AI68" t="str">
            <v>n/a</v>
          </cell>
          <cell r="AJ68">
            <v>100</v>
          </cell>
          <cell r="AK68" t="str">
            <v>FLIHQ</v>
          </cell>
          <cell r="AL68">
            <v>11.145</v>
          </cell>
          <cell r="AM68">
            <v>11.351696240462463</v>
          </cell>
          <cell r="AN68">
            <v>11.536582185066774</v>
          </cell>
          <cell r="AO68">
            <v>11.26</v>
          </cell>
          <cell r="AP68">
            <v>11.443392480924924</v>
          </cell>
          <cell r="AQ68">
            <v>11.629771889208623</v>
          </cell>
          <cell r="AR68" t="str">
            <v>n/a</v>
          </cell>
        </row>
        <row r="69">
          <cell r="A69">
            <v>61</v>
          </cell>
          <cell r="B69" t="str">
            <v>QB HQ</v>
          </cell>
          <cell r="C69">
            <v>61</v>
          </cell>
          <cell r="E69" t="str">
            <v>qb9500t</v>
          </cell>
          <cell r="F69" t="str">
            <v>qb9500t</v>
          </cell>
          <cell r="G69" t="str">
            <v>qb9500t</v>
          </cell>
          <cell r="H69" t="str">
            <v>qb9500t</v>
          </cell>
          <cell r="I69" t="str">
            <v>n/a</v>
          </cell>
          <cell r="J69" t="str">
            <v>n/a</v>
          </cell>
          <cell r="K69" t="str">
            <v>n/a</v>
          </cell>
          <cell r="L69" t="str">
            <v>n/a</v>
          </cell>
          <cell r="M69" t="str">
            <v>n/a</v>
          </cell>
          <cell r="N69" t="str">
            <v>n/a</v>
          </cell>
          <cell r="O69" t="str">
            <v>n/a</v>
          </cell>
          <cell r="P69" t="str">
            <v>n/a</v>
          </cell>
          <cell r="Q69" t="str">
            <v>n/a</v>
          </cell>
          <cell r="R69" t="str">
            <v>n/a</v>
          </cell>
          <cell r="S69" t="str">
            <v>n/a</v>
          </cell>
          <cell r="T69" t="str">
            <v>n/a</v>
          </cell>
          <cell r="U69" t="str">
            <v>n/a</v>
          </cell>
          <cell r="V69" t="str">
            <v>n/a</v>
          </cell>
          <cell r="W69" t="str">
            <v>n/a</v>
          </cell>
          <cell r="X69" t="str">
            <v>n/a</v>
          </cell>
          <cell r="Y69" t="str">
            <v>n/a</v>
          </cell>
          <cell r="Z69" t="str">
            <v>n/a</v>
          </cell>
          <cell r="AA69" t="str">
            <v>n/a</v>
          </cell>
          <cell r="AB69" t="str">
            <v>n/a</v>
          </cell>
          <cell r="AC69" t="str">
            <v>n/a</v>
          </cell>
          <cell r="AD69" t="str">
            <v>n/a</v>
          </cell>
          <cell r="AE69" t="str">
            <v>n/a</v>
          </cell>
          <cell r="AF69" t="str">
            <v>n/a</v>
          </cell>
          <cell r="AG69" t="str">
            <v>n/a</v>
          </cell>
          <cell r="AH69" t="str">
            <v>n/a</v>
          </cell>
          <cell r="AI69" t="str">
            <v>n/a</v>
          </cell>
          <cell r="AJ69">
            <v>100</v>
          </cell>
          <cell r="AK69" t="str">
            <v>FLIHQ</v>
          </cell>
          <cell r="AL69">
            <v>11.145</v>
          </cell>
          <cell r="AM69">
            <v>11.351696240462463</v>
          </cell>
          <cell r="AN69">
            <v>11.536582185066774</v>
          </cell>
          <cell r="AO69">
            <v>11.26</v>
          </cell>
          <cell r="AP69">
            <v>11.443392480924924</v>
          </cell>
          <cell r="AQ69">
            <v>11.629771889208623</v>
          </cell>
          <cell r="AR69" t="str">
            <v>n/a</v>
          </cell>
        </row>
        <row r="70">
          <cell r="C70">
            <v>62</v>
          </cell>
        </row>
        <row r="71">
          <cell r="A71">
            <v>63</v>
          </cell>
          <cell r="C71">
            <v>63</v>
          </cell>
        </row>
        <row r="72">
          <cell r="A72">
            <v>64</v>
          </cell>
          <cell r="C72">
            <v>64</v>
          </cell>
        </row>
        <row r="73">
          <cell r="A73">
            <v>65</v>
          </cell>
          <cell r="C73">
            <v>65</v>
          </cell>
        </row>
        <row r="74">
          <cell r="A74">
            <v>66</v>
          </cell>
          <cell r="C74">
            <v>66</v>
          </cell>
        </row>
        <row r="75">
          <cell r="A75">
            <v>67</v>
          </cell>
          <cell r="C75">
            <v>67</v>
          </cell>
        </row>
        <row r="76">
          <cell r="A76">
            <v>68</v>
          </cell>
          <cell r="C76">
            <v>68</v>
          </cell>
        </row>
        <row r="77">
          <cell r="A77">
            <v>69</v>
          </cell>
          <cell r="C77">
            <v>69</v>
          </cell>
        </row>
        <row r="78">
          <cell r="A78">
            <v>70</v>
          </cell>
          <cell r="C78">
            <v>70</v>
          </cell>
        </row>
        <row r="79">
          <cell r="A79">
            <v>71</v>
          </cell>
          <cell r="C79">
            <v>71</v>
          </cell>
        </row>
        <row r="80">
          <cell r="A80">
            <v>72</v>
          </cell>
          <cell r="C80">
            <v>72</v>
          </cell>
        </row>
        <row r="81">
          <cell r="A81">
            <v>73</v>
          </cell>
          <cell r="C81">
            <v>73</v>
          </cell>
        </row>
        <row r="82">
          <cell r="A82">
            <v>74</v>
          </cell>
          <cell r="C82">
            <v>74</v>
          </cell>
        </row>
        <row r="83">
          <cell r="A83">
            <v>75</v>
          </cell>
          <cell r="C83">
            <v>75</v>
          </cell>
        </row>
        <row r="84">
          <cell r="A84">
            <v>76</v>
          </cell>
          <cell r="C84">
            <v>76</v>
          </cell>
        </row>
        <row r="85">
          <cell r="A85">
            <v>77</v>
          </cell>
          <cell r="C85">
            <v>77</v>
          </cell>
        </row>
        <row r="86">
          <cell r="A86">
            <v>78</v>
          </cell>
          <cell r="C86">
            <v>78</v>
          </cell>
        </row>
        <row r="87">
          <cell r="A87">
            <v>79</v>
          </cell>
          <cell r="C87">
            <v>79</v>
          </cell>
        </row>
        <row r="88">
          <cell r="A88">
            <v>80</v>
          </cell>
          <cell r="C88">
            <v>80</v>
          </cell>
        </row>
        <row r="89">
          <cell r="A89">
            <v>81</v>
          </cell>
          <cell r="C89">
            <v>81</v>
          </cell>
        </row>
        <row r="90">
          <cell r="A90">
            <v>82</v>
          </cell>
          <cell r="C90">
            <v>82</v>
          </cell>
        </row>
        <row r="91">
          <cell r="A91">
            <v>83</v>
          </cell>
          <cell r="C91">
            <v>83</v>
          </cell>
        </row>
        <row r="92">
          <cell r="A92">
            <v>84</v>
          </cell>
          <cell r="C92">
            <v>84</v>
          </cell>
        </row>
        <row r="93">
          <cell r="A93">
            <v>85</v>
          </cell>
          <cell r="C93">
            <v>85</v>
          </cell>
        </row>
        <row r="94">
          <cell r="A94">
            <v>86</v>
          </cell>
          <cell r="C94">
            <v>86</v>
          </cell>
        </row>
        <row r="95">
          <cell r="A95">
            <v>87</v>
          </cell>
          <cell r="C95">
            <v>87</v>
          </cell>
        </row>
        <row r="96">
          <cell r="A96">
            <v>88</v>
          </cell>
          <cell r="C96">
            <v>88</v>
          </cell>
        </row>
        <row r="97">
          <cell r="A97">
            <v>89</v>
          </cell>
          <cell r="C97">
            <v>89</v>
          </cell>
        </row>
        <row r="98">
          <cell r="A98">
            <v>90</v>
          </cell>
          <cell r="C98">
            <v>90</v>
          </cell>
        </row>
        <row r="99">
          <cell r="A99">
            <v>91</v>
          </cell>
          <cell r="C99">
            <v>91</v>
          </cell>
        </row>
        <row r="100">
          <cell r="A100">
            <v>92</v>
          </cell>
          <cell r="C100">
            <v>92</v>
          </cell>
        </row>
        <row r="101">
          <cell r="A101">
            <v>93</v>
          </cell>
          <cell r="C101">
            <v>93</v>
          </cell>
        </row>
        <row r="102">
          <cell r="A102">
            <v>94</v>
          </cell>
          <cell r="C102">
            <v>94</v>
          </cell>
        </row>
        <row r="103">
          <cell r="A103">
            <v>95</v>
          </cell>
          <cell r="C103">
            <v>95</v>
          </cell>
        </row>
        <row r="104">
          <cell r="A104">
            <v>19</v>
          </cell>
          <cell r="C104">
            <v>96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">
          <cell r="C1" t="str">
            <v>FcstQ1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>
        <row r="1">
          <cell r="C1" t="str">
            <v>FcstQ1</v>
          </cell>
        </row>
      </sheetData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Master Data"/>
      <sheetName val="can pack mix%"/>
      <sheetName val="CSD by channel"/>
      <sheetName val="Total"/>
      <sheetName val="TT"/>
      <sheetName val="BKK"/>
      <sheetName val="CTL"/>
      <sheetName val="NE"/>
      <sheetName val="NS"/>
      <sheetName val="TPD"/>
      <sheetName val="MT"/>
      <sheetName val="7Elv"/>
      <sheetName val="Makro"/>
      <sheetName val="Tesco"/>
      <sheetName val="BigC"/>
      <sheetName val="Tops"/>
      <sheetName val="SFM"/>
      <sheetName val="OP"/>
      <sheetName val="YUM"/>
      <sheetName val="CRG"/>
      <sheetName val="TPC"/>
      <sheetName val="Chester"/>
      <sheetName val="BPM"/>
      <sheetName val="Major"/>
      <sheetName val="Hotel"/>
      <sheetName val="Rez"/>
      <sheetName val="Thp"/>
      <sheetName val="D&amp;A =&gt;"/>
      <sheetName val="activity Listing"/>
      <sheetName val="D&amp;A allocaiton"/>
      <sheetName val="Master_Data"/>
      <sheetName val="can_pack_mix%"/>
      <sheetName val="CSD_by_channel"/>
      <sheetName val="D&amp;A_=&gt;"/>
      <sheetName val="activity_Listing"/>
      <sheetName val="D&amp;A_allocaiton"/>
      <sheetName val="Master_Data1"/>
      <sheetName val="can_pack_mix%1"/>
      <sheetName val="CSD_by_channel1"/>
      <sheetName val="D&amp;A_=&gt;1"/>
      <sheetName val="activity_Listing1"/>
      <sheetName val="D&amp;A_allocaiton1"/>
      <sheetName val="Master_Data2"/>
      <sheetName val="can_pack_mix%2"/>
      <sheetName val="CSD_by_channel2"/>
      <sheetName val="D&amp;A_=&gt;2"/>
      <sheetName val="activity_Listing2"/>
      <sheetName val="D&amp;A_allocaito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Front Page and References"/>
      <sheetName val="Packaging Requirements"/>
      <sheetName val="Product Requirements"/>
      <sheetName val="Environmental Data"/>
      <sheetName val="Electrical Requirements"/>
      <sheetName val="Electrical Requirements RFQ"/>
      <sheetName val="Mechanical Requirements"/>
      <sheetName val="Mechanical Requirements RFQ"/>
      <sheetName val="Line"/>
      <sheetName val="Equipment Speed"/>
      <sheetName val="Bulk Depalletizer"/>
      <sheetName val="Bulk Depalletizer RFQ"/>
      <sheetName val="Can Rinser"/>
      <sheetName val="Can Rinser RFQ"/>
      <sheetName val="Filler-Seamer"/>
      <sheetName val="Filler-Seamer RFQ"/>
      <sheetName val="Liquid N2 Injection System"/>
      <sheetName val="Liquid N2 Injection System RFQ"/>
      <sheetName val="Can End Unloader"/>
      <sheetName val="Can End Unloader RFQ"/>
      <sheetName val="Mix Processor"/>
      <sheetName val="Mix Processor RFQ"/>
      <sheetName val="Thermal Processing Skid"/>
      <sheetName val="Thermal Processing Skid RFQ"/>
      <sheetName val="CIP Skid"/>
      <sheetName val="CIP Skid RFQ"/>
      <sheetName val="Fill Level Inspector#1"/>
      <sheetName val="Fill Level Inspector#1 RFQ"/>
      <sheetName val="Can Warmer"/>
      <sheetName val="Can Warmer RFQ"/>
      <sheetName val="Can Pasteurizer"/>
      <sheetName val="Can Pasteurizer RFQ"/>
      <sheetName val="Can Cooler"/>
      <sheetName val="Can Cooler RFQ"/>
      <sheetName val="Can Dryer"/>
      <sheetName val="Can Dryer RFQ"/>
      <sheetName val="Fill Level Inspector#2"/>
      <sheetName val="Fill Level Inspector#2 RFQ"/>
      <sheetName val="Dud Detector"/>
      <sheetName val="Dud Detector RFQ"/>
      <sheetName val="Coder"/>
      <sheetName val="Coder RFQ"/>
      <sheetName val="Multi-Packer"/>
      <sheetName val="Multi-Packer RFQ"/>
      <sheetName val="Packer-Shrink Wrapper"/>
      <sheetName val="Packer-Shrink Wrapper RFQ"/>
      <sheetName val="Pack Coder"/>
      <sheetName val="Pack Coder RFQ"/>
      <sheetName val="Pack Labeller"/>
      <sheetName val="Pack Labeller RFQ"/>
      <sheetName val="Pack Palletiser"/>
      <sheetName val="Pack Palletiser RFQ"/>
      <sheetName val="Pack Pallet Stretchwrapper"/>
      <sheetName val="Pack Pallet Stretchwrapper RFQ"/>
      <sheetName val="Pallet Labeller"/>
      <sheetName val="Pallet Labeller RFQ"/>
      <sheetName val="Rope Conveyor System"/>
      <sheetName val="Rope Conveyor System RFQ"/>
      <sheetName val="Can Conveyor System"/>
      <sheetName val="Can Conveyor System RFQ"/>
      <sheetName val="Pack Conveyor System"/>
      <sheetName val="Pack Conveyor System RFQ"/>
      <sheetName val="Equipment Performance Standards"/>
      <sheetName val="Pricing Summary Schedule"/>
      <sheetName val="Utility Summary Schedule"/>
      <sheetName val="Title_Page"/>
      <sheetName val="Front_Page_and_References"/>
      <sheetName val="Packaging_Requirements"/>
      <sheetName val="Product_Requirements"/>
      <sheetName val="Environmental_Data"/>
      <sheetName val="Electrical_Requirements"/>
      <sheetName val="Electrical_Requirements_RFQ"/>
      <sheetName val="Mechanical_Requirements"/>
      <sheetName val="Mechanical_Requirements_RFQ"/>
      <sheetName val="Equipment_Speed"/>
      <sheetName val="Bulk_Depalletizer"/>
      <sheetName val="Bulk_Depalletizer_RFQ"/>
      <sheetName val="Can_Rinser"/>
      <sheetName val="Can_Rinser_RFQ"/>
      <sheetName val="Filler-Seamer_RFQ"/>
      <sheetName val="Liquid_N2_Injection_System"/>
      <sheetName val="Liquid_N2_Injection_System_RFQ"/>
      <sheetName val="Can_End_Unloader"/>
      <sheetName val="Can_End_Unloader_RFQ"/>
      <sheetName val="Mix_Processor"/>
      <sheetName val="Mix_Processor_RFQ"/>
      <sheetName val="Thermal_Processing_Skid"/>
      <sheetName val="Thermal_Processing_Skid_RFQ"/>
      <sheetName val="CIP_Skid"/>
      <sheetName val="CIP_Skid_RFQ"/>
      <sheetName val="Fill_Level_Inspector#1"/>
      <sheetName val="Fill_Level_Inspector#1_RFQ"/>
      <sheetName val="Can_Warmer"/>
      <sheetName val="Can_Warmer_RFQ"/>
      <sheetName val="Can_Pasteurizer"/>
      <sheetName val="Can_Pasteurizer_RFQ"/>
      <sheetName val="Can_Cooler"/>
      <sheetName val="Can_Cooler_RFQ"/>
      <sheetName val="Can_Dryer"/>
      <sheetName val="Can_Dryer_RFQ"/>
      <sheetName val="Fill_Level_Inspector#2"/>
      <sheetName val="Fill_Level_Inspector#2_RFQ"/>
      <sheetName val="Dud_Detector"/>
      <sheetName val="Dud_Detector_RFQ"/>
      <sheetName val="Coder_RFQ"/>
      <sheetName val="Multi-Packer_RFQ"/>
      <sheetName val="Packer-Shrink_Wrapper"/>
      <sheetName val="Packer-Shrink_Wrapper_RFQ"/>
      <sheetName val="Pack_Coder"/>
      <sheetName val="Pack_Coder_RFQ"/>
      <sheetName val="Pack_Labeller"/>
      <sheetName val="Pack_Labeller_RFQ"/>
      <sheetName val="Pack_Palletiser"/>
      <sheetName val="Pack_Palletiser_RFQ"/>
      <sheetName val="Pack_Pallet_Stretchwrapper"/>
      <sheetName val="Pack_Pallet_Stretchwrapper_RFQ"/>
      <sheetName val="Pallet_Labeller"/>
      <sheetName val="Pallet_Labeller_RFQ"/>
      <sheetName val="Rope_Conveyor_System"/>
      <sheetName val="Rope_Conveyor_System_RFQ"/>
      <sheetName val="Can_Conveyor_System"/>
      <sheetName val="Can_Conveyor_System_RFQ"/>
      <sheetName val="Pack_Conveyor_System"/>
      <sheetName val="Pack_Conveyor_System_RFQ"/>
      <sheetName val="Equipment_Performance_Standards"/>
      <sheetName val="Pricing_Summary_Schedule"/>
      <sheetName val="Utility_Summary_Schedule"/>
      <sheetName val="Title_Page1"/>
      <sheetName val="Front_Page_and_References1"/>
      <sheetName val="Packaging_Requirements1"/>
      <sheetName val="Product_Requirements1"/>
      <sheetName val="Environmental_Data1"/>
      <sheetName val="Electrical_Requirements1"/>
      <sheetName val="Electrical_Requirements_RFQ1"/>
      <sheetName val="Mechanical_Requirements1"/>
      <sheetName val="Mechanical_Requirements_RFQ1"/>
      <sheetName val="Equipment_Speed1"/>
      <sheetName val="Bulk_Depalletizer1"/>
      <sheetName val="Bulk_Depalletizer_RFQ1"/>
      <sheetName val="Can_Rinser1"/>
      <sheetName val="Can_Rinser_RFQ1"/>
      <sheetName val="Filler-Seamer_RFQ1"/>
      <sheetName val="Liquid_N2_Injection_System1"/>
      <sheetName val="Liquid_N2_Injection_System_RFQ1"/>
      <sheetName val="Can_End_Unloader1"/>
      <sheetName val="Can_End_Unloader_RFQ1"/>
      <sheetName val="Mix_Processor1"/>
      <sheetName val="Mix_Processor_RFQ1"/>
      <sheetName val="Thermal_Processing_Skid1"/>
      <sheetName val="Thermal_Processing_Skid_RFQ1"/>
      <sheetName val="CIP_Skid1"/>
      <sheetName val="CIP_Skid_RFQ1"/>
      <sheetName val="Fill_Level_Inspector#11"/>
      <sheetName val="Fill_Level_Inspector#1_RFQ1"/>
      <sheetName val="Can_Warmer1"/>
      <sheetName val="Can_Warmer_RFQ1"/>
      <sheetName val="Can_Pasteurizer1"/>
      <sheetName val="Can_Pasteurizer_RFQ1"/>
      <sheetName val="Can_Cooler1"/>
      <sheetName val="Can_Cooler_RFQ1"/>
      <sheetName val="Can_Dryer1"/>
      <sheetName val="Can_Dryer_RFQ1"/>
      <sheetName val="Fill_Level_Inspector#21"/>
      <sheetName val="Fill_Level_Inspector#2_RFQ1"/>
      <sheetName val="Dud_Detector1"/>
      <sheetName val="Dud_Detector_RFQ1"/>
      <sheetName val="Coder_RFQ1"/>
      <sheetName val="Multi-Packer_RFQ1"/>
      <sheetName val="Packer-Shrink_Wrapper1"/>
      <sheetName val="Packer-Shrink_Wrapper_RFQ1"/>
      <sheetName val="Pack_Coder1"/>
      <sheetName val="Pack_Coder_RFQ1"/>
      <sheetName val="Pack_Labeller1"/>
      <sheetName val="Pack_Labeller_RFQ1"/>
      <sheetName val="Pack_Palletiser1"/>
      <sheetName val="Pack_Palletiser_RFQ1"/>
      <sheetName val="Pack_Pallet_Stretchwrapper1"/>
      <sheetName val="Pack_Pallet_Stretchwrapper_RFQ1"/>
      <sheetName val="Pallet_Labeller1"/>
      <sheetName val="Pallet_Labeller_RFQ1"/>
      <sheetName val="Rope_Conveyor_System1"/>
      <sheetName val="Rope_Conveyor_System_RFQ1"/>
      <sheetName val="Can_Conveyor_System1"/>
      <sheetName val="Can_Conveyor_System_RFQ1"/>
      <sheetName val="Pack_Conveyor_System1"/>
      <sheetName val="Pack_Conveyor_System_RFQ1"/>
      <sheetName val="Equipment_Performance_Standard1"/>
      <sheetName val="Pricing_Summary_Schedule1"/>
      <sheetName val="Utility_Summary_Schedule1"/>
      <sheetName val="Title_Page2"/>
      <sheetName val="Front_Page_and_References2"/>
      <sheetName val="Packaging_Requirements2"/>
      <sheetName val="Product_Requirements2"/>
      <sheetName val="Environmental_Data2"/>
      <sheetName val="Electrical_Requirements2"/>
      <sheetName val="Electrical_Requirements_RFQ2"/>
      <sheetName val="Mechanical_Requirements2"/>
      <sheetName val="Mechanical_Requirements_RFQ2"/>
      <sheetName val="Equipment_Speed2"/>
      <sheetName val="Bulk_Depalletizer2"/>
      <sheetName val="Bulk_Depalletizer_RFQ2"/>
      <sheetName val="Can_Rinser2"/>
      <sheetName val="Can_Rinser_RFQ2"/>
      <sheetName val="Filler-Seamer_RFQ2"/>
      <sheetName val="Liquid_N2_Injection_System2"/>
      <sheetName val="Liquid_N2_Injection_System_RFQ2"/>
      <sheetName val="Can_End_Unloader2"/>
      <sheetName val="Can_End_Unloader_RFQ2"/>
      <sheetName val="Mix_Processor2"/>
      <sheetName val="Mix_Processor_RFQ2"/>
      <sheetName val="Thermal_Processing_Skid2"/>
      <sheetName val="Thermal_Processing_Skid_RFQ2"/>
      <sheetName val="CIP_Skid2"/>
      <sheetName val="CIP_Skid_RFQ2"/>
      <sheetName val="Fill_Level_Inspector#12"/>
      <sheetName val="Fill_Level_Inspector#1_RFQ2"/>
      <sheetName val="Can_Warmer2"/>
      <sheetName val="Can_Warmer_RFQ2"/>
      <sheetName val="Can_Pasteurizer2"/>
      <sheetName val="Can_Pasteurizer_RFQ2"/>
      <sheetName val="Can_Cooler2"/>
      <sheetName val="Can_Cooler_RFQ2"/>
      <sheetName val="Can_Dryer2"/>
      <sheetName val="Can_Dryer_RFQ2"/>
      <sheetName val="Fill_Level_Inspector#22"/>
      <sheetName val="Fill_Level_Inspector#2_RFQ2"/>
      <sheetName val="Dud_Detector2"/>
      <sheetName val="Dud_Detector_RFQ2"/>
      <sheetName val="Coder_RFQ2"/>
      <sheetName val="Multi-Packer_RFQ2"/>
      <sheetName val="Packer-Shrink_Wrapper2"/>
      <sheetName val="Packer-Shrink_Wrapper_RFQ2"/>
      <sheetName val="Pack_Coder2"/>
      <sheetName val="Pack_Coder_RFQ2"/>
      <sheetName val="Pack_Labeller2"/>
      <sheetName val="Pack_Labeller_RFQ2"/>
      <sheetName val="Pack_Palletiser2"/>
      <sheetName val="Pack_Palletiser_RFQ2"/>
      <sheetName val="Pack_Pallet_Stretchwrapper2"/>
      <sheetName val="Pack_Pallet_Stretchwrapper_RFQ2"/>
      <sheetName val="Pallet_Labeller2"/>
      <sheetName val="Pallet_Labeller_RFQ2"/>
      <sheetName val="Rope_Conveyor_System2"/>
      <sheetName val="Rope_Conveyor_System_RFQ2"/>
      <sheetName val="Can_Conveyor_System2"/>
      <sheetName val="Can_Conveyor_System_RFQ2"/>
      <sheetName val="Pack_Conveyor_System2"/>
      <sheetName val="Pack_Conveyor_System_RFQ2"/>
      <sheetName val="Equipment_Performance_Standard2"/>
      <sheetName val="Pricing_Summary_Schedule2"/>
      <sheetName val="Utility_Summary_Sche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J5" t="b">
            <v>1</v>
          </cell>
        </row>
        <row r="8">
          <cell r="J8" t="b">
            <v>0</v>
          </cell>
        </row>
        <row r="9">
          <cell r="J9" t="b">
            <v>0</v>
          </cell>
        </row>
        <row r="10">
          <cell r="J10" t="b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Line"/>
      <sheetName val="Vol_Track"/>
      <sheetName val="Share_Track"/>
      <sheetName val="CSD"/>
      <sheetName val="CSD_LF"/>
      <sheetName val="NR_LF"/>
      <sheetName val="CSD_PackMth"/>
      <sheetName val="Chart"/>
      <sheetName val="CSD_PackMth (Raw)"/>
      <sheetName val="CSD_Channel"/>
      <sheetName val="CSD_ChannelMth"/>
      <sheetName val="Calendar_CSD"/>
      <sheetName val="CSD_Flavor"/>
      <sheetName val="MT_CSD"/>
      <sheetName val="NCB"/>
      <sheetName val="NCB_Channel"/>
      <sheetName val="NCB_Flavor"/>
      <sheetName val="NCB_SSC_Sales"/>
      <sheetName val="FullGoods"/>
      <sheetName val="Top6"/>
      <sheetName val="NCB_Calendar"/>
      <sheetName val="Lipton"/>
      <sheetName val="D&amp;A"/>
      <sheetName val="Twister"/>
      <sheetName val="Gatorade"/>
      <sheetName val="MCPI"/>
      <sheetName val="Listing"/>
      <sheetName val="Product"/>
      <sheetName val="Pricing"/>
      <sheetName val="Conc"/>
      <sheetName val="CSD_PlantMth"/>
      <sheetName val="Sum_D&amp;A"/>
      <sheetName val="CSD_PackMth_(Raw)"/>
      <sheetName val="CSD_PackMth_(Raw)1"/>
      <sheetName val="CSD_PackMth_(Raw)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and channel(period)"/>
      <sheetName val="pack and channel sheet(ytd)"/>
      <sheetName val="pack and channel-data (ytd)"/>
      <sheetName val="pack and channel-data (per)"/>
      <sheetName val="Control Sheet"/>
      <sheetName val="Pack Type - Gallons"/>
      <sheetName val="Pack Type - Grs Sales"/>
      <sheetName val="output"/>
      <sheetName val="P&amp;L estimate"/>
      <sheetName val="Trade"/>
      <sheetName val="Sheet2"/>
      <sheetName val="svdc"/>
      <sheetName val="Pack Type - P&amp;L (TRUE)"/>
      <sheetName val="sales curve"/>
      <sheetName val="essbase p&amp;L"/>
      <sheetName val="channel-grs sales"/>
      <sheetName val="channel-gallons"/>
      <sheetName val="csCost_Sum"/>
      <sheetName val="NEW SYSTEM SUMMARY"/>
      <sheetName val="GZ(16)"/>
      <sheetName val="SZ(17)"/>
      <sheetName val="SH P&amp;L"/>
      <sheetName val="selection"/>
      <sheetName val="Select"/>
      <sheetName val="Lookup"/>
      <sheetName val="LoadAccyByWk"/>
      <sheetName val="PackAvailByWk"/>
      <sheetName val="Pack_and_channel(period)"/>
      <sheetName val="pack_and_channel_sheet(ytd)"/>
      <sheetName val="pack_and_channel-data_(ytd)"/>
      <sheetName val="pack_and_channel-data_(per)"/>
      <sheetName val="Control_Sheet"/>
      <sheetName val="Pack_Type_-_Gallons"/>
      <sheetName val="Pack_Type_-_Grs_Sales"/>
      <sheetName val="P&amp;L_estimate"/>
      <sheetName val="Pack_Type_-_P&amp;L_(TRUE)"/>
      <sheetName val="sales_curve"/>
      <sheetName val="essbase_p&amp;L"/>
      <sheetName val="channel-grs_sales"/>
      <sheetName val="NEW_SYSTEM_SUMMARY"/>
      <sheetName val="SH_P&amp;L"/>
      <sheetName val="RPT 71-VOLUME DATA-PCI "/>
      <sheetName val="Mensual"/>
      <sheetName val="Hidden DataSheet"/>
      <sheetName val="Driver"/>
      <sheetName val="Brand Detail"/>
      <sheetName val="Data for Drop Down List"/>
      <sheetName val="Pack_and_channel(period)1"/>
      <sheetName val="pack_and_channel_sheet(ytd)1"/>
      <sheetName val="pack_and_channel-data_(ytd)1"/>
      <sheetName val="pack_and_channel-data_(per)1"/>
      <sheetName val="Control_Sheet1"/>
      <sheetName val="Pack_Type_-_Gallons1"/>
      <sheetName val="Pack_Type_-_Grs_Sales1"/>
      <sheetName val="P&amp;L_estimate1"/>
      <sheetName val="Pack_Type_-_P&amp;L_(TRUE)1"/>
      <sheetName val="sales_curve1"/>
      <sheetName val="essbase_p&amp;L1"/>
      <sheetName val="channel-grs_sales1"/>
      <sheetName val="NEW_SYSTEM_SUMMARY1"/>
      <sheetName val="SH_P&amp;L1"/>
      <sheetName val="RPT_71-VOLUME_DATA-PCI_"/>
      <sheetName val="Hidden_DataSheet"/>
      <sheetName val="Brand_Detail"/>
      <sheetName val="Data_for_Drop_Down_List"/>
      <sheetName val="Pack_and_channel(period)2"/>
      <sheetName val="pack_and_channel_sheet(ytd)2"/>
      <sheetName val="pack_and_channel-data_(ytd)2"/>
      <sheetName val="pack_and_channel-data_(per)2"/>
      <sheetName val="Control_Sheet2"/>
      <sheetName val="Pack_Type_-_Gallons2"/>
      <sheetName val="Pack_Type_-_Grs_Sales2"/>
      <sheetName val="P&amp;L_estimate2"/>
      <sheetName val="Pack_Type_-_P&amp;L_(TRUE)2"/>
      <sheetName val="sales_curve2"/>
      <sheetName val="essbase_p&amp;L2"/>
      <sheetName val="channel-grs_sales2"/>
      <sheetName val="NEW_SYSTEM_SUMMARY2"/>
      <sheetName val="SH_P&amp;L2"/>
      <sheetName val="RPT_71-VOLUME_DATA-PCI_1"/>
      <sheetName val="Hidden_DataSheet1"/>
      <sheetName val="Brand_Detail1"/>
      <sheetName val="Data_for_Drop_Down_List1"/>
      <sheetName val="Pack_and_channel(period)3"/>
      <sheetName val="pack_and_channel_sheet(ytd)3"/>
      <sheetName val="pack_and_channel-data_(ytd)3"/>
      <sheetName val="pack_and_channel-data_(per)3"/>
      <sheetName val="Control_Sheet3"/>
      <sheetName val="Pack_Type_-_Gallons3"/>
      <sheetName val="Pack_Type_-_Grs_Sales3"/>
      <sheetName val="P&amp;L_estimate3"/>
      <sheetName val="Pack_Type_-_P&amp;L_(TRUE)3"/>
      <sheetName val="sales_curve3"/>
      <sheetName val="essbase_p&amp;L3"/>
      <sheetName val="channel-grs_sales3"/>
      <sheetName val="NEW_SYSTEM_SUMMARY3"/>
      <sheetName val="SH_P&amp;L3"/>
      <sheetName val="RPT_71-VOLUME_DATA-PCI_2"/>
      <sheetName val="Hidden_DataSheet2"/>
      <sheetName val="Brand_Detail2"/>
      <sheetName val="Data_for_Drop_Down_Lis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Hyperion"/>
      <sheetName val="Title"/>
      <sheetName val="Objective"/>
      <sheetName val="Objective (2)"/>
      <sheetName val="Exec Sum Cover"/>
      <sheetName val="ExecSum"/>
      <sheetName val="KPI Input"/>
      <sheetName val="Watch Outs"/>
      <sheetName val="Audit"/>
      <sheetName val="Detail Cover"/>
      <sheetName val="Audit (2)"/>
      <sheetName val="SumBS"/>
      <sheetName val="Cash Flows"/>
      <sheetName val="Trade Receivables"/>
      <sheetName val="CC&amp;STInv"/>
      <sheetName val="RX-MT-Wh1"/>
      <sheetName val="Rx-MT-Wh"/>
      <sheetName val="DTS-DSD"/>
      <sheetName val="N&amp;OAR"/>
      <sheetName val="Inventories"/>
      <sheetName val="PP&amp;OtherA"/>
      <sheetName val="Capex&amp;FA"/>
      <sheetName val="GW&amp;OtherInt"/>
      <sheetName val="Intercompany"/>
      <sheetName val="PepsiCo Affiliated Balances"/>
      <sheetName val="Acct Payable"/>
      <sheetName val="AL&amp;OLTL"/>
      <sheetName val="Taxes"/>
      <sheetName val="Agro"/>
      <sheetName val="Debt &amp; Equity"/>
      <sheetName val="Reserve Summary"/>
      <sheetName val="KPI definitions"/>
      <sheetName val="OFCF definitions"/>
      <sheetName val="Objective_(2)"/>
      <sheetName val="Exec_Sum_Cover"/>
      <sheetName val="KPI_Input"/>
      <sheetName val="Watch_Outs"/>
      <sheetName val="Detail_Cover"/>
      <sheetName val="Audit_(2)"/>
      <sheetName val="Cash_Flows"/>
      <sheetName val="Trade_Receivables"/>
      <sheetName val="PepsiCo_Affiliated_Balances"/>
      <sheetName val="Acct_Payable"/>
      <sheetName val="Debt_&amp;_Equity"/>
      <sheetName val="Reserve_Summary"/>
      <sheetName val="KPI_definitions"/>
      <sheetName val="OFCF_definitions"/>
      <sheetName val="Objective_(2)1"/>
      <sheetName val="Exec_Sum_Cover1"/>
      <sheetName val="KPI_Input1"/>
      <sheetName val="Watch_Outs1"/>
      <sheetName val="Detail_Cover1"/>
      <sheetName val="Audit_(2)1"/>
      <sheetName val="Cash_Flows1"/>
      <sheetName val="Trade_Receivables1"/>
      <sheetName val="PepsiCo_Affiliated_Balances1"/>
      <sheetName val="Acct_Payable1"/>
      <sheetName val="Debt_&amp;_Equity1"/>
      <sheetName val="Reserve_Summary1"/>
      <sheetName val="KPI_definitions1"/>
      <sheetName val="OFCF_definitions1"/>
      <sheetName val="Objective_(2)2"/>
      <sheetName val="Exec_Sum_Cover2"/>
      <sheetName val="KPI_Input2"/>
      <sheetName val="Watch_Outs2"/>
      <sheetName val="Detail_Cover2"/>
      <sheetName val="Audit_(2)2"/>
      <sheetName val="Cash_Flows2"/>
      <sheetName val="Trade_Receivables2"/>
      <sheetName val="PepsiCo_Affiliated_Balances2"/>
      <sheetName val="Acct_Payable2"/>
      <sheetName val="Debt_&amp;_Equity2"/>
      <sheetName val="Reserve_Summary2"/>
      <sheetName val="KPI_definitions2"/>
      <sheetName val="OFCF_definition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DC Loading Inaccuracies"/>
      <sheetName val="LoadAccDtl"/>
      <sheetName val="Backorders"/>
      <sheetName val="Brand Detail"/>
      <sheetName val="selection"/>
      <sheetName val="DATA1 (Do not read)"/>
      <sheetName val="Report"/>
      <sheetName val="Hyperion"/>
      <sheetName val="DC_Loading_Inaccuracies"/>
      <sheetName val="Brand_Detail"/>
      <sheetName val="DATA1_(Do_not_read)"/>
      <sheetName val="Front"/>
      <sheetName val="Control Sheet"/>
      <sheetName val="Consolidation"/>
      <sheetName val="Hidden DataSheet"/>
      <sheetName val="Driver"/>
      <sheetName val="DC_Loading_Inaccuracies1"/>
      <sheetName val="Brand_Detail1"/>
      <sheetName val="DATA1_(Do_not_read)1"/>
      <sheetName val="Control_Sheet"/>
      <sheetName val="Hidden_DataSheet"/>
      <sheetName val="DC_Loading_Inaccuracies2"/>
      <sheetName val="Brand_Detail2"/>
      <sheetName val="DATA1_(Do_not_read)2"/>
      <sheetName val="Control_Sheet1"/>
      <sheetName val="Hidden_DataSheet1"/>
      <sheetName val="DC_Loading_Inaccuracies3"/>
      <sheetName val="Brand_Detail3"/>
      <sheetName val="DATA1_(Do_not_read)3"/>
      <sheetName val="Control_Sheet2"/>
      <sheetName val="Hidden_DataSheet2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DC Loading Inaccuracies"/>
      <sheetName val="LoadAccPvt"/>
      <sheetName val="OldWhsProductivity"/>
      <sheetName val="Select"/>
      <sheetName val="DC_Loading_Inaccuracies"/>
      <sheetName val="dis"/>
      <sheetName val="Prices"/>
      <sheetName val="DC_Loading_Inaccuracies1"/>
      <sheetName val="DC_Loading_Inaccuracies2"/>
      <sheetName val="DC_Loading_Inaccuracies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lant to DC Container Usage"/>
      <sheetName val="Avg Plant to DC Container Usage"/>
      <sheetName val="Avg DC to Bottler Truck Usage"/>
      <sheetName val="2001 ARL Truck Data"/>
      <sheetName val="2001 ARL Rail Data"/>
      <sheetName val="2001 PR Data"/>
      <sheetName val="2000 ARL Summary Data"/>
      <sheetName val="2000 PR Data"/>
      <sheetName val="Outbound 2001"/>
      <sheetName val="Outbound 2000"/>
      <sheetName val="Plant_to_DC_Container_Usage"/>
      <sheetName val="Avg_Plant_to_DC_Container_Usage"/>
      <sheetName val="Avg_DC_to_Bottler_Truck_Usage"/>
      <sheetName val="2001_ARL_Truck_Data"/>
      <sheetName val="2001_ARL_Rail_Data"/>
      <sheetName val="2001_PR_Data"/>
      <sheetName val="2000_ARL_Summary_Data"/>
      <sheetName val="2000_PR_Data"/>
      <sheetName val="Outbound_2001"/>
      <sheetName val="Outbound_2000"/>
      <sheetName val="Setup"/>
      <sheetName val="Calendar"/>
      <sheetName val="Lists"/>
      <sheetName val="Dates"/>
      <sheetName val="NEW SYSTEM SUMMARY"/>
      <sheetName val="GZ(16)"/>
      <sheetName val="SZ(17)"/>
      <sheetName val="Plant_to_DC_Container_Usage1"/>
      <sheetName val="Avg_Plant_to_DC_Container_Usag1"/>
      <sheetName val="Avg_DC_to_Bottler_Truck_Usage1"/>
      <sheetName val="2001_ARL_Truck_Data1"/>
      <sheetName val="2001_ARL_Rail_Data1"/>
      <sheetName val="2001_PR_Data1"/>
      <sheetName val="2000_ARL_Summary_Data1"/>
      <sheetName val="2000_PR_Data1"/>
      <sheetName val="Outbound_20011"/>
      <sheetName val="Outbound_20001"/>
      <sheetName val="NEW_SYSTEM_SUMMARY"/>
      <sheetName val="Plant_to_DC_Container_Usage2"/>
      <sheetName val="Avg_Plant_to_DC_Container_Usag2"/>
      <sheetName val="Avg_DC_to_Bottler_Truck_Usage2"/>
      <sheetName val="2001_ARL_Truck_Data2"/>
      <sheetName val="2001_ARL_Rail_Data2"/>
      <sheetName val="2001_PR_Data2"/>
      <sheetName val="2000_ARL_Summary_Data2"/>
      <sheetName val="2000_PR_Data2"/>
      <sheetName val="Outbound_20012"/>
      <sheetName val="Outbound_20002"/>
      <sheetName val="NEW_SYSTEM_SUMMARY1"/>
      <sheetName val="Plant_to_DC_Container_Usage3"/>
      <sheetName val="Avg_Plant_to_DC_Container_Usag3"/>
      <sheetName val="Avg_DC_to_Bottler_Truck_Usage3"/>
      <sheetName val="2001_ARL_Truck_Data3"/>
      <sheetName val="2001_ARL_Rail_Data3"/>
      <sheetName val="2001_PR_Data3"/>
      <sheetName val="2000_ARL_Summary_Data3"/>
      <sheetName val="2000_PR_Data3"/>
      <sheetName val="Outbound_20013"/>
      <sheetName val="Outbound_20003"/>
      <sheetName val="NEW_SYSTEM_SUMMARY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ALL"/>
      <sheetName val="Sorted"/>
      <sheetName val="Productivity"/>
      <sheetName val="Sustainability"/>
      <sheetName val="TG"/>
      <sheetName val="RP"/>
      <sheetName val="CV"/>
      <sheetName val="SK"/>
      <sheetName val="Wiri"/>
      <sheetName val="Timaru"/>
      <sheetName val="Innov &amp; capacity"/>
      <sheetName val="Nat S&amp;D"/>
      <sheetName val="IT"/>
      <sheetName val="Vending Summary"/>
      <sheetName val="Vending Capex Plan - kits&amp;mach"/>
      <sheetName val="Bluebird all"/>
      <sheetName val="3 year capex plan 2008-2010 as "/>
      <sheetName val="name"/>
      <sheetName val="Rate"/>
      <sheetName val="Province"/>
      <sheetName val="Summary_"/>
      <sheetName val="Innov_&amp;_capacity"/>
      <sheetName val="Nat_S&amp;D"/>
      <sheetName val="Vending_Summary"/>
      <sheetName val="Vending_Capex_Plan_-_kits&amp;mach"/>
      <sheetName val="Bluebird_all"/>
      <sheetName val="3_year_capex_plan_2008-2010_as_"/>
      <sheetName val="Summary_1"/>
      <sheetName val="Innov_&amp;_capacity1"/>
      <sheetName val="Nat_S&amp;D1"/>
      <sheetName val="Vending_Summary1"/>
      <sheetName val="Vending_Capex_Plan_-_kits&amp;mach1"/>
      <sheetName val="Bluebird_all1"/>
      <sheetName val="3_year_capex_plan_2008-2010_as1"/>
      <sheetName val="Summary_2"/>
      <sheetName val="Innov_&amp;_capacity2"/>
      <sheetName val="Nat_S&amp;D2"/>
      <sheetName val="Vending_Summary2"/>
      <sheetName val="Vending_Capex_Plan_-_kits&amp;mach2"/>
      <sheetName val="Bluebird_all2"/>
      <sheetName val="3_year_capex_plan_2008-2010_a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</row>
        <row r="2">
          <cell r="A2">
            <v>2</v>
          </cell>
          <cell r="B2" t="str">
            <v>TNG</v>
          </cell>
        </row>
        <row r="3">
          <cell r="A3">
            <v>3</v>
          </cell>
          <cell r="B3" t="str">
            <v>TNG</v>
          </cell>
          <cell r="E3" t="str">
            <v>2007 AOP</v>
          </cell>
          <cell r="G3" t="str">
            <v>ABC Priority : A = High - Must do; B = Med - Should do; C = Low - Can wait</v>
          </cell>
        </row>
        <row r="4">
          <cell r="A4">
            <v>4</v>
          </cell>
          <cell r="B4" t="str">
            <v>TNG</v>
          </cell>
          <cell r="E4" t="str">
            <v>2008-2010 STRATEGIC PLAN</v>
          </cell>
        </row>
        <row r="5">
          <cell r="A5">
            <v>5</v>
          </cell>
          <cell r="B5" t="str">
            <v>TNG</v>
          </cell>
          <cell r="E5" t="str">
            <v>CAPITAL EXPENDITURE</v>
          </cell>
        </row>
        <row r="6">
          <cell r="A6">
            <v>6</v>
          </cell>
          <cell r="B6" t="str">
            <v>TNG</v>
          </cell>
        </row>
        <row r="7">
          <cell r="A7">
            <v>7</v>
          </cell>
          <cell r="B7" t="str">
            <v>TNG</v>
          </cell>
          <cell r="E7" t="str">
            <v>TINGALPA</v>
          </cell>
          <cell r="F7" t="str">
            <v>PRIORITY</v>
          </cell>
          <cell r="H7" t="str">
            <v>DEPRN
RATE (%)</v>
          </cell>
          <cell r="I7" t="str">
            <v>APPROVED/
PROPOSED
CAPEX
AMOUNT
($'000)</v>
          </cell>
          <cell r="J7" t="str">
            <v>PLANNED 2007 
SPEND
($'000)</v>
          </cell>
          <cell r="K7" t="str">
            <v>2008 
SPEND
($'000)</v>
          </cell>
          <cell r="L7" t="str">
            <v>2009 
SPEND
($'000)</v>
          </cell>
          <cell r="M7" t="str">
            <v>2010 
SPEND
($'000)</v>
          </cell>
          <cell r="N7" t="str">
            <v>CARRY-OVER PROJECTS</v>
          </cell>
          <cell r="Q7" t="str">
            <v>PROJECT
EXPENSE
($'000)</v>
          </cell>
          <cell r="R7" t="str">
            <v>ASSET
DISPOSAL
($'000)</v>
          </cell>
          <cell r="S7" t="str">
            <v>ANNUAL
PROJECT
SAVINGS
($'000)</v>
          </cell>
          <cell r="U7" t="str">
            <v>2008 EXECUTION PLAN</v>
          </cell>
          <cell r="W7" t="str">
            <v>DESCRIPTION,  RATIONALE,  NOTES</v>
          </cell>
        </row>
        <row r="8">
          <cell r="A8">
            <v>8</v>
          </cell>
          <cell r="B8" t="str">
            <v>TNG</v>
          </cell>
          <cell r="D8" t="str">
            <v>PROJECT TYPE</v>
          </cell>
          <cell r="E8" t="str">
            <v>PROJECT NAME</v>
          </cell>
          <cell r="N8" t="str">
            <v>PROJECT
NUMBER</v>
          </cell>
          <cell r="O8" t="str">
            <v>INTERNALORDER
NUMBER</v>
          </cell>
          <cell r="P8" t="str">
            <v>2007FY
AUC Level
($'000)</v>
          </cell>
          <cell r="T8" t="str">
            <v>PLANNED
APPROVAL
Q1,Q2,Q3,Q4</v>
          </cell>
          <cell r="U8" t="str">
            <v>PROJECT
START-UP
Q1,Q2,Q3,Q4</v>
          </cell>
          <cell r="V8" t="str">
            <v>2007
SPEND</v>
          </cell>
        </row>
        <row r="9">
          <cell r="A9">
            <v>9</v>
          </cell>
          <cell r="B9" t="str">
            <v>TNG</v>
          </cell>
        </row>
        <row r="10">
          <cell r="A10">
            <v>10</v>
          </cell>
          <cell r="B10" t="str">
            <v>TNG</v>
          </cell>
          <cell r="D10" t="str">
            <v>CAPACITY/  Growth</v>
          </cell>
        </row>
        <row r="11">
          <cell r="A11">
            <v>11</v>
          </cell>
          <cell r="B11" t="str">
            <v>TNG</v>
          </cell>
          <cell r="C11" t="str">
            <v>GROWTH</v>
          </cell>
          <cell r="E11" t="str">
            <v>Bagmaker Upgrades</v>
          </cell>
          <cell r="F11" t="str">
            <v>A</v>
          </cell>
          <cell r="I11">
            <v>1800</v>
          </cell>
          <cell r="K11">
            <v>1800</v>
          </cell>
          <cell r="Q11">
            <v>70</v>
          </cell>
          <cell r="R11">
            <v>40</v>
          </cell>
          <cell r="S11">
            <v>200</v>
          </cell>
          <cell r="W11" t="str">
            <v>Replace 4 obsolete Bagmakers on PC32 packing distribution</v>
          </cell>
        </row>
        <row r="12">
          <cell r="A12">
            <v>12</v>
          </cell>
          <cell r="B12" t="str">
            <v>TNG</v>
          </cell>
          <cell r="C12" t="str">
            <v>GROWTH</v>
          </cell>
        </row>
        <row r="13">
          <cell r="A13">
            <v>13</v>
          </cell>
          <cell r="B13" t="str">
            <v>TNG</v>
          </cell>
          <cell r="C13" t="str">
            <v>GROWTH</v>
          </cell>
        </row>
        <row r="14">
          <cell r="A14">
            <v>14</v>
          </cell>
          <cell r="B14" t="str">
            <v>TNG</v>
          </cell>
          <cell r="C14" t="str">
            <v>GROWTH</v>
          </cell>
          <cell r="E14" t="str">
            <v>SUB-TOTAL</v>
          </cell>
          <cell r="I14">
            <v>1800</v>
          </cell>
          <cell r="J14">
            <v>0</v>
          </cell>
          <cell r="K14">
            <v>1800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70</v>
          </cell>
          <cell r="R14">
            <v>40</v>
          </cell>
          <cell r="S14">
            <v>200</v>
          </cell>
        </row>
        <row r="15">
          <cell r="A15">
            <v>15</v>
          </cell>
          <cell r="B15" t="str">
            <v>TNG</v>
          </cell>
          <cell r="C15" t="str">
            <v>PROD</v>
          </cell>
          <cell r="D15" t="str">
            <v>PRODUCTIVITY</v>
          </cell>
        </row>
        <row r="16">
          <cell r="A16">
            <v>16</v>
          </cell>
          <cell r="B16" t="str">
            <v>TNG</v>
          </cell>
          <cell r="C16" t="str">
            <v>PROD</v>
          </cell>
          <cell r="E16" t="str">
            <v>Automate WIP loading to Schubert</v>
          </cell>
          <cell r="F16" t="str">
            <v>A</v>
          </cell>
          <cell r="I16">
            <v>1000</v>
          </cell>
          <cell r="L16">
            <v>1000</v>
          </cell>
          <cell r="S16">
            <v>300</v>
          </cell>
          <cell r="W16" t="str">
            <v>Save labour by automate WIP filling of Schubert hoppers.</v>
          </cell>
        </row>
        <row r="17">
          <cell r="A17">
            <v>17</v>
          </cell>
          <cell r="B17" t="str">
            <v>TNG</v>
          </cell>
          <cell r="C17" t="str">
            <v>PROD</v>
          </cell>
          <cell r="E17" t="str">
            <v>Bulk Potato Unloading</v>
          </cell>
          <cell r="I17">
            <v>2000</v>
          </cell>
          <cell r="L17">
            <v>2000</v>
          </cell>
          <cell r="W17" t="str">
            <v>Automate potato handling from bulk</v>
          </cell>
        </row>
        <row r="18">
          <cell r="A18">
            <v>18</v>
          </cell>
          <cell r="B18" t="str">
            <v>TNG</v>
          </cell>
          <cell r="C18" t="str">
            <v>PROD</v>
          </cell>
          <cell r="E18" t="str">
            <v>CI Initiated Projects</v>
          </cell>
          <cell r="F18" t="str">
            <v>A</v>
          </cell>
          <cell r="I18">
            <v>60</v>
          </cell>
          <cell r="K18">
            <v>20</v>
          </cell>
          <cell r="L18">
            <v>20</v>
          </cell>
          <cell r="M18">
            <v>20</v>
          </cell>
          <cell r="S18">
            <v>16.8</v>
          </cell>
          <cell r="W18" t="str">
            <v>Provision</v>
          </cell>
        </row>
        <row r="19">
          <cell r="A19">
            <v>19</v>
          </cell>
          <cell r="B19" t="str">
            <v>TNG</v>
          </cell>
          <cell r="C19" t="str">
            <v>PROD</v>
          </cell>
          <cell r="E19" t="str">
            <v>Predictive Maintenance Equipment - Stage 2</v>
          </cell>
          <cell r="F19" t="str">
            <v>A</v>
          </cell>
          <cell r="I19">
            <v>0</v>
          </cell>
          <cell r="M19" t="str">
            <v>x</v>
          </cell>
          <cell r="S19">
            <v>0</v>
          </cell>
          <cell r="W19" t="str">
            <v xml:space="preserve">Test equipment to proactively monitor critical assets to prevent failure </v>
          </cell>
        </row>
        <row r="20">
          <cell r="A20">
            <v>20</v>
          </cell>
          <cell r="B20" t="str">
            <v>TNG</v>
          </cell>
          <cell r="C20" t="str">
            <v>PROD</v>
          </cell>
          <cell r="E20" t="str">
            <v>Case Packing Automation</v>
          </cell>
          <cell r="F20" t="str">
            <v>A</v>
          </cell>
          <cell r="I20">
            <v>2400</v>
          </cell>
          <cell r="K20" t="str">
            <v>x</v>
          </cell>
          <cell r="L20">
            <v>500</v>
          </cell>
          <cell r="M20">
            <v>1900</v>
          </cell>
          <cell r="Q20">
            <v>50</v>
          </cell>
          <cell r="S20">
            <v>672.00000000000011</v>
          </cell>
          <cell r="W20" t="str">
            <v>Automate case packing -PC</v>
          </cell>
        </row>
        <row r="21">
          <cell r="A21">
            <v>21</v>
          </cell>
          <cell r="B21" t="str">
            <v>TNG</v>
          </cell>
          <cell r="C21" t="str">
            <v>PROD</v>
          </cell>
          <cell r="E21" t="str">
            <v>Automate overfill measurement CKF3</v>
          </cell>
          <cell r="F21" t="str">
            <v>A</v>
          </cell>
          <cell r="I21">
            <v>50</v>
          </cell>
          <cell r="L21">
            <v>50</v>
          </cell>
          <cell r="S21">
            <v>14.000000000000002</v>
          </cell>
          <cell r="W21" t="str">
            <v>Upgrade stat pack such that the overfill measurement data is automated</v>
          </cell>
        </row>
        <row r="22">
          <cell r="A22">
            <v>22</v>
          </cell>
          <cell r="B22" t="str">
            <v>TNG</v>
          </cell>
          <cell r="C22" t="str">
            <v>PROD</v>
          </cell>
          <cell r="E22" t="str">
            <v>Manufacturing carton Conveying Upgrade</v>
          </cell>
          <cell r="F22" t="str">
            <v>A</v>
          </cell>
          <cell r="I22">
            <v>450</v>
          </cell>
          <cell r="L22">
            <v>450</v>
          </cell>
          <cell r="Q22">
            <v>45</v>
          </cell>
          <cell r="R22">
            <v>20</v>
          </cell>
          <cell r="S22">
            <v>126.00000000000001</v>
          </cell>
          <cell r="W22" t="str">
            <v>Remove bottlenecks to ensure capacity demands are met (small bags etc)</v>
          </cell>
        </row>
        <row r="23">
          <cell r="A23">
            <v>23</v>
          </cell>
          <cell r="B23" t="str">
            <v>TNG</v>
          </cell>
          <cell r="C23" t="str">
            <v>PROD</v>
          </cell>
          <cell r="E23" t="str">
            <v>Corn Sheeter Autowire Feeder</v>
          </cell>
          <cell r="F23" t="str">
            <v>A</v>
          </cell>
          <cell r="I23">
            <v>20</v>
          </cell>
          <cell r="M23">
            <v>20</v>
          </cell>
          <cell r="Q23">
            <v>5</v>
          </cell>
          <cell r="S23">
            <v>5.6000000000000005</v>
          </cell>
          <cell r="W23" t="str">
            <v>Reduce downtime and waste due to wire breakage and improve sheeting quality</v>
          </cell>
        </row>
        <row r="24">
          <cell r="A24">
            <v>24</v>
          </cell>
          <cell r="B24" t="str">
            <v>TNG</v>
          </cell>
          <cell r="C24" t="str">
            <v>PROD</v>
          </cell>
          <cell r="E24" t="str">
            <v>Gen 2 Slicers &amp; Impellors</v>
          </cell>
          <cell r="F24" t="str">
            <v>A</v>
          </cell>
          <cell r="I24">
            <v>30</v>
          </cell>
          <cell r="K24">
            <v>30</v>
          </cell>
          <cell r="R24">
            <v>20</v>
          </cell>
          <cell r="S24">
            <v>140</v>
          </cell>
          <cell r="W24" t="str">
            <v>Replace Slicers with Gen 2 on PC and CKF</v>
          </cell>
        </row>
        <row r="25">
          <cell r="A25">
            <v>25</v>
          </cell>
          <cell r="B25" t="str">
            <v>TNG</v>
          </cell>
          <cell r="C25" t="str">
            <v>PROD</v>
          </cell>
          <cell r="E25" t="str">
            <v xml:space="preserve">CD30 Panel Upgrades </v>
          </cell>
          <cell r="F25" t="str">
            <v>A</v>
          </cell>
          <cell r="I25">
            <v>30</v>
          </cell>
          <cell r="K25">
            <v>30</v>
          </cell>
          <cell r="R25">
            <v>5</v>
          </cell>
          <cell r="S25">
            <v>8.4</v>
          </cell>
          <cell r="W25" t="str">
            <v>Eliminate electronic PCB failures</v>
          </cell>
        </row>
        <row r="26">
          <cell r="A26">
            <v>26</v>
          </cell>
          <cell r="B26" t="str">
            <v>TNG</v>
          </cell>
          <cell r="C26" t="str">
            <v>PROD</v>
          </cell>
        </row>
        <row r="27">
          <cell r="A27">
            <v>27</v>
          </cell>
          <cell r="B27" t="str">
            <v>TNG</v>
          </cell>
          <cell r="C27" t="str">
            <v>PROD</v>
          </cell>
          <cell r="E27" t="str">
            <v>SUB-TOTAL</v>
          </cell>
          <cell r="I27">
            <v>6040</v>
          </cell>
          <cell r="J27">
            <v>0</v>
          </cell>
          <cell r="K27">
            <v>80</v>
          </cell>
          <cell r="L27">
            <v>4020</v>
          </cell>
          <cell r="M27">
            <v>1940</v>
          </cell>
          <cell r="N27">
            <v>0</v>
          </cell>
          <cell r="O27">
            <v>0</v>
          </cell>
          <cell r="P27">
            <v>0</v>
          </cell>
          <cell r="Q27">
            <v>100</v>
          </cell>
          <cell r="R27">
            <v>45</v>
          </cell>
          <cell r="S27">
            <v>1282.8000000000002</v>
          </cell>
        </row>
        <row r="28">
          <cell r="A28">
            <v>28</v>
          </cell>
          <cell r="B28" t="str">
            <v>TNG</v>
          </cell>
          <cell r="D28" t="str">
            <v>SUSTAINABILITY</v>
          </cell>
          <cell r="E28" t="str">
            <v>INVESTMENTS TOWARDS REDUCTION IN WATER, ENERGY &amp; WASTE TO LANDFILL; management of effluent etc</v>
          </cell>
        </row>
        <row r="29">
          <cell r="A29">
            <v>29</v>
          </cell>
          <cell r="B29" t="str">
            <v>TNG</v>
          </cell>
          <cell r="C29" t="str">
            <v>SUSTAIN.</v>
          </cell>
          <cell r="E29" t="str">
            <v>Resource Reduction Projects</v>
          </cell>
          <cell r="F29" t="str">
            <v>A</v>
          </cell>
          <cell r="I29">
            <v>350</v>
          </cell>
          <cell r="J29">
            <v>50</v>
          </cell>
          <cell r="K29">
            <v>100</v>
          </cell>
          <cell r="L29">
            <v>100</v>
          </cell>
          <cell r="M29">
            <v>100</v>
          </cell>
          <cell r="Q29">
            <v>15</v>
          </cell>
          <cell r="S29">
            <v>49.000000000000007</v>
          </cell>
          <cell r="W29" t="str">
            <v>Initiatives to reduce water, energy and waste consumption</v>
          </cell>
        </row>
        <row r="30">
          <cell r="A30">
            <v>30</v>
          </cell>
          <cell r="B30" t="str">
            <v>TNG</v>
          </cell>
          <cell r="C30" t="str">
            <v>SUSTAIN.</v>
          </cell>
          <cell r="E30" t="str">
            <v>Power Factor Correction</v>
          </cell>
          <cell r="F30" t="str">
            <v>A</v>
          </cell>
          <cell r="I30">
            <v>250</v>
          </cell>
          <cell r="M30">
            <v>250</v>
          </cell>
          <cell r="Q30">
            <v>15</v>
          </cell>
          <cell r="S30">
            <v>70</v>
          </cell>
          <cell r="W30" t="str">
            <v>Install capacitors to improve site PF and reduce Electrical Costs.  QLD poor PF tariff expected to be introduced in coming years.</v>
          </cell>
        </row>
        <row r="31">
          <cell r="A31">
            <v>31</v>
          </cell>
          <cell r="B31" t="str">
            <v>TNG</v>
          </cell>
          <cell r="C31" t="str">
            <v>SUSTAIN.</v>
          </cell>
          <cell r="E31" t="str">
            <v>Treatment of process waste to potable quality</v>
          </cell>
          <cell r="F31" t="str">
            <v>A</v>
          </cell>
          <cell r="I31">
            <v>3000</v>
          </cell>
          <cell r="L31">
            <v>500</v>
          </cell>
          <cell r="M31">
            <v>2500</v>
          </cell>
          <cell r="Q31">
            <v>150</v>
          </cell>
          <cell r="S31">
            <v>500</v>
          </cell>
          <cell r="W31" t="str">
            <v>Tertiary Treatment for Water Reuse ($3/kL saving)</v>
          </cell>
        </row>
        <row r="32">
          <cell r="A32">
            <v>32</v>
          </cell>
          <cell r="B32" t="str">
            <v>TNG</v>
          </cell>
          <cell r="C32" t="str">
            <v>SUSTAIN.</v>
          </cell>
          <cell r="E32" t="str">
            <v>Waste Handling Building</v>
          </cell>
          <cell r="F32" t="str">
            <v>B</v>
          </cell>
          <cell r="I32">
            <v>0</v>
          </cell>
          <cell r="L32" t="str">
            <v>x</v>
          </cell>
          <cell r="Q32">
            <v>15</v>
          </cell>
          <cell r="S32">
            <v>50</v>
          </cell>
          <cell r="W32" t="str">
            <v xml:space="preserve">Centralised Waste Handling area and compactor to reduce landfill waste </v>
          </cell>
        </row>
        <row r="33">
          <cell r="A33">
            <v>33</v>
          </cell>
          <cell r="B33" t="str">
            <v>TNG</v>
          </cell>
          <cell r="C33" t="str">
            <v>SUSTAIN.</v>
          </cell>
          <cell r="E33" t="str">
            <v>Starch Recovery</v>
          </cell>
          <cell r="F33" t="str">
            <v>B</v>
          </cell>
          <cell r="I33">
            <v>0</v>
          </cell>
          <cell r="L33" t="str">
            <v>x</v>
          </cell>
          <cell r="Q33">
            <v>20</v>
          </cell>
          <cell r="S33">
            <v>100</v>
          </cell>
          <cell r="W33" t="str">
            <v>Sell Starch to Ethanol producer (&lt;30% moist)</v>
          </cell>
        </row>
        <row r="34">
          <cell r="A34">
            <v>34</v>
          </cell>
          <cell r="B34" t="str">
            <v>TNG</v>
          </cell>
          <cell r="C34" t="str">
            <v>SUSTAIN.</v>
          </cell>
          <cell r="I34">
            <v>0</v>
          </cell>
        </row>
        <row r="35">
          <cell r="A35">
            <v>35</v>
          </cell>
          <cell r="B35" t="str">
            <v>TNG</v>
          </cell>
          <cell r="C35" t="str">
            <v>SUSTAIN.</v>
          </cell>
        </row>
        <row r="36">
          <cell r="A36">
            <v>36</v>
          </cell>
          <cell r="B36" t="str">
            <v>TNG</v>
          </cell>
          <cell r="C36" t="str">
            <v>SUSTAIN.</v>
          </cell>
          <cell r="E36" t="str">
            <v>SUB-TOTAL</v>
          </cell>
          <cell r="I36">
            <v>3600</v>
          </cell>
          <cell r="J36">
            <v>50</v>
          </cell>
          <cell r="K36">
            <v>100</v>
          </cell>
          <cell r="L36">
            <v>600</v>
          </cell>
          <cell r="M36">
            <v>2850</v>
          </cell>
          <cell r="N36">
            <v>0</v>
          </cell>
          <cell r="O36">
            <v>0</v>
          </cell>
          <cell r="P36">
            <v>0</v>
          </cell>
          <cell r="Q36">
            <v>215</v>
          </cell>
          <cell r="R36">
            <v>0</v>
          </cell>
          <cell r="S36">
            <v>769</v>
          </cell>
        </row>
        <row r="37">
          <cell r="A37">
            <v>37</v>
          </cell>
          <cell r="B37" t="str">
            <v>TNG</v>
          </cell>
          <cell r="D37" t="str">
            <v>QUALITY /PRODUCT IMPR.</v>
          </cell>
        </row>
        <row r="38">
          <cell r="A38">
            <v>38</v>
          </cell>
          <cell r="B38" t="str">
            <v>TNG</v>
          </cell>
          <cell r="C38" t="str">
            <v>QUALITY</v>
          </cell>
          <cell r="E38" t="str">
            <v>Twisties Quality Upgrade</v>
          </cell>
          <cell r="F38" t="str">
            <v>A</v>
          </cell>
          <cell r="I38">
            <v>1055</v>
          </cell>
          <cell r="J38">
            <v>1015</v>
          </cell>
          <cell r="K38">
            <v>40</v>
          </cell>
          <cell r="Q38">
            <v>81.599999999999994</v>
          </cell>
          <cell r="R38">
            <v>2.5</v>
          </cell>
          <cell r="S38">
            <v>120.8</v>
          </cell>
          <cell r="W38" t="str">
            <v>Upgrade the whole Twisties Line wet end to include single flavour barrel with residence conveyor and new product elevators.</v>
          </cell>
        </row>
        <row r="39">
          <cell r="A39">
            <v>39</v>
          </cell>
          <cell r="B39" t="str">
            <v>TNG</v>
          </cell>
          <cell r="C39" t="str">
            <v>QUALITY</v>
          </cell>
          <cell r="E39" t="str">
            <v>Nuts processing hall windows</v>
          </cell>
          <cell r="F39" t="str">
            <v>A</v>
          </cell>
          <cell r="I39">
            <v>45</v>
          </cell>
          <cell r="K39">
            <v>45</v>
          </cell>
          <cell r="W39" t="str">
            <v>Sealing the Nuts processing hall windows.</v>
          </cell>
        </row>
        <row r="40">
          <cell r="A40">
            <v>40</v>
          </cell>
          <cell r="B40" t="str">
            <v>TNG</v>
          </cell>
          <cell r="C40" t="str">
            <v>QUALITY</v>
          </cell>
          <cell r="E40" t="str">
            <v>Corn, Cereals and CKF in-line magnets</v>
          </cell>
          <cell r="F40" t="str">
            <v>A</v>
          </cell>
          <cell r="I40">
            <v>100</v>
          </cell>
          <cell r="K40">
            <v>40</v>
          </cell>
          <cell r="L40">
            <v>60</v>
          </cell>
          <cell r="Q40">
            <v>5</v>
          </cell>
          <cell r="S40">
            <v>10</v>
          </cell>
          <cell r="W40" t="str">
            <v>Install 10k gauss magnets similar to PC</v>
          </cell>
        </row>
        <row r="41">
          <cell r="A41">
            <v>41</v>
          </cell>
          <cell r="B41" t="str">
            <v>TNG</v>
          </cell>
          <cell r="C41" t="str">
            <v>QUALITY</v>
          </cell>
          <cell r="E41" t="str">
            <v>AIB Projects various projects</v>
          </cell>
          <cell r="F41" t="str">
            <v>A</v>
          </cell>
          <cell r="I41">
            <v>200</v>
          </cell>
          <cell r="J41">
            <v>50</v>
          </cell>
          <cell r="K41">
            <v>50</v>
          </cell>
          <cell r="L41">
            <v>50</v>
          </cell>
          <cell r="M41">
            <v>50</v>
          </cell>
        </row>
        <row r="42">
          <cell r="A42">
            <v>42</v>
          </cell>
          <cell r="B42" t="str">
            <v>TNG</v>
          </cell>
          <cell r="C42" t="str">
            <v>QUALITY</v>
          </cell>
          <cell r="E42" t="str">
            <v>Hand Wash Station Hot Water Upgrades</v>
          </cell>
          <cell r="F42" t="str">
            <v>A</v>
          </cell>
          <cell r="I42">
            <v>50</v>
          </cell>
          <cell r="L42">
            <v>50</v>
          </cell>
          <cell r="R42">
            <v>5</v>
          </cell>
          <cell r="W42" t="str">
            <v xml:space="preserve">Provide on-demand hot water to hand wash facilities via recirculation to HWS unit.  </v>
          </cell>
        </row>
        <row r="43">
          <cell r="A43">
            <v>43</v>
          </cell>
          <cell r="B43" t="str">
            <v>TNG</v>
          </cell>
          <cell r="C43" t="str">
            <v>QUALITY</v>
          </cell>
          <cell r="E43" t="str">
            <v>Corn Fryer Carriage Upgrade</v>
          </cell>
          <cell r="F43" t="str">
            <v>A</v>
          </cell>
          <cell r="I43">
            <v>100</v>
          </cell>
          <cell r="K43" t="str">
            <v>x</v>
          </cell>
          <cell r="M43">
            <v>100</v>
          </cell>
          <cell r="Q43">
            <v>5</v>
          </cell>
          <cell r="R43" t="str">
            <v>?????</v>
          </cell>
          <cell r="S43">
            <v>20</v>
          </cell>
          <cell r="W43" t="str">
            <v>Existing Fryer has worn side plates</v>
          </cell>
        </row>
        <row r="44">
          <cell r="A44">
            <v>45</v>
          </cell>
          <cell r="B44" t="str">
            <v>TNG</v>
          </cell>
          <cell r="C44" t="str">
            <v>QUALITY</v>
          </cell>
          <cell r="I44">
            <v>0</v>
          </cell>
        </row>
        <row r="45">
          <cell r="A45">
            <v>46</v>
          </cell>
          <cell r="B45" t="str">
            <v>TNG</v>
          </cell>
          <cell r="C45" t="str">
            <v>QUALITY</v>
          </cell>
        </row>
        <row r="46">
          <cell r="A46">
            <v>47</v>
          </cell>
          <cell r="B46" t="str">
            <v>TNG</v>
          </cell>
          <cell r="C46" t="str">
            <v>QUALITY</v>
          </cell>
          <cell r="E46" t="str">
            <v>SUB-TOTAL</v>
          </cell>
          <cell r="I46">
            <v>1550</v>
          </cell>
          <cell r="J46">
            <v>1065</v>
          </cell>
          <cell r="K46">
            <v>175</v>
          </cell>
          <cell r="L46">
            <v>160</v>
          </cell>
          <cell r="M46">
            <v>150</v>
          </cell>
          <cell r="N46">
            <v>0</v>
          </cell>
          <cell r="O46">
            <v>0</v>
          </cell>
          <cell r="P46">
            <v>0</v>
          </cell>
          <cell r="Q46">
            <v>91.6</v>
          </cell>
          <cell r="R46">
            <v>7.5</v>
          </cell>
          <cell r="S46">
            <v>150.80000000000001</v>
          </cell>
        </row>
        <row r="47">
          <cell r="A47">
            <v>48</v>
          </cell>
          <cell r="B47" t="str">
            <v>TNG</v>
          </cell>
          <cell r="D47" t="str">
            <v>OTHER</v>
          </cell>
        </row>
        <row r="48">
          <cell r="A48">
            <v>49</v>
          </cell>
          <cell r="B48" t="str">
            <v>TNG</v>
          </cell>
          <cell r="C48" t="str">
            <v>OTHER</v>
          </cell>
          <cell r="E48" t="str">
            <v>Control System Upgrade 2008</v>
          </cell>
          <cell r="F48" t="str">
            <v>A</v>
          </cell>
          <cell r="I48">
            <v>0</v>
          </cell>
          <cell r="K48" t="str">
            <v>x</v>
          </cell>
          <cell r="R48">
            <v>5</v>
          </cell>
          <cell r="S48">
            <v>5</v>
          </cell>
          <cell r="W48" t="str">
            <v>PLC Online Backups</v>
          </cell>
        </row>
        <row r="49">
          <cell r="A49">
            <v>50</v>
          </cell>
          <cell r="B49" t="str">
            <v>TNG</v>
          </cell>
          <cell r="C49" t="str">
            <v>OTHER</v>
          </cell>
          <cell r="E49" t="str">
            <v>Workshop Mezzanine Store</v>
          </cell>
          <cell r="F49" t="str">
            <v>A</v>
          </cell>
          <cell r="I49">
            <v>0</v>
          </cell>
          <cell r="L49" t="str">
            <v>x</v>
          </cell>
          <cell r="W49" t="str">
            <v>Improve storage of spare parts</v>
          </cell>
        </row>
        <row r="50">
          <cell r="A50">
            <v>51</v>
          </cell>
          <cell r="B50" t="str">
            <v>TNG</v>
          </cell>
          <cell r="C50" t="str">
            <v>OTHER</v>
          </cell>
          <cell r="E50" t="str">
            <v>Office Modifications</v>
          </cell>
          <cell r="F50" t="str">
            <v>A</v>
          </cell>
          <cell r="I50">
            <v>78</v>
          </cell>
          <cell r="J50">
            <v>78</v>
          </cell>
          <cell r="L50" t="str">
            <v>x</v>
          </cell>
          <cell r="Q50">
            <v>10</v>
          </cell>
          <cell r="W50" t="str">
            <v>Provide Extra Office Space for employees</v>
          </cell>
        </row>
        <row r="51">
          <cell r="A51">
            <v>52</v>
          </cell>
          <cell r="B51" t="str">
            <v>TNG</v>
          </cell>
          <cell r="C51" t="str">
            <v>OTHER</v>
          </cell>
          <cell r="E51" t="str">
            <v>Safety Upgrades</v>
          </cell>
          <cell r="F51" t="str">
            <v>A</v>
          </cell>
          <cell r="I51">
            <v>240</v>
          </cell>
          <cell r="K51">
            <v>40</v>
          </cell>
          <cell r="L51">
            <v>100</v>
          </cell>
          <cell r="M51">
            <v>100</v>
          </cell>
          <cell r="W51" t="str">
            <v>Amount address general site safety issues</v>
          </cell>
        </row>
        <row r="52">
          <cell r="A52">
            <v>53</v>
          </cell>
          <cell r="B52" t="str">
            <v>TNG</v>
          </cell>
          <cell r="C52" t="str">
            <v>OTHER</v>
          </cell>
          <cell r="E52" t="str">
            <v>Floor Upgrades</v>
          </cell>
          <cell r="F52" t="str">
            <v>A</v>
          </cell>
          <cell r="I52">
            <v>314.7</v>
          </cell>
          <cell r="J52">
            <v>114.7</v>
          </cell>
          <cell r="K52">
            <v>75</v>
          </cell>
          <cell r="L52">
            <v>50</v>
          </cell>
          <cell r="M52">
            <v>75</v>
          </cell>
          <cell r="W52" t="str">
            <v>Amount to address 2007 Carryover general floor surface issues</v>
          </cell>
        </row>
        <row r="53">
          <cell r="A53">
            <v>54</v>
          </cell>
          <cell r="B53" t="str">
            <v>TNG</v>
          </cell>
          <cell r="C53" t="str">
            <v>OTHER</v>
          </cell>
          <cell r="E53" t="str">
            <v>Former replacements</v>
          </cell>
          <cell r="F53" t="str">
            <v>A</v>
          </cell>
          <cell r="I53">
            <v>200</v>
          </cell>
          <cell r="J53">
            <v>50</v>
          </cell>
          <cell r="K53">
            <v>50</v>
          </cell>
          <cell r="L53">
            <v>50</v>
          </cell>
          <cell r="M53">
            <v>50</v>
          </cell>
          <cell r="W53" t="str">
            <v>Amount to purchase new formers</v>
          </cell>
        </row>
        <row r="54">
          <cell r="A54">
            <v>55</v>
          </cell>
          <cell r="B54" t="str">
            <v>TNG</v>
          </cell>
          <cell r="C54" t="str">
            <v>OTHER</v>
          </cell>
          <cell r="E54" t="str">
            <v>Distribution Prime Movers</v>
          </cell>
          <cell r="F54" t="str">
            <v>A</v>
          </cell>
          <cell r="I54">
            <v>213</v>
          </cell>
          <cell r="J54">
            <v>213</v>
          </cell>
          <cell r="L54" t="str">
            <v>x</v>
          </cell>
          <cell r="M54" t="str">
            <v>x</v>
          </cell>
          <cell r="W54" t="str">
            <v>3 Replacement Prime Mover vehicles  to replace current old engines and 1 trailer</v>
          </cell>
        </row>
        <row r="55">
          <cell r="A55">
            <v>56</v>
          </cell>
          <cell r="B55" t="str">
            <v>TNG</v>
          </cell>
          <cell r="C55" t="str">
            <v>OTHER</v>
          </cell>
          <cell r="E55" t="str">
            <v>Additional Rigid Trucks</v>
          </cell>
          <cell r="F55" t="str">
            <v>A</v>
          </cell>
          <cell r="I55">
            <v>0</v>
          </cell>
          <cell r="M55" t="str">
            <v>x</v>
          </cell>
          <cell r="W55" t="str">
            <v>3 Additional Rigid Distribution Vehicles</v>
          </cell>
        </row>
        <row r="56">
          <cell r="A56">
            <v>57</v>
          </cell>
          <cell r="B56" t="str">
            <v>TNG</v>
          </cell>
          <cell r="C56" t="str">
            <v>OTHER</v>
          </cell>
          <cell r="E56" t="str">
            <v>Seasoning Dust Extraction Upgrades</v>
          </cell>
          <cell r="F56" t="str">
            <v>A</v>
          </cell>
          <cell r="I56">
            <v>200</v>
          </cell>
          <cell r="L56">
            <v>200</v>
          </cell>
          <cell r="Q56">
            <v>10</v>
          </cell>
          <cell r="R56">
            <v>53</v>
          </cell>
          <cell r="W56" t="str">
            <v xml:space="preserve">Upgrade Dust Extraction System to PC Seasoning Area </v>
          </cell>
        </row>
        <row r="57">
          <cell r="A57">
            <v>58</v>
          </cell>
          <cell r="B57" t="str">
            <v>TNG</v>
          </cell>
          <cell r="C57" t="str">
            <v>OTHER</v>
          </cell>
          <cell r="E57" t="str">
            <v>Workshop Exhaust Fans</v>
          </cell>
          <cell r="F57" t="str">
            <v>A</v>
          </cell>
          <cell r="I57">
            <v>15</v>
          </cell>
          <cell r="K57">
            <v>15</v>
          </cell>
          <cell r="W57" t="str">
            <v>Install extraction fans to workshop to reduce temperature during summer</v>
          </cell>
        </row>
        <row r="58">
          <cell r="A58">
            <v>59</v>
          </cell>
          <cell r="B58" t="str">
            <v>TNG</v>
          </cell>
          <cell r="C58" t="str">
            <v>OTHER</v>
          </cell>
          <cell r="E58" t="str">
            <v xml:space="preserve">Processing Hall AC/Ventilation Upgrade </v>
          </cell>
          <cell r="F58" t="str">
            <v>A</v>
          </cell>
          <cell r="I58">
            <v>75</v>
          </cell>
          <cell r="L58">
            <v>75</v>
          </cell>
          <cell r="Q58">
            <v>8</v>
          </cell>
          <cell r="W58" t="str">
            <v>Add spot cooling and ventilation</v>
          </cell>
        </row>
        <row r="59">
          <cell r="A59">
            <v>60</v>
          </cell>
          <cell r="B59" t="str">
            <v>TNG</v>
          </cell>
          <cell r="C59" t="str">
            <v>OTHER</v>
          </cell>
          <cell r="E59" t="str">
            <v>Packaging Platform Object Fall Protection</v>
          </cell>
          <cell r="F59" t="str">
            <v>A</v>
          </cell>
          <cell r="I59">
            <v>20</v>
          </cell>
          <cell r="K59">
            <v>20</v>
          </cell>
          <cell r="W59" t="str">
            <v>Prevent objects (weigher buckets) falling off packing distribution platforms onto staff below.</v>
          </cell>
        </row>
        <row r="60">
          <cell r="A60">
            <v>61</v>
          </cell>
          <cell r="B60" t="str">
            <v>TNG</v>
          </cell>
          <cell r="C60" t="str">
            <v>OTHER</v>
          </cell>
          <cell r="E60" t="str">
            <v>Concrete Pad Replacement</v>
          </cell>
          <cell r="F60" t="str">
            <v>A</v>
          </cell>
          <cell r="I60">
            <v>200</v>
          </cell>
          <cell r="K60" t="str">
            <v>x</v>
          </cell>
          <cell r="L60">
            <v>200</v>
          </cell>
          <cell r="Q60">
            <v>10</v>
          </cell>
          <cell r="W60" t="str">
            <v>Replace failed slab area in main yard.</v>
          </cell>
        </row>
        <row r="61">
          <cell r="A61">
            <v>62</v>
          </cell>
          <cell r="B61" t="str">
            <v>TNG</v>
          </cell>
          <cell r="C61" t="str">
            <v>OTHER</v>
          </cell>
          <cell r="E61" t="str">
            <v>Pellets Oven Upgrade</v>
          </cell>
          <cell r="F61" t="str">
            <v>A</v>
          </cell>
          <cell r="I61">
            <v>50</v>
          </cell>
          <cell r="K61">
            <v>50</v>
          </cell>
          <cell r="Q61">
            <v>5</v>
          </cell>
          <cell r="R61">
            <v>10</v>
          </cell>
          <cell r="W61" t="str">
            <v>Upgrade Oven to eliminate product contamination issue due to rust.</v>
          </cell>
        </row>
        <row r="62">
          <cell r="A62">
            <v>63</v>
          </cell>
          <cell r="B62" t="str">
            <v>TNG</v>
          </cell>
          <cell r="C62" t="str">
            <v>OTHER</v>
          </cell>
          <cell r="I62">
            <v>0</v>
          </cell>
        </row>
        <row r="63">
          <cell r="A63">
            <v>64</v>
          </cell>
          <cell r="B63" t="str">
            <v>TNG</v>
          </cell>
          <cell r="C63" t="str">
            <v>OTHER</v>
          </cell>
          <cell r="I63">
            <v>0</v>
          </cell>
        </row>
        <row r="64">
          <cell r="A64">
            <v>65</v>
          </cell>
          <cell r="B64" t="str">
            <v>TNG</v>
          </cell>
          <cell r="C64" t="str">
            <v>OTHER</v>
          </cell>
        </row>
        <row r="65">
          <cell r="A65">
            <v>66</v>
          </cell>
          <cell r="B65" t="str">
            <v>TNG</v>
          </cell>
          <cell r="C65" t="str">
            <v>OTHER</v>
          </cell>
          <cell r="E65" t="str">
            <v>SUB-TOTAL</v>
          </cell>
          <cell r="I65">
            <v>1605.7</v>
          </cell>
          <cell r="J65">
            <v>455.7</v>
          </cell>
          <cell r="K65">
            <v>250</v>
          </cell>
          <cell r="L65">
            <v>675</v>
          </cell>
          <cell r="M65">
            <v>225</v>
          </cell>
          <cell r="N65">
            <v>0</v>
          </cell>
          <cell r="O65">
            <v>0</v>
          </cell>
          <cell r="P65">
            <v>0</v>
          </cell>
          <cell r="Q65">
            <v>43</v>
          </cell>
          <cell r="R65">
            <v>68</v>
          </cell>
          <cell r="S65">
            <v>5</v>
          </cell>
        </row>
        <row r="66">
          <cell r="A66">
            <v>67</v>
          </cell>
          <cell r="B66" t="str">
            <v>TNG</v>
          </cell>
        </row>
        <row r="67">
          <cell r="A67">
            <v>68</v>
          </cell>
          <cell r="B67" t="str">
            <v>TNG</v>
          </cell>
          <cell r="E67" t="str">
            <v>TOTAL</v>
          </cell>
          <cell r="I67">
            <v>14595.7</v>
          </cell>
          <cell r="J67">
            <v>1570.7</v>
          </cell>
          <cell r="K67">
            <v>2405</v>
          </cell>
          <cell r="L67">
            <v>5455</v>
          </cell>
          <cell r="M67">
            <v>5165</v>
          </cell>
          <cell r="N67">
            <v>0</v>
          </cell>
          <cell r="O67">
            <v>0</v>
          </cell>
          <cell r="P67">
            <v>0</v>
          </cell>
          <cell r="Q67">
            <v>519.6</v>
          </cell>
          <cell r="R67">
            <v>160.5</v>
          </cell>
          <cell r="S67">
            <v>2407.6000000000004</v>
          </cell>
        </row>
      </sheetData>
      <sheetData sheetId="6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</row>
        <row r="2">
          <cell r="A2">
            <v>2</v>
          </cell>
          <cell r="B2" t="str">
            <v>R'PARK</v>
          </cell>
        </row>
        <row r="3">
          <cell r="A3">
            <v>3</v>
          </cell>
          <cell r="B3" t="str">
            <v>R'PARK</v>
          </cell>
          <cell r="E3" t="str">
            <v>2007 AOP</v>
          </cell>
          <cell r="G3" t="str">
            <v>ABC Priority : A = High - Must do; B = Med - Should do; C = Low - Can wait</v>
          </cell>
        </row>
        <row r="4">
          <cell r="A4">
            <v>4</v>
          </cell>
          <cell r="B4" t="str">
            <v>R'PARK</v>
          </cell>
          <cell r="E4" t="str">
            <v>2008-2010 STRATEGIC PLAN</v>
          </cell>
        </row>
        <row r="5">
          <cell r="A5">
            <v>5</v>
          </cell>
          <cell r="B5" t="str">
            <v>R'PARK</v>
          </cell>
          <cell r="E5" t="str">
            <v>CAPITAL EXPENDITURE</v>
          </cell>
        </row>
        <row r="6">
          <cell r="A6">
            <v>6</v>
          </cell>
          <cell r="B6" t="str">
            <v>R'PARK</v>
          </cell>
        </row>
        <row r="7">
          <cell r="A7">
            <v>7</v>
          </cell>
          <cell r="B7" t="str">
            <v>R'PARK</v>
          </cell>
          <cell r="E7" t="str">
            <v>Regency Park</v>
          </cell>
          <cell r="F7" t="str">
            <v>PRIORITY</v>
          </cell>
          <cell r="H7" t="str">
            <v>DEPRN
RATE (%)</v>
          </cell>
          <cell r="I7" t="str">
            <v>APPROVED/
PROPOSED
CAPEX
AMOUNT
($'000)</v>
          </cell>
          <cell r="J7" t="str">
            <v>PLANNED 2007 
SPEND
($'000)</v>
          </cell>
          <cell r="K7" t="str">
            <v>2008 
SPEND
($'000)</v>
          </cell>
          <cell r="L7" t="str">
            <v>2009 
SPEND
($'000)</v>
          </cell>
          <cell r="M7" t="str">
            <v>2010 
SPEND
($'000)</v>
          </cell>
          <cell r="N7" t="str">
            <v>CARRY-OVER PROJECTS</v>
          </cell>
          <cell r="Q7" t="str">
            <v>PROJECT
EXPENSE
($'000)</v>
          </cell>
          <cell r="R7" t="str">
            <v>ASSET
DISPOSAL
($'000)</v>
          </cell>
          <cell r="S7" t="str">
            <v>ANNUAL
PROJECT
SAVINGS
($'000)</v>
          </cell>
          <cell r="U7" t="str">
            <v>2008 EXECUTION PLAN</v>
          </cell>
          <cell r="W7" t="str">
            <v>DESCRIPTION,  RATIONALE,  NOTES</v>
          </cell>
        </row>
        <row r="8">
          <cell r="A8">
            <v>8</v>
          </cell>
          <cell r="B8" t="str">
            <v>R'PARK</v>
          </cell>
          <cell r="D8" t="str">
            <v>PROJECT TYPE</v>
          </cell>
          <cell r="E8" t="str">
            <v>PROJECT NAME</v>
          </cell>
          <cell r="N8" t="str">
            <v>PROJECT
NUMBER</v>
          </cell>
          <cell r="O8" t="str">
            <v>INTERNALORDER
NUMBER</v>
          </cell>
          <cell r="P8" t="str">
            <v>2007FY
AUC Level
($'000)</v>
          </cell>
          <cell r="T8" t="str">
            <v>PLANNED
APPROVAL
Q1,Q2,Q3,Q4</v>
          </cell>
          <cell r="U8" t="str">
            <v>PROJECT
START-UP
Q1,Q2,Q3,Q4</v>
          </cell>
          <cell r="V8" t="str">
            <v>2007
SPEND</v>
          </cell>
        </row>
        <row r="9">
          <cell r="A9">
            <v>9</v>
          </cell>
          <cell r="B9" t="str">
            <v>R'PARK</v>
          </cell>
        </row>
        <row r="10">
          <cell r="A10">
            <v>10</v>
          </cell>
          <cell r="B10" t="str">
            <v>R'PARK</v>
          </cell>
          <cell r="D10" t="str">
            <v>CAPACITY/  Growth</v>
          </cell>
        </row>
        <row r="11">
          <cell r="A11">
            <v>11</v>
          </cell>
          <cell r="B11" t="str">
            <v>R'PARK</v>
          </cell>
          <cell r="C11" t="str">
            <v>GROWTH</v>
          </cell>
          <cell r="E11" t="str">
            <v>Carton conveyor upgrade - MFG</v>
          </cell>
          <cell r="F11" t="str">
            <v>A</v>
          </cell>
          <cell r="I11">
            <v>500</v>
          </cell>
          <cell r="K11">
            <v>500</v>
          </cell>
          <cell r="Q11">
            <v>120</v>
          </cell>
          <cell r="R11">
            <v>50</v>
          </cell>
          <cell r="W11" t="str">
            <v>Phase II of Case Sealer/Case Erector project - RRD &amp; Cereals</v>
          </cell>
        </row>
        <row r="12">
          <cell r="A12">
            <v>99</v>
          </cell>
          <cell r="B12" t="str">
            <v>R'PARK</v>
          </cell>
          <cell r="C12" t="str">
            <v>GROWTH</v>
          </cell>
          <cell r="E12" t="str">
            <v>Packaging Hall Upgrades</v>
          </cell>
          <cell r="F12" t="str">
            <v>A</v>
          </cell>
          <cell r="I12">
            <v>0</v>
          </cell>
          <cell r="N12" t="str">
            <v>into bagmaker replacements</v>
          </cell>
          <cell r="W12" t="str">
            <v>Reconfigure packing hall for additional capacity</v>
          </cell>
        </row>
        <row r="13">
          <cell r="A13">
            <v>13</v>
          </cell>
          <cell r="B13" t="str">
            <v>R'PARK</v>
          </cell>
          <cell r="C13" t="str">
            <v>GROWTH</v>
          </cell>
          <cell r="E13" t="str">
            <v>Carton conveyor upgrade - S&amp;D</v>
          </cell>
          <cell r="F13" t="str">
            <v>A</v>
          </cell>
          <cell r="I13">
            <v>500</v>
          </cell>
          <cell r="L13">
            <v>500</v>
          </cell>
          <cell r="W13" t="str">
            <v>Reconfigure carton conveyor for additional capacity</v>
          </cell>
        </row>
        <row r="14">
          <cell r="A14">
            <v>14</v>
          </cell>
          <cell r="B14" t="str">
            <v>R'PARK</v>
          </cell>
          <cell r="C14" t="str">
            <v>GROWTH</v>
          </cell>
          <cell r="E14" t="str">
            <v>Upgrade PC line raw end choke points</v>
          </cell>
          <cell r="F14" t="str">
            <v>A</v>
          </cell>
          <cell r="I14">
            <v>500</v>
          </cell>
          <cell r="L14">
            <v>500</v>
          </cell>
          <cell r="S14">
            <v>120</v>
          </cell>
          <cell r="W14" t="str">
            <v>Limiting factor in PC50 output</v>
          </cell>
        </row>
        <row r="15">
          <cell r="A15">
            <v>15</v>
          </cell>
          <cell r="B15" t="str">
            <v>R'PARK</v>
          </cell>
          <cell r="C15" t="str">
            <v>GROWTH</v>
          </cell>
        </row>
        <row r="16">
          <cell r="A16">
            <v>16</v>
          </cell>
          <cell r="B16" t="str">
            <v>R'PARK</v>
          </cell>
          <cell r="C16" t="str">
            <v>GROWTH</v>
          </cell>
          <cell r="E16" t="str">
            <v>SUB-TOTAL</v>
          </cell>
          <cell r="I16">
            <v>1500</v>
          </cell>
          <cell r="J16">
            <v>0</v>
          </cell>
          <cell r="K16">
            <v>500</v>
          </cell>
          <cell r="L16">
            <v>1000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120</v>
          </cell>
          <cell r="R16">
            <v>50</v>
          </cell>
          <cell r="S16">
            <v>120</v>
          </cell>
        </row>
        <row r="17">
          <cell r="A17">
            <v>17</v>
          </cell>
          <cell r="B17" t="str">
            <v>R'PARK</v>
          </cell>
          <cell r="C17" t="str">
            <v>PROD</v>
          </cell>
          <cell r="D17" t="str">
            <v>PRODUCTIVITY</v>
          </cell>
        </row>
        <row r="18">
          <cell r="A18">
            <v>18</v>
          </cell>
          <cell r="B18" t="str">
            <v>R'PARK</v>
          </cell>
          <cell r="C18" t="str">
            <v>PROD</v>
          </cell>
          <cell r="E18" t="str">
            <v>Case Sealer &amp; Case Erector for PC and TC</v>
          </cell>
          <cell r="F18" t="str">
            <v>A</v>
          </cell>
          <cell r="I18">
            <v>2000</v>
          </cell>
          <cell r="J18">
            <v>1000</v>
          </cell>
          <cell r="K18">
            <v>500</v>
          </cell>
          <cell r="L18">
            <v>500</v>
          </cell>
          <cell r="Q18">
            <v>50</v>
          </cell>
          <cell r="R18">
            <v>50</v>
          </cell>
          <cell r="S18">
            <v>200</v>
          </cell>
          <cell r="W18" t="str">
            <v>Redesign Case Conveyor</v>
          </cell>
        </row>
        <row r="19">
          <cell r="A19">
            <v>19</v>
          </cell>
          <cell r="B19" t="str">
            <v>R'PARK</v>
          </cell>
          <cell r="C19" t="str">
            <v>PROD</v>
          </cell>
          <cell r="E19" t="str">
            <v>BPP Intiatives</v>
          </cell>
          <cell r="F19" t="str">
            <v>A</v>
          </cell>
          <cell r="I19">
            <v>80</v>
          </cell>
          <cell r="J19">
            <v>20</v>
          </cell>
          <cell r="K19">
            <v>20</v>
          </cell>
          <cell r="L19">
            <v>20</v>
          </cell>
          <cell r="M19">
            <v>20</v>
          </cell>
          <cell r="Q19">
            <v>5</v>
          </cell>
          <cell r="R19">
            <v>10</v>
          </cell>
          <cell r="S19">
            <v>32</v>
          </cell>
          <cell r="W19" t="str">
            <v>To support identified initiatives</v>
          </cell>
        </row>
        <row r="20">
          <cell r="A20">
            <v>20</v>
          </cell>
          <cell r="B20" t="str">
            <v>R'PARK</v>
          </cell>
          <cell r="C20" t="str">
            <v>PROD</v>
          </cell>
          <cell r="E20" t="str">
            <v>Potato Reject Chutes - PC &amp; CKF</v>
          </cell>
          <cell r="F20" t="str">
            <v>A</v>
          </cell>
          <cell r="I20">
            <v>40</v>
          </cell>
          <cell r="K20">
            <v>40</v>
          </cell>
          <cell r="Q20">
            <v>15</v>
          </cell>
          <cell r="R20">
            <v>5</v>
          </cell>
          <cell r="S20">
            <v>14</v>
          </cell>
          <cell r="W20" t="str">
            <v>Reject Potatoes pre slicers</v>
          </cell>
        </row>
        <row r="21">
          <cell r="A21">
            <v>21</v>
          </cell>
          <cell r="B21" t="str">
            <v>R'PARK</v>
          </cell>
          <cell r="C21" t="str">
            <v>PROD</v>
          </cell>
          <cell r="E21" t="str">
            <v>PC dewatering hopper replacement</v>
          </cell>
          <cell r="F21" t="str">
            <v>A</v>
          </cell>
          <cell r="I21">
            <v>200</v>
          </cell>
          <cell r="K21">
            <v>200</v>
          </cell>
          <cell r="Q21">
            <v>20</v>
          </cell>
          <cell r="R21">
            <v>100</v>
          </cell>
          <cell r="S21">
            <v>80</v>
          </cell>
          <cell r="W21" t="str">
            <v>Limiting PC fryer output &amp; high maintenance</v>
          </cell>
        </row>
        <row r="22">
          <cell r="A22">
            <v>22</v>
          </cell>
          <cell r="B22" t="str">
            <v>R'PARK</v>
          </cell>
          <cell r="C22" t="str">
            <v>PROD</v>
          </cell>
          <cell r="E22" t="str">
            <v>Replacement of Robag 2 bagmakers (30 off)</v>
          </cell>
          <cell r="F22" t="str">
            <v>A</v>
          </cell>
          <cell r="I22">
            <v>8175</v>
          </cell>
          <cell r="K22">
            <v>2725</v>
          </cell>
          <cell r="L22">
            <v>2725</v>
          </cell>
          <cell r="M22">
            <v>2725</v>
          </cell>
          <cell r="Q22">
            <v>40</v>
          </cell>
          <cell r="S22">
            <v>303.60000000000002</v>
          </cell>
          <cell r="W22" t="str">
            <v>Robag 2s no longer supported by Mfr &amp; outdated technology</v>
          </cell>
        </row>
        <row r="23">
          <cell r="A23">
            <v>23</v>
          </cell>
          <cell r="B23" t="str">
            <v>R'PARK</v>
          </cell>
          <cell r="C23" t="str">
            <v>PROD</v>
          </cell>
          <cell r="E23" t="str">
            <v>Case packers/case erectors (3)</v>
          </cell>
          <cell r="F23" t="str">
            <v>A</v>
          </cell>
          <cell r="I23">
            <v>400</v>
          </cell>
          <cell r="L23" t="str">
            <v>x</v>
          </cell>
          <cell r="M23">
            <v>400</v>
          </cell>
          <cell r="S23">
            <v>455.40000000000003</v>
          </cell>
          <cell r="W23" t="str">
            <v>Reduce packaging labour</v>
          </cell>
        </row>
        <row r="24">
          <cell r="A24">
            <v>24</v>
          </cell>
          <cell r="B24" t="str">
            <v>R'PARK</v>
          </cell>
          <cell r="C24" t="str">
            <v>PROD</v>
          </cell>
          <cell r="E24" t="str">
            <v>CI initiated projects</v>
          </cell>
          <cell r="F24" t="str">
            <v>A</v>
          </cell>
          <cell r="I24">
            <v>60</v>
          </cell>
          <cell r="K24">
            <v>20</v>
          </cell>
          <cell r="L24">
            <v>20</v>
          </cell>
          <cell r="M24">
            <v>20</v>
          </cell>
          <cell r="S24">
            <v>15</v>
          </cell>
          <cell r="W24" t="str">
            <v>To support identified initiatives</v>
          </cell>
        </row>
        <row r="25">
          <cell r="A25">
            <v>25</v>
          </cell>
          <cell r="B25" t="str">
            <v>R'PARK</v>
          </cell>
          <cell r="C25" t="str">
            <v>PROD</v>
          </cell>
          <cell r="E25" t="str">
            <v>TC sheeter auto wire feeder</v>
          </cell>
          <cell r="F25" t="str">
            <v>A</v>
          </cell>
          <cell r="I25">
            <v>0</v>
          </cell>
          <cell r="M25" t="str">
            <v>x</v>
          </cell>
          <cell r="N25" t="str">
            <v>???</v>
          </cell>
          <cell r="S25">
            <v>6</v>
          </cell>
          <cell r="W25" t="str">
            <v>Reduce wire replacement downtime</v>
          </cell>
        </row>
        <row r="26">
          <cell r="A26">
            <v>26</v>
          </cell>
          <cell r="B26" t="str">
            <v>R'PARK</v>
          </cell>
          <cell r="C26" t="str">
            <v>PROD</v>
          </cell>
        </row>
        <row r="27">
          <cell r="A27">
            <v>27</v>
          </cell>
          <cell r="B27" t="str">
            <v>R'PARK</v>
          </cell>
          <cell r="C27" t="str">
            <v>PROD</v>
          </cell>
          <cell r="E27" t="str">
            <v>SUB-TOTAL</v>
          </cell>
          <cell r="I27">
            <v>10955</v>
          </cell>
          <cell r="J27">
            <v>1020</v>
          </cell>
          <cell r="K27">
            <v>3505</v>
          </cell>
          <cell r="L27">
            <v>3265</v>
          </cell>
          <cell r="M27">
            <v>3165</v>
          </cell>
          <cell r="N27">
            <v>0</v>
          </cell>
          <cell r="O27">
            <v>0</v>
          </cell>
          <cell r="P27">
            <v>0</v>
          </cell>
          <cell r="Q27">
            <v>130</v>
          </cell>
          <cell r="R27">
            <v>165</v>
          </cell>
          <cell r="S27">
            <v>1106</v>
          </cell>
        </row>
        <row r="28">
          <cell r="A28">
            <v>28</v>
          </cell>
          <cell r="B28" t="str">
            <v>R'PARK</v>
          </cell>
          <cell r="D28" t="str">
            <v>SUSTAINABILITY</v>
          </cell>
          <cell r="E28" t="str">
            <v>INVESTMENTS TOWARDS REDUCTION IN WATER, ENERGY &amp; WASTE TO LANDFILL; management of effluent etc</v>
          </cell>
        </row>
        <row r="29">
          <cell r="A29">
            <v>29</v>
          </cell>
          <cell r="B29" t="str">
            <v>R'PARK</v>
          </cell>
          <cell r="C29" t="str">
            <v>SUSTAIN.</v>
          </cell>
          <cell r="E29" t="str">
            <v>Water conservation Projects</v>
          </cell>
          <cell r="F29" t="str">
            <v>A</v>
          </cell>
          <cell r="I29">
            <v>210</v>
          </cell>
          <cell r="J29">
            <v>60</v>
          </cell>
          <cell r="K29">
            <v>50</v>
          </cell>
          <cell r="L29">
            <v>50</v>
          </cell>
          <cell r="M29">
            <v>50</v>
          </cell>
          <cell r="R29">
            <v>5</v>
          </cell>
          <cell r="S29">
            <v>32</v>
          </cell>
          <cell r="W29" t="str">
            <v>Various Water conservation projects</v>
          </cell>
        </row>
        <row r="30">
          <cell r="A30">
            <v>30</v>
          </cell>
          <cell r="B30" t="str">
            <v>R'PARK</v>
          </cell>
          <cell r="C30" t="str">
            <v>SUSTAIN.</v>
          </cell>
          <cell r="E30" t="str">
            <v>Power logger</v>
          </cell>
          <cell r="F30" t="str">
            <v>A</v>
          </cell>
          <cell r="I30">
            <v>4</v>
          </cell>
          <cell r="J30">
            <v>4</v>
          </cell>
          <cell r="W30" t="str">
            <v>To monitor energy consumption and identify opportunities</v>
          </cell>
        </row>
        <row r="31">
          <cell r="A31">
            <v>31</v>
          </cell>
          <cell r="B31" t="str">
            <v>R'PARK</v>
          </cell>
          <cell r="C31" t="str">
            <v>SUSTAIN.</v>
          </cell>
          <cell r="E31" t="str">
            <v>Compressor Replacement</v>
          </cell>
          <cell r="F31" t="str">
            <v>A</v>
          </cell>
          <cell r="I31">
            <v>100</v>
          </cell>
          <cell r="K31" t="str">
            <v>x</v>
          </cell>
          <cell r="L31">
            <v>100</v>
          </cell>
          <cell r="R31">
            <v>20</v>
          </cell>
          <cell r="S31">
            <v>32</v>
          </cell>
          <cell r="W31" t="str">
            <v>Replace oldest compressor, move to demand based operation</v>
          </cell>
        </row>
        <row r="32">
          <cell r="A32">
            <v>32</v>
          </cell>
          <cell r="B32" t="str">
            <v>R'PARK</v>
          </cell>
          <cell r="C32" t="str">
            <v>SUSTAIN.</v>
          </cell>
        </row>
        <row r="33">
          <cell r="A33">
            <v>33</v>
          </cell>
          <cell r="B33" t="str">
            <v>R'PARK</v>
          </cell>
          <cell r="C33" t="str">
            <v>SUSTAIN.</v>
          </cell>
          <cell r="E33" t="str">
            <v>SUB-TOTAL</v>
          </cell>
          <cell r="I33">
            <v>314</v>
          </cell>
          <cell r="J33">
            <v>64</v>
          </cell>
          <cell r="K33">
            <v>50</v>
          </cell>
          <cell r="L33">
            <v>150</v>
          </cell>
          <cell r="M33">
            <v>50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25</v>
          </cell>
          <cell r="S33">
            <v>64</v>
          </cell>
        </row>
        <row r="34">
          <cell r="A34">
            <v>34</v>
          </cell>
          <cell r="B34" t="str">
            <v>R'PARK</v>
          </cell>
          <cell r="D34" t="str">
            <v>QUALITY /PRODUCT IMPR.</v>
          </cell>
        </row>
        <row r="35">
          <cell r="A35">
            <v>35</v>
          </cell>
          <cell r="B35" t="str">
            <v>R'PARK</v>
          </cell>
          <cell r="C35" t="str">
            <v>QUALITY</v>
          </cell>
          <cell r="E35" t="str">
            <v>AIB Improvements</v>
          </cell>
          <cell r="F35" t="str">
            <v>A</v>
          </cell>
          <cell r="I35">
            <v>200</v>
          </cell>
          <cell r="J35">
            <v>50</v>
          </cell>
          <cell r="K35">
            <v>50</v>
          </cell>
          <cell r="L35">
            <v>50</v>
          </cell>
          <cell r="M35">
            <v>50</v>
          </cell>
          <cell r="W35" t="str">
            <v>General AIB improvements</v>
          </cell>
        </row>
        <row r="36">
          <cell r="A36">
            <v>36</v>
          </cell>
          <cell r="B36" t="str">
            <v>R'PARK</v>
          </cell>
          <cell r="C36" t="str">
            <v>QUALITY</v>
          </cell>
          <cell r="E36" t="str">
            <v>Cereals - Platforms replacement Phase2</v>
          </cell>
          <cell r="F36" t="str">
            <v>A</v>
          </cell>
          <cell r="I36">
            <v>0</v>
          </cell>
          <cell r="L36" t="str">
            <v>x</v>
          </cell>
          <cell r="Q36">
            <v>40</v>
          </cell>
          <cell r="R36">
            <v>40</v>
          </cell>
          <cell r="W36" t="str">
            <v>Continue on with 06S302</v>
          </cell>
        </row>
        <row r="37">
          <cell r="A37">
            <v>37</v>
          </cell>
          <cell r="B37" t="str">
            <v>R'PARK</v>
          </cell>
          <cell r="C37" t="str">
            <v>QUALITY</v>
          </cell>
          <cell r="E37" t="str">
            <v>PC - Seasoning Elevators</v>
          </cell>
          <cell r="F37" t="str">
            <v>A</v>
          </cell>
          <cell r="I37">
            <v>50</v>
          </cell>
          <cell r="M37">
            <v>50</v>
          </cell>
          <cell r="R37" t="str">
            <v>????</v>
          </cell>
          <cell r="W37" t="str">
            <v>To comply with IPS</v>
          </cell>
        </row>
        <row r="38">
          <cell r="A38">
            <v>38</v>
          </cell>
          <cell r="B38" t="str">
            <v>R'PARK</v>
          </cell>
          <cell r="C38" t="str">
            <v>QUALITY</v>
          </cell>
        </row>
        <row r="39">
          <cell r="A39">
            <v>39</v>
          </cell>
          <cell r="B39" t="str">
            <v>R'PARK</v>
          </cell>
          <cell r="C39" t="str">
            <v>QUALITY</v>
          </cell>
          <cell r="E39" t="str">
            <v>SUB-TOTAL</v>
          </cell>
          <cell r="I39">
            <v>250</v>
          </cell>
          <cell r="J39">
            <v>50</v>
          </cell>
          <cell r="K39">
            <v>50</v>
          </cell>
          <cell r="L39">
            <v>50</v>
          </cell>
          <cell r="M39">
            <v>100</v>
          </cell>
          <cell r="N39">
            <v>0</v>
          </cell>
          <cell r="O39">
            <v>0</v>
          </cell>
          <cell r="P39">
            <v>0</v>
          </cell>
          <cell r="Q39">
            <v>40</v>
          </cell>
          <cell r="R39">
            <v>40</v>
          </cell>
          <cell r="S39">
            <v>0</v>
          </cell>
        </row>
        <row r="40">
          <cell r="A40">
            <v>40</v>
          </cell>
          <cell r="B40" t="str">
            <v>R'PARK</v>
          </cell>
          <cell r="D40" t="str">
            <v>OTHER</v>
          </cell>
        </row>
        <row r="41">
          <cell r="A41">
            <v>41</v>
          </cell>
          <cell r="B41" t="str">
            <v>R'PARK</v>
          </cell>
          <cell r="C41" t="str">
            <v>OTHER</v>
          </cell>
          <cell r="E41" t="str">
            <v>Security</v>
          </cell>
          <cell r="F41" t="str">
            <v>A</v>
          </cell>
          <cell r="I41">
            <v>450</v>
          </cell>
          <cell r="J41">
            <v>250</v>
          </cell>
          <cell r="K41">
            <v>200</v>
          </cell>
          <cell r="Q41">
            <v>20</v>
          </cell>
          <cell r="W41" t="str">
            <v>Continues on 06S305</v>
          </cell>
        </row>
        <row r="42">
          <cell r="A42">
            <v>42</v>
          </cell>
          <cell r="B42" t="str">
            <v>R'PARK</v>
          </cell>
          <cell r="C42" t="str">
            <v>OTHER</v>
          </cell>
          <cell r="E42" t="str">
            <v>Safety Projects</v>
          </cell>
          <cell r="F42" t="str">
            <v>A</v>
          </cell>
          <cell r="I42">
            <v>200</v>
          </cell>
          <cell r="J42">
            <v>50</v>
          </cell>
          <cell r="K42">
            <v>50</v>
          </cell>
          <cell r="L42">
            <v>50</v>
          </cell>
          <cell r="M42">
            <v>50</v>
          </cell>
          <cell r="W42" t="str">
            <v>General safety projects</v>
          </cell>
        </row>
        <row r="43">
          <cell r="A43">
            <v>43</v>
          </cell>
          <cell r="B43" t="str">
            <v>R'PARK</v>
          </cell>
          <cell r="C43" t="str">
            <v>OTHER</v>
          </cell>
          <cell r="E43" t="str">
            <v>PC - Optical Sorter</v>
          </cell>
          <cell r="F43" t="str">
            <v>A</v>
          </cell>
          <cell r="I43">
            <v>1100</v>
          </cell>
          <cell r="J43">
            <v>700</v>
          </cell>
          <cell r="K43">
            <v>400</v>
          </cell>
          <cell r="Q43">
            <v>30</v>
          </cell>
          <cell r="R43">
            <v>100</v>
          </cell>
          <cell r="W43" t="str">
            <v>Unit no longer supported. Do in conjunction with CV.</v>
          </cell>
        </row>
        <row r="44">
          <cell r="A44">
            <v>44</v>
          </cell>
          <cell r="B44" t="str">
            <v>R'PARK</v>
          </cell>
          <cell r="C44" t="str">
            <v>OTHER</v>
          </cell>
          <cell r="E44" t="str">
            <v>CIP Replacement</v>
          </cell>
          <cell r="F44" t="str">
            <v>A</v>
          </cell>
          <cell r="I44">
            <v>70</v>
          </cell>
          <cell r="K44" t="str">
            <v>x</v>
          </cell>
          <cell r="L44">
            <v>70</v>
          </cell>
          <cell r="W44" t="str">
            <v>Replace CIP system</v>
          </cell>
        </row>
        <row r="45">
          <cell r="A45">
            <v>45</v>
          </cell>
          <cell r="B45" t="str">
            <v>R'PARK</v>
          </cell>
          <cell r="C45" t="str">
            <v>OTHER</v>
          </cell>
          <cell r="E45" t="str">
            <v>Insurance Requirements</v>
          </cell>
          <cell r="F45" t="str">
            <v>A</v>
          </cell>
          <cell r="I45">
            <v>0</v>
          </cell>
          <cell r="L45" t="str">
            <v>x</v>
          </cell>
          <cell r="M45" t="str">
            <v>x</v>
          </cell>
          <cell r="W45" t="str">
            <v>Insurance requirements from FM Global surveys</v>
          </cell>
        </row>
        <row r="46">
          <cell r="A46">
            <v>99</v>
          </cell>
          <cell r="B46" t="str">
            <v>R'PARK</v>
          </cell>
          <cell r="C46" t="str">
            <v>OTHER</v>
          </cell>
          <cell r="E46" t="str">
            <v>Bagmaker data collection</v>
          </cell>
          <cell r="F46" t="str">
            <v>A</v>
          </cell>
          <cell r="I46">
            <v>0</v>
          </cell>
          <cell r="N46" t="str">
            <v>into bagmaker replacements</v>
          </cell>
          <cell r="W46" t="str">
            <v>Provide data for productivity initiatives</v>
          </cell>
        </row>
        <row r="47">
          <cell r="A47">
            <v>47</v>
          </cell>
          <cell r="B47" t="str">
            <v>R'PARK</v>
          </cell>
          <cell r="C47" t="str">
            <v>OTHER</v>
          </cell>
        </row>
        <row r="48">
          <cell r="A48">
            <v>48</v>
          </cell>
          <cell r="B48" t="str">
            <v>R'PARK</v>
          </cell>
          <cell r="C48" t="str">
            <v>OTHER</v>
          </cell>
          <cell r="E48" t="str">
            <v>SUB-TOTAL</v>
          </cell>
          <cell r="I48">
            <v>1820</v>
          </cell>
          <cell r="J48">
            <v>1000</v>
          </cell>
          <cell r="K48">
            <v>650</v>
          </cell>
          <cell r="L48">
            <v>120</v>
          </cell>
          <cell r="M48">
            <v>50</v>
          </cell>
          <cell r="N48">
            <v>0</v>
          </cell>
          <cell r="O48">
            <v>0</v>
          </cell>
          <cell r="P48">
            <v>0</v>
          </cell>
          <cell r="Q48">
            <v>50</v>
          </cell>
          <cell r="R48">
            <v>100</v>
          </cell>
          <cell r="S48">
            <v>0</v>
          </cell>
        </row>
        <row r="49">
          <cell r="A49">
            <v>49</v>
          </cell>
          <cell r="B49" t="str">
            <v>R'PARK</v>
          </cell>
        </row>
        <row r="50">
          <cell r="A50">
            <v>50</v>
          </cell>
          <cell r="B50" t="str">
            <v>R'PARK</v>
          </cell>
          <cell r="E50" t="str">
            <v>TOTAL</v>
          </cell>
          <cell r="I50">
            <v>14839</v>
          </cell>
          <cell r="J50">
            <v>2134</v>
          </cell>
          <cell r="K50">
            <v>4755</v>
          </cell>
          <cell r="L50">
            <v>4585</v>
          </cell>
          <cell r="M50">
            <v>3365</v>
          </cell>
          <cell r="N50">
            <v>0</v>
          </cell>
          <cell r="O50">
            <v>0</v>
          </cell>
          <cell r="P50">
            <v>0</v>
          </cell>
          <cell r="Q50">
            <v>340</v>
          </cell>
          <cell r="R50">
            <v>380</v>
          </cell>
          <cell r="S50">
            <v>1290</v>
          </cell>
        </row>
      </sheetData>
      <sheetData sheetId="7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</row>
        <row r="2">
          <cell r="A2">
            <v>2</v>
          </cell>
        </row>
        <row r="3">
          <cell r="A3">
            <v>3</v>
          </cell>
          <cell r="B3" t="str">
            <v>C'VALE</v>
          </cell>
          <cell r="E3" t="str">
            <v>2007 AOP</v>
          </cell>
          <cell r="G3" t="str">
            <v>ABC Priority : A = High - Must do; B = Med - Should do; C = Low - Can wait</v>
          </cell>
        </row>
        <row r="4">
          <cell r="A4">
            <v>4</v>
          </cell>
          <cell r="B4" t="str">
            <v>C'VALE</v>
          </cell>
          <cell r="E4" t="str">
            <v>2008-2010 STRATEGIC PLAN</v>
          </cell>
        </row>
        <row r="5">
          <cell r="A5">
            <v>5</v>
          </cell>
          <cell r="B5" t="str">
            <v>C'VALE</v>
          </cell>
          <cell r="E5" t="str">
            <v>CAPITAL EXPENDITURE</v>
          </cell>
        </row>
        <row r="6">
          <cell r="A6">
            <v>6</v>
          </cell>
          <cell r="B6" t="str">
            <v>C'VALE</v>
          </cell>
        </row>
        <row r="7">
          <cell r="A7">
            <v>7</v>
          </cell>
          <cell r="B7" t="str">
            <v>C'VALE</v>
          </cell>
          <cell r="E7" t="str">
            <v>CANNING VALE</v>
          </cell>
          <cell r="F7" t="str">
            <v>PRIORITY</v>
          </cell>
          <cell r="H7" t="str">
            <v>DEPRN
RATE (%)</v>
          </cell>
          <cell r="I7" t="str">
            <v>APPROVED/
PROPOSED
CAPEX
AMOUNT
($'000)</v>
          </cell>
          <cell r="J7" t="str">
            <v>PLANNED 2007 
SPEND
($'000)</v>
          </cell>
          <cell r="K7" t="str">
            <v>2008 
SPEND
($'000)</v>
          </cell>
          <cell r="L7" t="str">
            <v>2009 
SPEND
($'000)</v>
          </cell>
          <cell r="M7" t="str">
            <v>2010 
SPEND
($'000)</v>
          </cell>
          <cell r="N7" t="str">
            <v>CARRY-OVER PROJECTS</v>
          </cell>
          <cell r="Q7" t="str">
            <v>PROJECT
EXPENSE
($'000)</v>
          </cell>
          <cell r="R7" t="str">
            <v>ASSET
DISPOSAL
($'000)</v>
          </cell>
          <cell r="S7" t="str">
            <v>ANNUAL
PROJECT
SAVINGS
($'000)</v>
          </cell>
          <cell r="U7" t="str">
            <v>2008 EXECUTION PLAN</v>
          </cell>
          <cell r="W7" t="str">
            <v>DESCRIPTION,  RATIONALE,  NOTES</v>
          </cell>
        </row>
        <row r="8">
          <cell r="A8">
            <v>8</v>
          </cell>
          <cell r="B8" t="str">
            <v>C'VALE</v>
          </cell>
          <cell r="D8" t="str">
            <v>PROJECT TYPE</v>
          </cell>
          <cell r="E8" t="str">
            <v>PROJECT NAME</v>
          </cell>
          <cell r="N8" t="str">
            <v>PROJECT
NUMBER</v>
          </cell>
          <cell r="O8" t="str">
            <v>INTERNALORDER
NUMBER</v>
          </cell>
          <cell r="P8" t="str">
            <v>2007FY
AUC Level
($'000)</v>
          </cell>
          <cell r="T8" t="str">
            <v>PLANNED
APPROVAL
Q1,Q2,Q3,Q4</v>
          </cell>
          <cell r="U8" t="str">
            <v>PROJECT
START-UP
Q1,Q2,Q3,Q4</v>
          </cell>
          <cell r="V8" t="str">
            <v>2007
SPEND</v>
          </cell>
        </row>
        <row r="9">
          <cell r="A9">
            <v>9</v>
          </cell>
          <cell r="B9" t="str">
            <v>C'VALE</v>
          </cell>
        </row>
        <row r="10">
          <cell r="A10">
            <v>10</v>
          </cell>
          <cell r="B10" t="str">
            <v>C'VALE</v>
          </cell>
          <cell r="D10" t="str">
            <v>CAPACITY/  Growth</v>
          </cell>
        </row>
        <row r="11">
          <cell r="A11">
            <v>12</v>
          </cell>
          <cell r="B11" t="str">
            <v>C'VALE</v>
          </cell>
          <cell r="I11">
            <v>0</v>
          </cell>
        </row>
        <row r="12">
          <cell r="A12">
            <v>13</v>
          </cell>
          <cell r="B12" t="str">
            <v>C'VALE</v>
          </cell>
          <cell r="I12">
            <v>0</v>
          </cell>
        </row>
        <row r="13">
          <cell r="A13">
            <v>14</v>
          </cell>
          <cell r="B13" t="str">
            <v>C'VALE</v>
          </cell>
          <cell r="E13" t="str">
            <v>SUB-TOTAL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A14">
            <v>15</v>
          </cell>
          <cell r="B14" t="str">
            <v>C'VALE</v>
          </cell>
          <cell r="D14" t="str">
            <v>PRODUCTIVITY</v>
          </cell>
        </row>
        <row r="15">
          <cell r="A15">
            <v>16</v>
          </cell>
          <cell r="B15" t="str">
            <v>C'VALE</v>
          </cell>
          <cell r="C15" t="str">
            <v>PROD</v>
          </cell>
          <cell r="E15" t="str">
            <v>Extra surge hopper on cereal line</v>
          </cell>
          <cell r="F15" t="str">
            <v>A</v>
          </cell>
          <cell r="G15" t="str">
            <v>MFG</v>
          </cell>
          <cell r="H15">
            <v>0.1</v>
          </cell>
          <cell r="I15">
            <v>95</v>
          </cell>
          <cell r="L15">
            <v>95</v>
          </cell>
          <cell r="Q15">
            <v>10</v>
          </cell>
          <cell r="S15">
            <v>35</v>
          </cell>
          <cell r="W15" t="str">
            <v>increase through put through reduction in change overs</v>
          </cell>
        </row>
        <row r="16">
          <cell r="A16">
            <v>17</v>
          </cell>
          <cell r="B16" t="str">
            <v>C'VALE</v>
          </cell>
          <cell r="C16" t="str">
            <v>PROD</v>
          </cell>
          <cell r="E16" t="str">
            <v>Improved communications by networking packing m/c's to optimise line balance with process for demand and packing m/c performance</v>
          </cell>
          <cell r="F16" t="str">
            <v>A</v>
          </cell>
          <cell r="G16" t="str">
            <v>MFG</v>
          </cell>
          <cell r="H16">
            <v>0.1</v>
          </cell>
          <cell r="I16">
            <v>30</v>
          </cell>
          <cell r="K16">
            <v>30</v>
          </cell>
          <cell r="S16">
            <v>10</v>
          </cell>
          <cell r="V16" t="str">
            <v>Q1</v>
          </cell>
          <cell r="W16" t="str">
            <v>drive uptime of line performance through detailed control</v>
          </cell>
        </row>
        <row r="17">
          <cell r="A17">
            <v>18</v>
          </cell>
          <cell r="B17" t="str">
            <v>C'VALE</v>
          </cell>
          <cell r="C17" t="str">
            <v>PROD</v>
          </cell>
          <cell r="E17" t="str">
            <v>IPS yield / quality improvements ( IN PROGRESS )</v>
          </cell>
          <cell r="F17" t="str">
            <v>A</v>
          </cell>
          <cell r="G17" t="str">
            <v>MFG</v>
          </cell>
          <cell r="H17">
            <v>0.1</v>
          </cell>
          <cell r="I17">
            <v>120</v>
          </cell>
          <cell r="J17">
            <v>80</v>
          </cell>
          <cell r="K17">
            <v>40</v>
          </cell>
          <cell r="N17" t="str">
            <v>07W206</v>
          </cell>
          <cell r="W17" t="str">
            <v>Actions driven by impact device trial plus IPS Audit</v>
          </cell>
        </row>
        <row r="18">
          <cell r="A18">
            <v>19</v>
          </cell>
          <cell r="B18" t="str">
            <v>C'VALE</v>
          </cell>
          <cell r="C18" t="str">
            <v>PROD</v>
          </cell>
          <cell r="E18" t="str">
            <v>Maximse  running PC and Cereals  Capacity  through Dual running</v>
          </cell>
          <cell r="F18" t="str">
            <v>A</v>
          </cell>
          <cell r="G18" t="str">
            <v>MFG</v>
          </cell>
          <cell r="H18">
            <v>0.1</v>
          </cell>
          <cell r="I18">
            <v>0</v>
          </cell>
          <cell r="K18" t="str">
            <v>x</v>
          </cell>
          <cell r="L18" t="str">
            <v>x</v>
          </cell>
          <cell r="V18" t="str">
            <v>Q1</v>
          </cell>
          <cell r="W18" t="str">
            <v>Maximise capacity through put ,  reduce change over times , replace obselete and none support controls systems on the extruders and oven also to upgrade equipment to meet  todays safety requirements</v>
          </cell>
        </row>
        <row r="19">
          <cell r="A19">
            <v>20</v>
          </cell>
          <cell r="B19" t="str">
            <v>C'VALE</v>
          </cell>
          <cell r="C19" t="str">
            <v>PROD</v>
          </cell>
        </row>
        <row r="20">
          <cell r="A20">
            <v>21</v>
          </cell>
          <cell r="B20" t="str">
            <v>C'VALE</v>
          </cell>
          <cell r="C20" t="str">
            <v>PROD</v>
          </cell>
          <cell r="E20" t="str">
            <v>SUB-TOTAL</v>
          </cell>
          <cell r="I20">
            <v>245</v>
          </cell>
          <cell r="J20">
            <v>80</v>
          </cell>
          <cell r="K20">
            <v>70</v>
          </cell>
          <cell r="L20">
            <v>95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10</v>
          </cell>
          <cell r="R20">
            <v>0</v>
          </cell>
          <cell r="S20">
            <v>45</v>
          </cell>
        </row>
        <row r="21">
          <cell r="A21">
            <v>22</v>
          </cell>
          <cell r="B21" t="str">
            <v>C'VALE</v>
          </cell>
          <cell r="D21" t="str">
            <v>SUSTAINABILITY</v>
          </cell>
          <cell r="E21" t="str">
            <v>INVESTMENTS TOWARDS REDUCTION IN WATER, ENERGY &amp; WASTE TO LANDFILL; management of effluent etc</v>
          </cell>
        </row>
        <row r="22">
          <cell r="A22">
            <v>23</v>
          </cell>
          <cell r="B22" t="str">
            <v>C'VALE</v>
          </cell>
          <cell r="C22" t="str">
            <v>SUSTAIN.</v>
          </cell>
          <cell r="E22" t="str">
            <v>???????????????????????????</v>
          </cell>
          <cell r="I22">
            <v>0</v>
          </cell>
        </row>
        <row r="23">
          <cell r="A23">
            <v>24</v>
          </cell>
          <cell r="B23" t="str">
            <v>C'VALE</v>
          </cell>
          <cell r="C23" t="str">
            <v>SUSTAIN.</v>
          </cell>
          <cell r="E23" t="str">
            <v>???????????????????????????</v>
          </cell>
          <cell r="I23">
            <v>0</v>
          </cell>
        </row>
        <row r="24">
          <cell r="A24">
            <v>25</v>
          </cell>
          <cell r="B24" t="str">
            <v>C'VALE</v>
          </cell>
          <cell r="C24" t="str">
            <v>SUSTAIN.</v>
          </cell>
          <cell r="E24" t="str">
            <v>???????????????????????????</v>
          </cell>
          <cell r="I24">
            <v>0</v>
          </cell>
        </row>
        <row r="25">
          <cell r="A25">
            <v>26</v>
          </cell>
          <cell r="B25" t="str">
            <v>C'VALE</v>
          </cell>
          <cell r="C25" t="str">
            <v>SUSTAIN.</v>
          </cell>
          <cell r="E25" t="str">
            <v>???????????????????????????</v>
          </cell>
          <cell r="I25">
            <v>0</v>
          </cell>
        </row>
        <row r="26">
          <cell r="A26">
            <v>27</v>
          </cell>
          <cell r="B26" t="str">
            <v>C'VALE</v>
          </cell>
          <cell r="C26" t="str">
            <v>SUSTAIN.</v>
          </cell>
          <cell r="E26" t="str">
            <v>???????????????????????????</v>
          </cell>
          <cell r="I26">
            <v>0</v>
          </cell>
        </row>
        <row r="27">
          <cell r="A27">
            <v>28</v>
          </cell>
          <cell r="B27" t="str">
            <v>C'VALE</v>
          </cell>
          <cell r="C27" t="str">
            <v>SUSTAIN.</v>
          </cell>
        </row>
        <row r="28">
          <cell r="A28">
            <v>29</v>
          </cell>
          <cell r="B28" t="str">
            <v>C'VALE</v>
          </cell>
          <cell r="C28" t="str">
            <v>SUSTAIN.</v>
          </cell>
          <cell r="E28" t="str">
            <v>SUB-TOTAL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A29">
            <v>30</v>
          </cell>
          <cell r="B29" t="str">
            <v>C'VALE</v>
          </cell>
          <cell r="D29" t="str">
            <v>QUALITY /PRODUCT IMPR.</v>
          </cell>
        </row>
        <row r="30">
          <cell r="A30">
            <v>31</v>
          </cell>
          <cell r="B30" t="str">
            <v>C'VALE</v>
          </cell>
          <cell r="C30" t="str">
            <v>QUALITY</v>
          </cell>
          <cell r="E30" t="str">
            <v>FSA Projects</v>
          </cell>
          <cell r="F30" t="str">
            <v>A</v>
          </cell>
          <cell r="G30" t="str">
            <v>MFG</v>
          </cell>
          <cell r="H30">
            <v>0.1</v>
          </cell>
          <cell r="I30">
            <v>80</v>
          </cell>
          <cell r="J30">
            <v>20</v>
          </cell>
          <cell r="K30">
            <v>20</v>
          </cell>
          <cell r="L30">
            <v>20</v>
          </cell>
          <cell r="M30">
            <v>20</v>
          </cell>
          <cell r="V30" t="str">
            <v>Q2</v>
          </cell>
          <cell r="W30" t="str">
            <v>Various FSA Improvement projects</v>
          </cell>
        </row>
        <row r="31">
          <cell r="A31">
            <v>32</v>
          </cell>
          <cell r="B31" t="str">
            <v>C'VALE</v>
          </cell>
          <cell r="C31" t="str">
            <v>QUALITY</v>
          </cell>
          <cell r="E31" t="str">
            <v>Slicer management improvement project</v>
          </cell>
          <cell r="F31" t="str">
            <v>A</v>
          </cell>
          <cell r="G31" t="str">
            <v>MFG</v>
          </cell>
          <cell r="H31">
            <v>0.1</v>
          </cell>
          <cell r="I31">
            <v>25</v>
          </cell>
          <cell r="K31">
            <v>25</v>
          </cell>
          <cell r="S31">
            <v>10</v>
          </cell>
          <cell r="V31" t="str">
            <v>Q1</v>
          </cell>
          <cell r="W31" t="str">
            <v>Slicer management improvement project includes digital meter</v>
          </cell>
        </row>
        <row r="32">
          <cell r="A32">
            <v>33</v>
          </cell>
          <cell r="B32" t="str">
            <v>C'VALE</v>
          </cell>
          <cell r="C32" t="str">
            <v>QUALITY</v>
          </cell>
          <cell r="E32" t="str">
            <v>Enclose head shelves (AIB)</v>
          </cell>
          <cell r="F32" t="str">
            <v>A</v>
          </cell>
          <cell r="G32" t="str">
            <v>MFG</v>
          </cell>
          <cell r="H32">
            <v>0.1</v>
          </cell>
          <cell r="I32">
            <v>40</v>
          </cell>
          <cell r="J32">
            <v>20</v>
          </cell>
          <cell r="K32">
            <v>20</v>
          </cell>
          <cell r="V32" t="str">
            <v>Q1</v>
          </cell>
          <cell r="W32" t="str">
            <v>Stop cross contamination  in 2005 AIB 305 issued</v>
          </cell>
        </row>
        <row r="33">
          <cell r="A33">
            <v>34</v>
          </cell>
          <cell r="B33" t="str">
            <v>C'VALE</v>
          </cell>
          <cell r="C33" t="str">
            <v>QUALITY</v>
          </cell>
          <cell r="E33" t="str">
            <v>Upgrade Wrights platform in Wet Area AIB - PC flavour loop platform</v>
          </cell>
          <cell r="F33" t="str">
            <v>A</v>
          </cell>
          <cell r="G33" t="str">
            <v>MFG</v>
          </cell>
          <cell r="H33">
            <v>0.1</v>
          </cell>
          <cell r="I33">
            <v>50</v>
          </cell>
          <cell r="L33">
            <v>50</v>
          </cell>
          <cell r="Q33">
            <v>5</v>
          </cell>
          <cell r="W33" t="str">
            <v>Replace rusting mild steel / with stainless supporting frame significant AIB issue</v>
          </cell>
        </row>
        <row r="34">
          <cell r="A34">
            <v>35</v>
          </cell>
          <cell r="B34" t="str">
            <v>C'VALE</v>
          </cell>
          <cell r="C34" t="str">
            <v>QUALITY</v>
          </cell>
          <cell r="E34" t="str">
            <v>Replace Potato Store Temperature / humidity control system including vents</v>
          </cell>
          <cell r="F34" t="str">
            <v>A</v>
          </cell>
          <cell r="G34" t="str">
            <v>MFG</v>
          </cell>
          <cell r="H34">
            <v>0.1</v>
          </cell>
          <cell r="I34">
            <v>50</v>
          </cell>
          <cell r="L34" t="str">
            <v>x</v>
          </cell>
          <cell r="M34">
            <v>50</v>
          </cell>
          <cell r="V34" t="str">
            <v>Q3</v>
          </cell>
          <cell r="W34" t="str">
            <v>Replace obsolete , ageing and  high maintenance system due to inefficiency</v>
          </cell>
        </row>
        <row r="35">
          <cell r="A35">
            <v>36</v>
          </cell>
          <cell r="B35" t="str">
            <v>C'VALE</v>
          </cell>
          <cell r="C35" t="str">
            <v>QUALITY</v>
          </cell>
        </row>
        <row r="36">
          <cell r="A36">
            <v>37</v>
          </cell>
          <cell r="B36" t="str">
            <v>C'VALE</v>
          </cell>
          <cell r="C36" t="str">
            <v>QUALITY</v>
          </cell>
          <cell r="E36" t="str">
            <v>SUB-TOTAL</v>
          </cell>
          <cell r="I36">
            <v>245</v>
          </cell>
          <cell r="J36">
            <v>40</v>
          </cell>
          <cell r="K36">
            <v>65</v>
          </cell>
          <cell r="L36">
            <v>70</v>
          </cell>
          <cell r="M36">
            <v>70</v>
          </cell>
          <cell r="N36">
            <v>0</v>
          </cell>
          <cell r="O36">
            <v>0</v>
          </cell>
          <cell r="P36">
            <v>0</v>
          </cell>
          <cell r="Q36">
            <v>5</v>
          </cell>
          <cell r="R36">
            <v>0</v>
          </cell>
          <cell r="S36">
            <v>10</v>
          </cell>
        </row>
        <row r="37">
          <cell r="A37">
            <v>38</v>
          </cell>
          <cell r="B37" t="str">
            <v>C'VALE</v>
          </cell>
          <cell r="D37" t="str">
            <v>OTHER</v>
          </cell>
        </row>
        <row r="38">
          <cell r="A38">
            <v>39</v>
          </cell>
          <cell r="B38" t="str">
            <v>C'VALE</v>
          </cell>
          <cell r="C38" t="str">
            <v>OTHER</v>
          </cell>
          <cell r="E38" t="str">
            <v>Replace optisort</v>
          </cell>
          <cell r="F38" t="str">
            <v>A</v>
          </cell>
          <cell r="G38" t="str">
            <v>MFG</v>
          </cell>
          <cell r="H38">
            <v>0.1</v>
          </cell>
          <cell r="I38">
            <v>1100</v>
          </cell>
          <cell r="J38">
            <v>700</v>
          </cell>
          <cell r="K38">
            <v>400</v>
          </cell>
          <cell r="Q38">
            <v>15</v>
          </cell>
          <cell r="R38">
            <v>55</v>
          </cell>
          <cell r="S38">
            <v>100</v>
          </cell>
          <cell r="V38" t="str">
            <v>Q3</v>
          </cell>
          <cell r="W38" t="str">
            <v>Replace obserlet and none supported equipment also pre and post feed system to allow new vision system to work</v>
          </cell>
        </row>
        <row r="39">
          <cell r="A39">
            <v>40</v>
          </cell>
          <cell r="B39" t="str">
            <v>C'VALE</v>
          </cell>
          <cell r="C39" t="str">
            <v>OTHER</v>
          </cell>
          <cell r="E39" t="str">
            <v>Former replacement</v>
          </cell>
          <cell r="F39" t="str">
            <v>A</v>
          </cell>
          <cell r="G39" t="str">
            <v>MFG</v>
          </cell>
          <cell r="H39">
            <v>0.2</v>
          </cell>
          <cell r="I39">
            <v>92</v>
          </cell>
          <cell r="J39">
            <v>20</v>
          </cell>
          <cell r="K39">
            <v>24</v>
          </cell>
          <cell r="L39">
            <v>24</v>
          </cell>
          <cell r="M39">
            <v>24</v>
          </cell>
          <cell r="V39" t="str">
            <v>Q2</v>
          </cell>
          <cell r="W39" t="str">
            <v>3 x former replacement</v>
          </cell>
        </row>
        <row r="40">
          <cell r="A40">
            <v>41</v>
          </cell>
          <cell r="B40" t="str">
            <v>C'VALE</v>
          </cell>
          <cell r="C40" t="str">
            <v>OTHER</v>
          </cell>
          <cell r="E40" t="str">
            <v>Pallet wrappers</v>
          </cell>
          <cell r="F40" t="str">
            <v>A</v>
          </cell>
          <cell r="G40" t="str">
            <v>S&amp;D</v>
          </cell>
          <cell r="H40">
            <v>0.1</v>
          </cell>
          <cell r="I40">
            <v>0</v>
          </cell>
          <cell r="K40" t="str">
            <v>x</v>
          </cell>
          <cell r="S40">
            <v>70</v>
          </cell>
          <cell r="V40" t="str">
            <v>Q3</v>
          </cell>
          <cell r="W40" t="str">
            <v>Existing unit is US.</v>
          </cell>
        </row>
        <row r="41">
          <cell r="A41">
            <v>42</v>
          </cell>
          <cell r="B41" t="str">
            <v>C'VALE</v>
          </cell>
          <cell r="C41" t="str">
            <v>OTHER</v>
          </cell>
          <cell r="E41" t="str">
            <v>Fans</v>
          </cell>
          <cell r="F41" t="str">
            <v>A</v>
          </cell>
          <cell r="G41" t="str">
            <v>S&amp;D</v>
          </cell>
          <cell r="H41">
            <v>0.1</v>
          </cell>
          <cell r="I41">
            <v>0</v>
          </cell>
          <cell r="N41" t="str">
            <v>warehouse upgrade??</v>
          </cell>
          <cell r="Q41" t="str">
            <v>warehouse upgrade??</v>
          </cell>
          <cell r="V41" t="str">
            <v>Q3</v>
          </cell>
          <cell r="W41" t="str">
            <v>Install big arse fans to reduce temperature of  DC during warmer periods</v>
          </cell>
        </row>
        <row r="42">
          <cell r="A42">
            <v>43</v>
          </cell>
          <cell r="B42" t="str">
            <v>C'VALE</v>
          </cell>
          <cell r="C42" t="str">
            <v>OTHER</v>
          </cell>
          <cell r="E42" t="str">
            <v>Floor repair / upgrade</v>
          </cell>
          <cell r="F42" t="str">
            <v>A</v>
          </cell>
          <cell r="G42" t="str">
            <v>S&amp;D</v>
          </cell>
          <cell r="H42">
            <v>0.1</v>
          </cell>
          <cell r="I42">
            <v>0</v>
          </cell>
          <cell r="N42" t="str">
            <v>warehouse upgrade??</v>
          </cell>
          <cell r="Q42" t="str">
            <v>warehouse upgrade??</v>
          </cell>
          <cell r="S42">
            <v>50</v>
          </cell>
          <cell r="W42" t="str">
            <v>Existing floor is degrading as it was not designed to handle high traffic reach truch use.</v>
          </cell>
        </row>
        <row r="43">
          <cell r="A43">
            <v>44</v>
          </cell>
          <cell r="B43" t="str">
            <v>C'VALE</v>
          </cell>
          <cell r="C43" t="str">
            <v>OTHER</v>
          </cell>
          <cell r="E43" t="str">
            <v>Vehicle management system</v>
          </cell>
          <cell r="F43" t="str">
            <v>A</v>
          </cell>
          <cell r="G43" t="str">
            <v>S&amp;D</v>
          </cell>
          <cell r="H43">
            <v>0.2</v>
          </cell>
          <cell r="I43">
            <v>15</v>
          </cell>
          <cell r="K43">
            <v>15</v>
          </cell>
          <cell r="S43">
            <v>5</v>
          </cell>
          <cell r="V43" t="str">
            <v>Q1</v>
          </cell>
          <cell r="W43" t="str">
            <v>Vehicle management system for forklift to monitor impact , excess speed &amp; operator compliance to safety pre start checks</v>
          </cell>
        </row>
        <row r="44">
          <cell r="A44">
            <v>99</v>
          </cell>
          <cell r="B44" t="str">
            <v>C'VALE</v>
          </cell>
          <cell r="C44" t="str">
            <v>OTHER</v>
          </cell>
          <cell r="E44" t="str">
            <v>Upgrade Scada  system  to maximise loading capacity</v>
          </cell>
          <cell r="F44" t="str">
            <v>A</v>
          </cell>
          <cell r="G44" t="str">
            <v>S&amp;D</v>
          </cell>
          <cell r="H44">
            <v>0.1</v>
          </cell>
          <cell r="I44">
            <v>0</v>
          </cell>
          <cell r="V44" t="str">
            <v>Q1</v>
          </cell>
          <cell r="W44" t="str">
            <v>Installation of sortation system as per RP to esure inventory accuracy when shipping stock ex CV.</v>
          </cell>
        </row>
        <row r="45">
          <cell r="A45">
            <v>46</v>
          </cell>
          <cell r="B45" t="str">
            <v>C'VALE</v>
          </cell>
          <cell r="C45" t="str">
            <v>OTHER</v>
          </cell>
          <cell r="E45" t="str">
            <v xml:space="preserve">Safety - Various Safety projects. </v>
          </cell>
          <cell r="F45" t="str">
            <v>A</v>
          </cell>
          <cell r="G45" t="str">
            <v>MFG</v>
          </cell>
          <cell r="H45">
            <v>0.1</v>
          </cell>
          <cell r="I45">
            <v>75</v>
          </cell>
          <cell r="J45">
            <v>75</v>
          </cell>
        </row>
        <row r="46">
          <cell r="A46">
            <v>47</v>
          </cell>
          <cell r="B46" t="str">
            <v>C'VALE</v>
          </cell>
          <cell r="C46" t="str">
            <v>OTHER</v>
          </cell>
          <cell r="E46" t="str">
            <v>Safety items from inspections/audit</v>
          </cell>
          <cell r="F46" t="str">
            <v>A</v>
          </cell>
          <cell r="G46" t="str">
            <v>MFG</v>
          </cell>
          <cell r="H46">
            <v>0.1</v>
          </cell>
          <cell r="I46">
            <v>120</v>
          </cell>
          <cell r="K46">
            <v>40</v>
          </cell>
          <cell r="L46">
            <v>40</v>
          </cell>
          <cell r="M46">
            <v>40</v>
          </cell>
          <cell r="V46" t="str">
            <v>Q3</v>
          </cell>
          <cell r="W46" t="str">
            <v>Various projects identified through safety tours and hazard reports</v>
          </cell>
        </row>
        <row r="47">
          <cell r="A47">
            <v>48</v>
          </cell>
          <cell r="B47" t="str">
            <v>C'VALE</v>
          </cell>
          <cell r="C47" t="str">
            <v>OTHER</v>
          </cell>
          <cell r="E47" t="str">
            <v>Site Security  $150 m already in 2006 Capital plan ( IN PROGRESS )</v>
          </cell>
          <cell r="F47" t="str">
            <v>A</v>
          </cell>
          <cell r="G47" t="str">
            <v>MFG</v>
          </cell>
          <cell r="H47">
            <v>0.1</v>
          </cell>
          <cell r="I47">
            <v>410</v>
          </cell>
          <cell r="J47">
            <v>150</v>
          </cell>
          <cell r="K47">
            <v>260</v>
          </cell>
          <cell r="N47" t="str">
            <v>07W303</v>
          </cell>
          <cell r="V47" t="str">
            <v>Q1</v>
          </cell>
          <cell r="W47" t="str">
            <v>Increase security for site inline with Pepsico Int policy</v>
          </cell>
        </row>
        <row r="48">
          <cell r="A48">
            <v>49</v>
          </cell>
          <cell r="B48" t="str">
            <v>C'VALE</v>
          </cell>
          <cell r="C48" t="str">
            <v>OTHER</v>
          </cell>
          <cell r="E48" t="str">
            <v>Relocate Car Park plus allow for future expansion</v>
          </cell>
          <cell r="F48" t="str">
            <v>A</v>
          </cell>
          <cell r="G48" t="str">
            <v>MFG</v>
          </cell>
          <cell r="H48">
            <v>10</v>
          </cell>
          <cell r="I48">
            <v>0</v>
          </cell>
          <cell r="L48" t="str">
            <v>x</v>
          </cell>
          <cell r="M48" t="str">
            <v>x</v>
          </cell>
          <cell r="Q48">
            <v>250</v>
          </cell>
          <cell r="V48" t="str">
            <v>Q2</v>
          </cell>
          <cell r="W48" t="str">
            <v>Relocate site parking to meet Pepsi security policy also to release area for potential future growth Note expence is total cost for ten years with option to extend.</v>
          </cell>
        </row>
        <row r="49">
          <cell r="A49">
            <v>50</v>
          </cell>
          <cell r="B49" t="str">
            <v>C'VALE</v>
          </cell>
          <cell r="C49" t="str">
            <v>OTHER</v>
          </cell>
        </row>
        <row r="50">
          <cell r="A50">
            <v>51</v>
          </cell>
          <cell r="B50" t="str">
            <v>C'VALE</v>
          </cell>
          <cell r="C50" t="str">
            <v>OTHER</v>
          </cell>
          <cell r="E50" t="str">
            <v>SUB-TOTAL</v>
          </cell>
          <cell r="I50">
            <v>1812</v>
          </cell>
          <cell r="J50">
            <v>945</v>
          </cell>
          <cell r="K50">
            <v>739</v>
          </cell>
          <cell r="L50">
            <v>64</v>
          </cell>
          <cell r="M50">
            <v>64</v>
          </cell>
          <cell r="N50">
            <v>0</v>
          </cell>
          <cell r="O50">
            <v>0</v>
          </cell>
          <cell r="P50">
            <v>0</v>
          </cell>
          <cell r="Q50">
            <v>265</v>
          </cell>
          <cell r="R50">
            <v>55</v>
          </cell>
          <cell r="S50">
            <v>225</v>
          </cell>
        </row>
        <row r="51">
          <cell r="A51">
            <v>52</v>
          </cell>
          <cell r="B51" t="str">
            <v>C'VALE</v>
          </cell>
          <cell r="C51" t="str">
            <v>OTHER</v>
          </cell>
        </row>
        <row r="52">
          <cell r="A52">
            <v>53</v>
          </cell>
          <cell r="B52" t="str">
            <v>C'VALE</v>
          </cell>
          <cell r="C52" t="str">
            <v>OTHER</v>
          </cell>
          <cell r="E52" t="str">
            <v>TOTAL</v>
          </cell>
          <cell r="I52">
            <v>2302</v>
          </cell>
          <cell r="J52">
            <v>1065</v>
          </cell>
          <cell r="K52">
            <v>874</v>
          </cell>
          <cell r="L52">
            <v>229</v>
          </cell>
          <cell r="M52">
            <v>134</v>
          </cell>
          <cell r="N52">
            <v>0</v>
          </cell>
          <cell r="O52">
            <v>0</v>
          </cell>
          <cell r="P52">
            <v>0</v>
          </cell>
          <cell r="Q52">
            <v>280</v>
          </cell>
          <cell r="R52">
            <v>55</v>
          </cell>
          <cell r="S52">
            <v>280</v>
          </cell>
        </row>
      </sheetData>
      <sheetData sheetId="8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</row>
        <row r="2">
          <cell r="A2">
            <v>2</v>
          </cell>
          <cell r="B2" t="str">
            <v>SAKATA</v>
          </cell>
        </row>
        <row r="3">
          <cell r="A3">
            <v>3</v>
          </cell>
          <cell r="B3" t="str">
            <v>SAKATA</v>
          </cell>
          <cell r="E3" t="str">
            <v>2007 AOP</v>
          </cell>
          <cell r="G3" t="str">
            <v>ABC Priority : A = High - Must do; B = Med - Should do; C = Low - Can wait</v>
          </cell>
        </row>
        <row r="4">
          <cell r="A4">
            <v>4</v>
          </cell>
          <cell r="B4" t="str">
            <v>SAKATA</v>
          </cell>
          <cell r="E4" t="str">
            <v>2008-2010 STRATEGIC PLAN</v>
          </cell>
        </row>
        <row r="5">
          <cell r="A5">
            <v>5</v>
          </cell>
          <cell r="B5" t="str">
            <v>SAKATA</v>
          </cell>
          <cell r="E5" t="str">
            <v>CAPITAL EXPENDITURE</v>
          </cell>
        </row>
        <row r="6">
          <cell r="A6">
            <v>6</v>
          </cell>
          <cell r="B6" t="str">
            <v>SAKATA</v>
          </cell>
        </row>
        <row r="7">
          <cell r="A7">
            <v>7</v>
          </cell>
          <cell r="B7" t="str">
            <v>SAKATA</v>
          </cell>
          <cell r="E7" t="str">
            <v>SAKATA</v>
          </cell>
          <cell r="F7" t="str">
            <v>PRIORITY</v>
          </cell>
          <cell r="H7" t="str">
            <v>DEPRN
RATE (%)</v>
          </cell>
          <cell r="I7" t="str">
            <v>APPROVED/
PROPOSED
CAPEX
AMOUNT
($'000)</v>
          </cell>
          <cell r="J7" t="str">
            <v>PLANNED 2007 
SPEND
($'000)</v>
          </cell>
          <cell r="K7" t="str">
            <v>2008 
SPEND
($'000)</v>
          </cell>
          <cell r="L7" t="str">
            <v>2009 
SPEND
($'000)</v>
          </cell>
          <cell r="M7" t="str">
            <v>2010 
SPEND
($'000)</v>
          </cell>
          <cell r="N7" t="str">
            <v>CARRY-OVER PROJECTS</v>
          </cell>
          <cell r="Q7" t="str">
            <v>PROJECT
EXPENSE
($'000)</v>
          </cell>
          <cell r="R7" t="str">
            <v>ASSET
DISPOSAL
($'000)</v>
          </cell>
          <cell r="S7" t="str">
            <v>ANNUAL
PROJECT
SAVINGS
($'000)</v>
          </cell>
          <cell r="U7" t="str">
            <v>2008 EXECUTION PLAN</v>
          </cell>
          <cell r="W7" t="str">
            <v>DESCRIPTION,  RATIONALE,  NOTES</v>
          </cell>
        </row>
        <row r="8">
          <cell r="A8">
            <v>8</v>
          </cell>
          <cell r="B8" t="str">
            <v>SAKATA</v>
          </cell>
          <cell r="D8" t="str">
            <v>PROJECT TYPE</v>
          </cell>
          <cell r="E8" t="str">
            <v>PROJECT NAME</v>
          </cell>
          <cell r="N8" t="str">
            <v>PROJECT
NUMBER</v>
          </cell>
          <cell r="O8" t="str">
            <v>INTERNALORDER
NUMBER</v>
          </cell>
          <cell r="P8" t="str">
            <v>2007FY
AUC Level
($'000)</v>
          </cell>
          <cell r="T8" t="str">
            <v>PLANNED
APPROVAL
Q1,Q2,Q3,Q4</v>
          </cell>
          <cell r="U8" t="str">
            <v>PROJECT
START-UP
Q1,Q2,Q3,Q4</v>
          </cell>
          <cell r="V8" t="str">
            <v>2007
SPEND</v>
          </cell>
        </row>
        <row r="9">
          <cell r="A9">
            <v>9</v>
          </cell>
          <cell r="B9" t="str">
            <v>SAKATA</v>
          </cell>
        </row>
        <row r="10">
          <cell r="A10">
            <v>10</v>
          </cell>
          <cell r="B10" t="str">
            <v>SAKATA</v>
          </cell>
          <cell r="D10" t="str">
            <v>CAPACITY/  Growth</v>
          </cell>
          <cell r="V10" t="str">
            <v xml:space="preserve"> </v>
          </cell>
        </row>
        <row r="11">
          <cell r="A11">
            <v>11</v>
          </cell>
          <cell r="B11" t="str">
            <v>SAKATA</v>
          </cell>
          <cell r="C11" t="str">
            <v>GROWTH</v>
          </cell>
          <cell r="E11" t="str">
            <v>Air Knives (Dryers 1-3)</v>
          </cell>
          <cell r="F11" t="str">
            <v>A</v>
          </cell>
          <cell r="H11">
            <v>0.1</v>
          </cell>
          <cell r="I11">
            <v>75</v>
          </cell>
          <cell r="J11" t="str">
            <v xml:space="preserve"> </v>
          </cell>
          <cell r="K11">
            <v>75</v>
          </cell>
          <cell r="Q11">
            <v>9</v>
          </cell>
          <cell r="S11">
            <v>107</v>
          </cell>
          <cell r="T11" t="str">
            <v>Q4 07</v>
          </cell>
          <cell r="U11" t="str">
            <v>Q2</v>
          </cell>
          <cell r="V11" t="str">
            <v xml:space="preserve"> </v>
          </cell>
          <cell r="W11" t="str">
            <v>Avoids 44 shifts of overtime to meet demand</v>
          </cell>
        </row>
        <row r="12">
          <cell r="A12">
            <v>12</v>
          </cell>
          <cell r="B12" t="str">
            <v>SAKATA</v>
          </cell>
          <cell r="C12" t="str">
            <v>GROWTH</v>
          </cell>
          <cell r="E12" t="str">
            <v>5th Pellet Production Line</v>
          </cell>
          <cell r="F12" t="str">
            <v>A</v>
          </cell>
          <cell r="H12">
            <v>0.1</v>
          </cell>
          <cell r="I12">
            <v>5000</v>
          </cell>
          <cell r="J12" t="str">
            <v xml:space="preserve"> </v>
          </cell>
          <cell r="L12">
            <v>5000</v>
          </cell>
          <cell r="Q12">
            <v>200</v>
          </cell>
          <cell r="S12">
            <v>182</v>
          </cell>
          <cell r="T12">
            <v>2009</v>
          </cell>
          <cell r="U12">
            <v>2010</v>
          </cell>
          <cell r="V12" t="str">
            <v xml:space="preserve"> </v>
          </cell>
          <cell r="W12" t="str">
            <v>Required on-line by end 2011 to meet forecast demand</v>
          </cell>
        </row>
        <row r="13">
          <cell r="A13">
            <v>13</v>
          </cell>
          <cell r="B13" t="str">
            <v>SAKATA</v>
          </cell>
          <cell r="C13" t="str">
            <v>GROWTH</v>
          </cell>
          <cell r="E13" t="str">
            <v>2 x 500kg/hr Roasters &amp; Consonics</v>
          </cell>
          <cell r="F13" t="str">
            <v>A</v>
          </cell>
          <cell r="H13">
            <v>0.1</v>
          </cell>
          <cell r="I13">
            <v>2000</v>
          </cell>
          <cell r="J13" t="str">
            <v xml:space="preserve"> </v>
          </cell>
          <cell r="L13">
            <v>2000</v>
          </cell>
          <cell r="M13" t="str">
            <v>x</v>
          </cell>
          <cell r="Q13">
            <v>60</v>
          </cell>
          <cell r="R13">
            <v>200</v>
          </cell>
          <cell r="S13">
            <v>390</v>
          </cell>
          <cell r="T13" t="str">
            <v>Q4 07</v>
          </cell>
          <cell r="U13" t="str">
            <v>Q4</v>
          </cell>
          <cell r="V13" t="str">
            <v xml:space="preserve"> </v>
          </cell>
          <cell r="W13" t="str">
            <v>Require on line by end 2008 to meet demand forecasts</v>
          </cell>
        </row>
        <row r="14">
          <cell r="A14">
            <v>14</v>
          </cell>
          <cell r="B14" t="str">
            <v>SAKATA</v>
          </cell>
          <cell r="C14" t="str">
            <v>GROWTH</v>
          </cell>
          <cell r="J14" t="str">
            <v xml:space="preserve"> </v>
          </cell>
          <cell r="K14" t="str">
            <v xml:space="preserve"> </v>
          </cell>
          <cell r="L14" t="str">
            <v xml:space="preserve"> </v>
          </cell>
          <cell r="M14" t="str">
            <v xml:space="preserve"> </v>
          </cell>
          <cell r="N14" t="str">
            <v xml:space="preserve"> </v>
          </cell>
          <cell r="O14" t="str">
            <v xml:space="preserve"> </v>
          </cell>
          <cell r="P14" t="str">
            <v xml:space="preserve"> </v>
          </cell>
          <cell r="Q14" t="str">
            <v xml:space="preserve"> </v>
          </cell>
          <cell r="R14" t="str">
            <v xml:space="preserve"> </v>
          </cell>
          <cell r="S14" t="str">
            <v xml:space="preserve"> </v>
          </cell>
          <cell r="T14" t="str">
            <v xml:space="preserve"> </v>
          </cell>
          <cell r="U14" t="str">
            <v xml:space="preserve"> </v>
          </cell>
          <cell r="V14" t="str">
            <v xml:space="preserve"> </v>
          </cell>
          <cell r="W14" t="str">
            <v xml:space="preserve"> </v>
          </cell>
        </row>
        <row r="15">
          <cell r="A15">
            <v>15</v>
          </cell>
          <cell r="B15" t="str">
            <v>SAKATA</v>
          </cell>
          <cell r="C15" t="str">
            <v>GROWTH</v>
          </cell>
          <cell r="E15" t="str">
            <v>SUB-TOTAL</v>
          </cell>
          <cell r="I15">
            <v>7075</v>
          </cell>
          <cell r="J15">
            <v>0</v>
          </cell>
          <cell r="K15">
            <v>75</v>
          </cell>
          <cell r="L15">
            <v>7000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269</v>
          </cell>
          <cell r="R15">
            <v>200</v>
          </cell>
          <cell r="S15">
            <v>679</v>
          </cell>
          <cell r="V15">
            <v>0</v>
          </cell>
        </row>
        <row r="16">
          <cell r="A16">
            <v>16</v>
          </cell>
          <cell r="B16" t="str">
            <v>SAKATA</v>
          </cell>
          <cell r="D16" t="str">
            <v>PRODUCTIVITY</v>
          </cell>
          <cell r="V16" t="str">
            <v xml:space="preserve"> </v>
          </cell>
        </row>
        <row r="17">
          <cell r="A17">
            <v>17</v>
          </cell>
          <cell r="B17" t="str">
            <v>SAKATA</v>
          </cell>
          <cell r="C17" t="str">
            <v>PROD</v>
          </cell>
          <cell r="E17" t="str">
            <v>22 row cutters (10 off)</v>
          </cell>
          <cell r="F17" t="str">
            <v>A</v>
          </cell>
          <cell r="H17">
            <v>0.1</v>
          </cell>
          <cell r="I17">
            <v>95</v>
          </cell>
          <cell r="J17" t="str">
            <v>????</v>
          </cell>
          <cell r="K17">
            <v>95</v>
          </cell>
          <cell r="R17">
            <v>20</v>
          </cell>
          <cell r="S17">
            <v>35</v>
          </cell>
          <cell r="T17" t="str">
            <v>Q4 07</v>
          </cell>
          <cell r="U17" t="str">
            <v>Q2</v>
          </cell>
          <cell r="V17" t="str">
            <v>????</v>
          </cell>
          <cell r="W17" t="str">
            <v>Increase capacity of drying lines</v>
          </cell>
        </row>
        <row r="18">
          <cell r="A18">
            <v>18</v>
          </cell>
          <cell r="B18" t="str">
            <v>SAKATA</v>
          </cell>
          <cell r="C18" t="str">
            <v>PROD</v>
          </cell>
          <cell r="E18" t="str">
            <v>Flow wrappers Replacement</v>
          </cell>
          <cell r="F18" t="str">
            <v>A</v>
          </cell>
          <cell r="H18">
            <v>0.1</v>
          </cell>
          <cell r="I18">
            <v>1050</v>
          </cell>
          <cell r="J18">
            <v>350</v>
          </cell>
          <cell r="K18" t="str">
            <v>x</v>
          </cell>
          <cell r="L18" t="str">
            <v>x</v>
          </cell>
          <cell r="M18">
            <v>700</v>
          </cell>
          <cell r="Q18">
            <v>50</v>
          </cell>
          <cell r="R18">
            <v>50</v>
          </cell>
          <cell r="S18">
            <v>600</v>
          </cell>
          <cell r="T18" t="str">
            <v>Q3 07</v>
          </cell>
          <cell r="U18" t="str">
            <v>Q1  08</v>
          </cell>
          <cell r="V18">
            <v>350</v>
          </cell>
          <cell r="W18" t="str">
            <v>Replacing ageing and obsolete equipment to ensure supply</v>
          </cell>
        </row>
        <row r="19">
          <cell r="A19">
            <v>19</v>
          </cell>
          <cell r="B19" t="str">
            <v>SAKATA</v>
          </cell>
          <cell r="C19" t="str">
            <v>PROD</v>
          </cell>
          <cell r="E19" t="str">
            <v>3rd Auto Packing Line</v>
          </cell>
          <cell r="F19" t="str">
            <v>A</v>
          </cell>
          <cell r="H19">
            <v>0.1</v>
          </cell>
          <cell r="I19">
            <v>300</v>
          </cell>
          <cell r="J19" t="str">
            <v xml:space="preserve"> </v>
          </cell>
          <cell r="L19" t="str">
            <v>x</v>
          </cell>
          <cell r="M19">
            <v>300</v>
          </cell>
          <cell r="Q19">
            <v>25</v>
          </cell>
          <cell r="R19">
            <v>30</v>
          </cell>
          <cell r="S19">
            <v>500</v>
          </cell>
          <cell r="T19" t="str">
            <v>Q4 07</v>
          </cell>
          <cell r="U19" t="str">
            <v>Q4</v>
          </cell>
          <cell r="V19" t="str">
            <v xml:space="preserve"> </v>
          </cell>
          <cell r="W19" t="str">
            <v>Reduced FTE costs across line</v>
          </cell>
        </row>
        <row r="20">
          <cell r="A20">
            <v>20</v>
          </cell>
          <cell r="B20" t="str">
            <v>SAKATA</v>
          </cell>
          <cell r="C20" t="str">
            <v>PROD</v>
          </cell>
          <cell r="E20" t="str">
            <v>Autosplicer for Robags</v>
          </cell>
          <cell r="F20" t="str">
            <v>A</v>
          </cell>
          <cell r="H20">
            <v>0.1</v>
          </cell>
          <cell r="I20">
            <v>60</v>
          </cell>
          <cell r="J20" t="str">
            <v xml:space="preserve"> </v>
          </cell>
          <cell r="K20" t="str">
            <v>x</v>
          </cell>
          <cell r="M20">
            <v>60</v>
          </cell>
          <cell r="S20">
            <v>15</v>
          </cell>
          <cell r="T20" t="str">
            <v>Q4 07</v>
          </cell>
          <cell r="U20" t="str">
            <v>Q2</v>
          </cell>
          <cell r="V20" t="str">
            <v xml:space="preserve"> </v>
          </cell>
          <cell r="W20" t="str">
            <v>Avoid 5 mins/hr downtime to change rolls</v>
          </cell>
        </row>
        <row r="21">
          <cell r="A21">
            <v>21</v>
          </cell>
          <cell r="B21" t="str">
            <v>SAKATA</v>
          </cell>
          <cell r="C21" t="str">
            <v>PROD</v>
          </cell>
          <cell r="E21" t="str">
            <v>Infeed to Vertical Packing</v>
          </cell>
          <cell r="F21" t="str">
            <v>A</v>
          </cell>
          <cell r="H21">
            <v>0.1</v>
          </cell>
          <cell r="I21">
            <v>60</v>
          </cell>
          <cell r="J21" t="str">
            <v xml:space="preserve"> </v>
          </cell>
          <cell r="K21" t="str">
            <v>x</v>
          </cell>
          <cell r="L21">
            <v>60</v>
          </cell>
          <cell r="Q21">
            <v>20</v>
          </cell>
          <cell r="R21">
            <v>10</v>
          </cell>
          <cell r="S21">
            <v>64</v>
          </cell>
          <cell r="T21" t="str">
            <v>Q4 07</v>
          </cell>
          <cell r="U21" t="str">
            <v>Q1</v>
          </cell>
          <cell r="V21" t="str">
            <v xml:space="preserve"> </v>
          </cell>
          <cell r="W21" t="str">
            <v>Increased throughput to match Robag maximum output</v>
          </cell>
        </row>
        <row r="22">
          <cell r="A22">
            <v>22</v>
          </cell>
          <cell r="B22" t="str">
            <v>SAKATA</v>
          </cell>
          <cell r="C22" t="str">
            <v>PROD</v>
          </cell>
          <cell r="E22" t="str">
            <v>Hot Air Impingement Oven</v>
          </cell>
          <cell r="F22" t="str">
            <v>A</v>
          </cell>
          <cell r="H22">
            <v>0.1</v>
          </cell>
          <cell r="I22">
            <v>1600</v>
          </cell>
          <cell r="J22" t="str">
            <v xml:space="preserve"> </v>
          </cell>
          <cell r="K22">
            <v>1600</v>
          </cell>
          <cell r="L22" t="str">
            <v>x</v>
          </cell>
          <cell r="M22" t="str">
            <v>x</v>
          </cell>
          <cell r="Q22">
            <v>100</v>
          </cell>
          <cell r="R22">
            <v>250</v>
          </cell>
          <cell r="S22">
            <v>170</v>
          </cell>
          <cell r="T22" t="str">
            <v>Q2</v>
          </cell>
          <cell r="U22" t="str">
            <v>Q2 09</v>
          </cell>
          <cell r="V22" t="str">
            <v xml:space="preserve"> </v>
          </cell>
          <cell r="W22" t="str">
            <v>Essential replacement to ensure continued supply of products</v>
          </cell>
        </row>
        <row r="23">
          <cell r="A23">
            <v>23</v>
          </cell>
          <cell r="B23" t="str">
            <v>SAKATA</v>
          </cell>
          <cell r="C23" t="str">
            <v>PROD</v>
          </cell>
          <cell r="J23" t="str">
            <v xml:space="preserve"> </v>
          </cell>
          <cell r="K23" t="str">
            <v xml:space="preserve"> </v>
          </cell>
          <cell r="L23" t="str">
            <v xml:space="preserve"> </v>
          </cell>
          <cell r="M23" t="str">
            <v xml:space="preserve"> </v>
          </cell>
          <cell r="N23" t="str">
            <v xml:space="preserve"> </v>
          </cell>
          <cell r="O23" t="str">
            <v xml:space="preserve"> </v>
          </cell>
          <cell r="P23" t="str">
            <v xml:space="preserve"> </v>
          </cell>
          <cell r="Q23" t="str">
            <v xml:space="preserve"> </v>
          </cell>
          <cell r="R23" t="str">
            <v xml:space="preserve"> </v>
          </cell>
          <cell r="S23" t="str">
            <v xml:space="preserve"> </v>
          </cell>
          <cell r="T23" t="str">
            <v xml:space="preserve"> </v>
          </cell>
          <cell r="U23" t="str">
            <v xml:space="preserve"> </v>
          </cell>
          <cell r="V23" t="str">
            <v xml:space="preserve"> </v>
          </cell>
          <cell r="W23" t="str">
            <v xml:space="preserve"> </v>
          </cell>
        </row>
        <row r="24">
          <cell r="A24">
            <v>24</v>
          </cell>
          <cell r="B24" t="str">
            <v>SAKATA</v>
          </cell>
          <cell r="C24" t="str">
            <v>PROD</v>
          </cell>
          <cell r="E24" t="str">
            <v>SUB-TOTAL</v>
          </cell>
          <cell r="I24">
            <v>3165</v>
          </cell>
          <cell r="J24">
            <v>350</v>
          </cell>
          <cell r="K24">
            <v>1695</v>
          </cell>
          <cell r="L24">
            <v>60</v>
          </cell>
          <cell r="M24">
            <v>1060</v>
          </cell>
          <cell r="N24">
            <v>0</v>
          </cell>
          <cell r="O24">
            <v>0</v>
          </cell>
          <cell r="P24">
            <v>0</v>
          </cell>
          <cell r="Q24">
            <v>195</v>
          </cell>
          <cell r="R24">
            <v>360</v>
          </cell>
          <cell r="S24">
            <v>1384</v>
          </cell>
          <cell r="V24">
            <v>350</v>
          </cell>
        </row>
        <row r="25">
          <cell r="A25">
            <v>25</v>
          </cell>
          <cell r="B25" t="str">
            <v>SAKATA</v>
          </cell>
          <cell r="D25" t="str">
            <v>SUSTAINABILITY</v>
          </cell>
          <cell r="E25" t="str">
            <v>INVESTMENTS TOWARDS REDUCTION IN WATER, ENERGY &amp; WASTE TO LANDFILL; management of effluent etc</v>
          </cell>
          <cell r="V25" t="str">
            <v xml:space="preserve"> </v>
          </cell>
        </row>
        <row r="26">
          <cell r="A26">
            <v>26</v>
          </cell>
          <cell r="B26" t="str">
            <v>SAKATA</v>
          </cell>
          <cell r="C26" t="str">
            <v>SUSTAIN.</v>
          </cell>
          <cell r="E26" t="str">
            <v>Water Conservation</v>
          </cell>
          <cell r="F26" t="str">
            <v>A</v>
          </cell>
          <cell r="H26">
            <v>0.1</v>
          </cell>
          <cell r="I26">
            <v>300</v>
          </cell>
          <cell r="K26">
            <v>100</v>
          </cell>
          <cell r="L26">
            <v>100</v>
          </cell>
          <cell r="M26">
            <v>100</v>
          </cell>
          <cell r="Q26">
            <v>10</v>
          </cell>
          <cell r="T26" t="str">
            <v>Q4 07</v>
          </cell>
          <cell r="U26" t="str">
            <v>Q3</v>
          </cell>
          <cell r="V26">
            <v>0</v>
          </cell>
          <cell r="W26" t="str">
            <v>Site operations environmental impact reduction</v>
          </cell>
        </row>
        <row r="27">
          <cell r="A27">
            <v>27</v>
          </cell>
          <cell r="B27" t="str">
            <v>SAKATA</v>
          </cell>
          <cell r="C27" t="str">
            <v>SUSTAIN.</v>
          </cell>
          <cell r="E27" t="str">
            <v>Energy Reduction</v>
          </cell>
          <cell r="F27" t="str">
            <v>A</v>
          </cell>
          <cell r="H27">
            <v>0.1</v>
          </cell>
          <cell r="I27">
            <v>150</v>
          </cell>
          <cell r="K27">
            <v>50</v>
          </cell>
          <cell r="L27">
            <v>50</v>
          </cell>
          <cell r="M27">
            <v>50</v>
          </cell>
          <cell r="Q27">
            <v>10</v>
          </cell>
          <cell r="T27" t="str">
            <v>Q4 07</v>
          </cell>
          <cell r="U27" t="str">
            <v>Q3</v>
          </cell>
          <cell r="V27">
            <v>0</v>
          </cell>
          <cell r="W27" t="str">
            <v>Site operations environmental impact reduction</v>
          </cell>
        </row>
        <row r="28">
          <cell r="A28">
            <v>28</v>
          </cell>
          <cell r="B28" t="str">
            <v>SAKATA</v>
          </cell>
          <cell r="C28" t="str">
            <v>SUSTAIN.</v>
          </cell>
          <cell r="V28" t="str">
            <v xml:space="preserve"> </v>
          </cell>
        </row>
        <row r="29">
          <cell r="A29">
            <v>29</v>
          </cell>
          <cell r="B29" t="str">
            <v>SAKATA</v>
          </cell>
          <cell r="C29" t="str">
            <v>SUSTAIN.</v>
          </cell>
          <cell r="E29" t="str">
            <v>SUB-TOTAL</v>
          </cell>
          <cell r="I29">
            <v>450</v>
          </cell>
          <cell r="J29">
            <v>0</v>
          </cell>
          <cell r="K29">
            <v>150</v>
          </cell>
          <cell r="L29">
            <v>150</v>
          </cell>
          <cell r="M29">
            <v>150</v>
          </cell>
          <cell r="N29">
            <v>0</v>
          </cell>
          <cell r="O29">
            <v>0</v>
          </cell>
          <cell r="P29">
            <v>0</v>
          </cell>
          <cell r="Q29">
            <v>20</v>
          </cell>
          <cell r="R29">
            <v>0</v>
          </cell>
          <cell r="S29">
            <v>0</v>
          </cell>
          <cell r="V29">
            <v>0</v>
          </cell>
        </row>
        <row r="30">
          <cell r="A30">
            <v>30</v>
          </cell>
          <cell r="B30" t="str">
            <v>SAKATA</v>
          </cell>
          <cell r="D30" t="str">
            <v>QUALITY / PRODUCT IMPR.</v>
          </cell>
          <cell r="V30" t="str">
            <v xml:space="preserve"> </v>
          </cell>
        </row>
        <row r="31">
          <cell r="A31">
            <v>31</v>
          </cell>
          <cell r="B31" t="str">
            <v>SAKATA</v>
          </cell>
          <cell r="C31" t="str">
            <v>QUALITY</v>
          </cell>
          <cell r="E31" t="str">
            <v>Phase 1 Kneading/Drying Upgrade Line4</v>
          </cell>
          <cell r="F31" t="str">
            <v>A</v>
          </cell>
          <cell r="H31">
            <v>0.1</v>
          </cell>
          <cell r="I31">
            <v>570</v>
          </cell>
          <cell r="J31">
            <v>500</v>
          </cell>
          <cell r="K31">
            <v>70</v>
          </cell>
          <cell r="Q31">
            <v>32</v>
          </cell>
          <cell r="S31">
            <v>60</v>
          </cell>
          <cell r="T31">
            <v>2007</v>
          </cell>
          <cell r="U31" t="str">
            <v>Q1</v>
          </cell>
          <cell r="V31">
            <v>500</v>
          </cell>
          <cell r="W31" t="str">
            <v>Process improvement identification and tighter process control</v>
          </cell>
        </row>
        <row r="32">
          <cell r="A32">
            <v>32</v>
          </cell>
          <cell r="B32" t="str">
            <v>SAKATA</v>
          </cell>
          <cell r="C32" t="str">
            <v>QUALITY</v>
          </cell>
          <cell r="E32" t="str">
            <v>Phase 2 Kneading/Drying Upgrades</v>
          </cell>
          <cell r="F32" t="str">
            <v>A</v>
          </cell>
          <cell r="H32">
            <v>0.1</v>
          </cell>
          <cell r="I32">
            <v>200</v>
          </cell>
          <cell r="J32" t="str">
            <v xml:space="preserve"> </v>
          </cell>
          <cell r="K32" t="str">
            <v>x</v>
          </cell>
          <cell r="L32">
            <v>100</v>
          </cell>
          <cell r="M32">
            <v>100</v>
          </cell>
          <cell r="Q32">
            <v>50</v>
          </cell>
          <cell r="R32">
            <v>50</v>
          </cell>
          <cell r="T32" t="str">
            <v>Q1</v>
          </cell>
          <cell r="U32" t="str">
            <v>Q1 09</v>
          </cell>
          <cell r="V32" t="str">
            <v xml:space="preserve"> </v>
          </cell>
          <cell r="W32" t="str">
            <v>Implement findings of Phase 1 project findings</v>
          </cell>
        </row>
        <row r="33">
          <cell r="A33">
            <v>33</v>
          </cell>
          <cell r="B33" t="str">
            <v>SAKATA</v>
          </cell>
          <cell r="C33" t="str">
            <v>QUALITY</v>
          </cell>
          <cell r="D33" t="str">
            <v xml:space="preserve"> </v>
          </cell>
          <cell r="E33" t="str">
            <v>Spray system Dough water cooling</v>
          </cell>
          <cell r="F33" t="str">
            <v>A</v>
          </cell>
          <cell r="H33">
            <v>0.1</v>
          </cell>
          <cell r="I33">
            <v>50</v>
          </cell>
          <cell r="J33">
            <v>25</v>
          </cell>
          <cell r="K33">
            <v>25</v>
          </cell>
          <cell r="Q33">
            <v>15</v>
          </cell>
          <cell r="R33">
            <v>15</v>
          </cell>
          <cell r="T33" t="str">
            <v>Q4 07</v>
          </cell>
          <cell r="U33" t="str">
            <v xml:space="preserve">Q1 </v>
          </cell>
          <cell r="V33">
            <v>25</v>
          </cell>
          <cell r="W33" t="str">
            <v>Improved hygiene of dough making process</v>
          </cell>
        </row>
        <row r="34">
          <cell r="A34">
            <v>34</v>
          </cell>
          <cell r="B34" t="str">
            <v>SAKATA</v>
          </cell>
          <cell r="C34" t="str">
            <v>QUALITY</v>
          </cell>
          <cell r="E34" t="str">
            <v>Inclusions Additions Mixer</v>
          </cell>
          <cell r="F34" t="str">
            <v>A</v>
          </cell>
          <cell r="H34">
            <v>0.1</v>
          </cell>
          <cell r="I34">
            <v>100</v>
          </cell>
          <cell r="J34">
            <v>80</v>
          </cell>
          <cell r="K34">
            <v>20</v>
          </cell>
          <cell r="M34" t="str">
            <v xml:space="preserve"> </v>
          </cell>
          <cell r="Q34">
            <v>5</v>
          </cell>
          <cell r="T34">
            <v>2007</v>
          </cell>
          <cell r="U34" t="str">
            <v>Q2</v>
          </cell>
          <cell r="V34">
            <v>80</v>
          </cell>
          <cell r="W34" t="str">
            <v>To improve allergens cross-over in Kneaders - reduced wash time?</v>
          </cell>
        </row>
        <row r="35">
          <cell r="A35">
            <v>36</v>
          </cell>
          <cell r="B35" t="str">
            <v>SAKATA</v>
          </cell>
          <cell r="C35" t="str">
            <v>QUALITY</v>
          </cell>
          <cell r="E35" t="str">
            <v>Food Safety Improvements</v>
          </cell>
          <cell r="F35" t="str">
            <v>A</v>
          </cell>
          <cell r="H35">
            <v>0.1</v>
          </cell>
          <cell r="I35">
            <v>75</v>
          </cell>
          <cell r="J35" t="str">
            <v xml:space="preserve"> </v>
          </cell>
          <cell r="K35">
            <v>25</v>
          </cell>
          <cell r="L35">
            <v>25</v>
          </cell>
          <cell r="M35">
            <v>25</v>
          </cell>
          <cell r="Q35">
            <v>10</v>
          </cell>
          <cell r="T35" t="str">
            <v>Q2</v>
          </cell>
          <cell r="U35" t="str">
            <v>Q4</v>
          </cell>
          <cell r="V35" t="str">
            <v xml:space="preserve"> </v>
          </cell>
          <cell r="W35" t="str">
            <v>Mandatory requirements to meet PepsiCo Foos Safety Standards</v>
          </cell>
        </row>
        <row r="36">
          <cell r="A36">
            <v>39</v>
          </cell>
          <cell r="B36" t="str">
            <v>SAKATA</v>
          </cell>
          <cell r="C36" t="str">
            <v>QUALITY</v>
          </cell>
          <cell r="E36" t="str">
            <v>Air conditioning main factory areas</v>
          </cell>
          <cell r="F36" t="str">
            <v>A</v>
          </cell>
          <cell r="H36">
            <v>0.1</v>
          </cell>
          <cell r="I36">
            <v>300</v>
          </cell>
          <cell r="J36">
            <v>300</v>
          </cell>
          <cell r="K36" t="str">
            <v>x</v>
          </cell>
          <cell r="Q36">
            <v>15</v>
          </cell>
          <cell r="S36">
            <v>190</v>
          </cell>
          <cell r="T36">
            <v>2007</v>
          </cell>
          <cell r="U36" t="str">
            <v>Q1</v>
          </cell>
          <cell r="V36">
            <v>300</v>
          </cell>
          <cell r="W36" t="str">
            <v>Humidity control over exposed products</v>
          </cell>
        </row>
        <row r="37">
          <cell r="A37">
            <v>40</v>
          </cell>
          <cell r="B37" t="str">
            <v>SAKATA</v>
          </cell>
          <cell r="C37" t="str">
            <v>QUALITY</v>
          </cell>
          <cell r="E37" t="str">
            <v>R&amp;D Lab Equipment &amp; Area Upgrade</v>
          </cell>
          <cell r="F37" t="str">
            <v>A</v>
          </cell>
          <cell r="H37">
            <v>0.1</v>
          </cell>
          <cell r="I37">
            <v>75</v>
          </cell>
          <cell r="J37" t="str">
            <v xml:space="preserve"> </v>
          </cell>
          <cell r="K37">
            <v>25</v>
          </cell>
          <cell r="L37">
            <v>25</v>
          </cell>
          <cell r="M37">
            <v>25</v>
          </cell>
          <cell r="Q37">
            <v>20</v>
          </cell>
          <cell r="R37">
            <v>10</v>
          </cell>
          <cell r="T37" t="str">
            <v>Q1</v>
          </cell>
          <cell r="U37" t="str">
            <v>Q3</v>
          </cell>
          <cell r="V37" t="str">
            <v xml:space="preserve"> </v>
          </cell>
          <cell r="W37" t="str">
            <v>Provision of testing equipment in appropriate area for QA/QC/R&amp;D</v>
          </cell>
        </row>
        <row r="38">
          <cell r="A38">
            <v>99</v>
          </cell>
          <cell r="B38" t="str">
            <v>SAKATA</v>
          </cell>
          <cell r="C38" t="str">
            <v>QUALITY</v>
          </cell>
          <cell r="E38" t="str">
            <v xml:space="preserve">Pilot Lab </v>
          </cell>
          <cell r="F38" t="str">
            <v>A</v>
          </cell>
          <cell r="H38">
            <v>0.1</v>
          </cell>
          <cell r="I38">
            <v>0</v>
          </cell>
          <cell r="J38" t="str">
            <v xml:space="preserve"> </v>
          </cell>
          <cell r="K38" t="str">
            <v xml:space="preserve"> </v>
          </cell>
          <cell r="Q38">
            <v>25</v>
          </cell>
          <cell r="T38" t="str">
            <v>Q2</v>
          </cell>
          <cell r="U38" t="str">
            <v>Q4</v>
          </cell>
          <cell r="V38" t="str">
            <v xml:space="preserve"> </v>
          </cell>
          <cell r="W38" t="str">
            <v>Pilot lab for development of new products, flavours and processes</v>
          </cell>
        </row>
        <row r="39">
          <cell r="A39">
            <v>42</v>
          </cell>
          <cell r="B39" t="str">
            <v>SAKATA</v>
          </cell>
          <cell r="C39" t="str">
            <v>QUALITY</v>
          </cell>
          <cell r="E39" t="str">
            <v>On line test equipment</v>
          </cell>
          <cell r="F39" t="str">
            <v>A</v>
          </cell>
          <cell r="H39">
            <v>0.1</v>
          </cell>
          <cell r="I39">
            <v>60</v>
          </cell>
          <cell r="J39" t="str">
            <v xml:space="preserve"> </v>
          </cell>
          <cell r="K39">
            <v>20</v>
          </cell>
          <cell r="L39">
            <v>20</v>
          </cell>
          <cell r="M39">
            <v>20</v>
          </cell>
          <cell r="Q39">
            <v>0</v>
          </cell>
          <cell r="T39" t="str">
            <v>Q1</v>
          </cell>
          <cell r="U39" t="str">
            <v>Q2</v>
          </cell>
          <cell r="V39" t="str">
            <v xml:space="preserve"> </v>
          </cell>
          <cell r="W39" t="str">
            <v>PC allowance for equyipment identified in Phase 1 Drying Upgrade</v>
          </cell>
        </row>
        <row r="40">
          <cell r="A40">
            <v>43</v>
          </cell>
          <cell r="B40" t="str">
            <v>SAKATA</v>
          </cell>
          <cell r="C40" t="str">
            <v>QUALITY</v>
          </cell>
          <cell r="V40" t="str">
            <v xml:space="preserve"> </v>
          </cell>
        </row>
        <row r="41">
          <cell r="A41">
            <v>44</v>
          </cell>
          <cell r="B41" t="str">
            <v>SAKATA</v>
          </cell>
          <cell r="C41" t="str">
            <v>QUALITY</v>
          </cell>
          <cell r="E41" t="str">
            <v>SUB-TOTAL</v>
          </cell>
          <cell r="I41">
            <v>1430</v>
          </cell>
          <cell r="J41">
            <v>905</v>
          </cell>
          <cell r="K41">
            <v>185</v>
          </cell>
          <cell r="L41">
            <v>170</v>
          </cell>
          <cell r="M41">
            <v>170</v>
          </cell>
          <cell r="N41">
            <v>0</v>
          </cell>
          <cell r="O41">
            <v>0</v>
          </cell>
          <cell r="P41">
            <v>0</v>
          </cell>
          <cell r="Q41">
            <v>172</v>
          </cell>
          <cell r="R41">
            <v>75</v>
          </cell>
          <cell r="S41">
            <v>250</v>
          </cell>
          <cell r="V41">
            <v>905</v>
          </cell>
        </row>
        <row r="42">
          <cell r="A42">
            <v>45</v>
          </cell>
          <cell r="B42" t="str">
            <v>SAKATA</v>
          </cell>
          <cell r="C42" t="str">
            <v>OTHER</v>
          </cell>
          <cell r="D42" t="str">
            <v>OTHER</v>
          </cell>
          <cell r="V42">
            <v>0</v>
          </cell>
        </row>
        <row r="43">
          <cell r="A43">
            <v>46</v>
          </cell>
          <cell r="B43" t="str">
            <v>SAKATA</v>
          </cell>
          <cell r="C43" t="str">
            <v>OTHER</v>
          </cell>
          <cell r="E43" t="str">
            <v>Platform frame Shaker Roaster 1</v>
          </cell>
          <cell r="F43" t="str">
            <v>A</v>
          </cell>
          <cell r="H43">
            <v>0.1</v>
          </cell>
          <cell r="I43">
            <v>35</v>
          </cell>
          <cell r="J43" t="str">
            <v xml:space="preserve"> </v>
          </cell>
          <cell r="K43">
            <v>35</v>
          </cell>
          <cell r="Q43">
            <v>8</v>
          </cell>
          <cell r="R43">
            <v>8</v>
          </cell>
          <cell r="T43" t="str">
            <v>Q4 07</v>
          </cell>
          <cell r="U43" t="str">
            <v>Q2</v>
          </cell>
          <cell r="V43" t="str">
            <v xml:space="preserve"> </v>
          </cell>
          <cell r="W43" t="str">
            <v>Essential replacement to extend asset life of SR1</v>
          </cell>
        </row>
        <row r="44">
          <cell r="A44">
            <v>47</v>
          </cell>
          <cell r="B44" t="str">
            <v>SAKATA</v>
          </cell>
          <cell r="C44" t="str">
            <v>OTHER</v>
          </cell>
          <cell r="E44" t="str">
            <v>Site security upgrade</v>
          </cell>
          <cell r="F44" t="str">
            <v>A</v>
          </cell>
          <cell r="H44">
            <v>0.1</v>
          </cell>
          <cell r="I44">
            <v>0</v>
          </cell>
          <cell r="J44" t="str">
            <v xml:space="preserve"> </v>
          </cell>
          <cell r="K44" t="str">
            <v>x</v>
          </cell>
          <cell r="L44" t="str">
            <v>x</v>
          </cell>
          <cell r="T44" t="str">
            <v>Q1</v>
          </cell>
          <cell r="U44" t="str">
            <v>Q3</v>
          </cell>
          <cell r="V44" t="str">
            <v xml:space="preserve"> </v>
          </cell>
          <cell r="W44" t="str">
            <v>Improve site access control to PepsiCo standards</v>
          </cell>
        </row>
        <row r="45">
          <cell r="A45">
            <v>99</v>
          </cell>
          <cell r="B45" t="str">
            <v>SAKATA</v>
          </cell>
          <cell r="C45" t="str">
            <v>OTHER</v>
          </cell>
          <cell r="E45" t="str">
            <v>Warehouse capacity increases</v>
          </cell>
          <cell r="F45" t="str">
            <v>A</v>
          </cell>
          <cell r="H45">
            <v>0.1</v>
          </cell>
          <cell r="I45">
            <v>0</v>
          </cell>
          <cell r="J45" t="str">
            <v xml:space="preserve"> </v>
          </cell>
          <cell r="K45" t="str">
            <v xml:space="preserve"> </v>
          </cell>
          <cell r="T45" t="str">
            <v>Q1</v>
          </cell>
          <cell r="U45" t="str">
            <v>Q3</v>
          </cell>
          <cell r="V45" t="str">
            <v xml:space="preserve"> </v>
          </cell>
          <cell r="W45" t="str">
            <v>Improve site access control to PepsiCo standards</v>
          </cell>
        </row>
        <row r="46">
          <cell r="A46">
            <v>49</v>
          </cell>
          <cell r="B46" t="str">
            <v>SAKATA</v>
          </cell>
          <cell r="C46" t="str">
            <v>OTHER</v>
          </cell>
          <cell r="E46" t="str">
            <v xml:space="preserve">Essential floor upgrades </v>
          </cell>
          <cell r="F46" t="str">
            <v>A</v>
          </cell>
          <cell r="H46">
            <v>0.1</v>
          </cell>
          <cell r="I46">
            <v>150</v>
          </cell>
          <cell r="J46" t="str">
            <v xml:space="preserve"> </v>
          </cell>
          <cell r="K46">
            <v>50</v>
          </cell>
          <cell r="L46">
            <v>50</v>
          </cell>
          <cell r="M46">
            <v>50</v>
          </cell>
          <cell r="R46">
            <v>50</v>
          </cell>
          <cell r="T46" t="str">
            <v>Q1</v>
          </cell>
          <cell r="U46" t="str">
            <v>Q4</v>
          </cell>
          <cell r="V46" t="str">
            <v xml:space="preserve"> </v>
          </cell>
          <cell r="W46" t="str">
            <v>Essential upgrade of process area floor surfaces</v>
          </cell>
        </row>
        <row r="47">
          <cell r="A47">
            <v>50</v>
          </cell>
          <cell r="B47" t="str">
            <v>SAKATA</v>
          </cell>
          <cell r="C47" t="str">
            <v>OTHER</v>
          </cell>
          <cell r="E47" t="str">
            <v>Longreach container loader</v>
          </cell>
          <cell r="F47" t="str">
            <v>A</v>
          </cell>
          <cell r="H47">
            <v>0.1</v>
          </cell>
          <cell r="I47">
            <v>20</v>
          </cell>
          <cell r="J47" t="str">
            <v xml:space="preserve"> </v>
          </cell>
          <cell r="K47">
            <v>20</v>
          </cell>
          <cell r="T47" t="str">
            <v>Q2</v>
          </cell>
          <cell r="U47" t="str">
            <v>Q3</v>
          </cell>
          <cell r="V47" t="str">
            <v xml:space="preserve"> </v>
          </cell>
          <cell r="W47" t="str">
            <v xml:space="preserve">Reduce manual handling risk  when loading containers </v>
          </cell>
        </row>
        <row r="48">
          <cell r="A48">
            <v>51</v>
          </cell>
          <cell r="B48" t="str">
            <v>SAKATA</v>
          </cell>
          <cell r="C48" t="str">
            <v>OTHER</v>
          </cell>
          <cell r="E48" t="str">
            <v>Roof walkways</v>
          </cell>
          <cell r="F48" t="str">
            <v>A</v>
          </cell>
          <cell r="H48">
            <v>0.1</v>
          </cell>
          <cell r="I48">
            <v>20</v>
          </cell>
          <cell r="J48" t="str">
            <v xml:space="preserve"> </v>
          </cell>
          <cell r="K48" t="str">
            <v>x</v>
          </cell>
          <cell r="M48">
            <v>20</v>
          </cell>
          <cell r="T48" t="str">
            <v>Q1</v>
          </cell>
          <cell r="U48" t="str">
            <v>Q4</v>
          </cell>
          <cell r="V48" t="str">
            <v xml:space="preserve"> </v>
          </cell>
          <cell r="W48" t="str">
            <v>Safety during roof works - meet Aust Standards</v>
          </cell>
        </row>
        <row r="49">
          <cell r="A49">
            <v>52</v>
          </cell>
          <cell r="B49" t="str">
            <v>SAKATA</v>
          </cell>
          <cell r="C49" t="str">
            <v>OTHER</v>
          </cell>
          <cell r="E49" t="str">
            <v>Undefined Safety Projects</v>
          </cell>
          <cell r="F49" t="str">
            <v>A</v>
          </cell>
          <cell r="H49">
            <v>0.1</v>
          </cell>
          <cell r="I49">
            <v>90</v>
          </cell>
          <cell r="J49" t="str">
            <v xml:space="preserve"> </v>
          </cell>
          <cell r="K49">
            <v>30</v>
          </cell>
          <cell r="L49">
            <v>30</v>
          </cell>
          <cell r="M49">
            <v>30</v>
          </cell>
          <cell r="Q49">
            <v>10</v>
          </cell>
          <cell r="R49">
            <v>5</v>
          </cell>
          <cell r="T49" t="str">
            <v>Q2</v>
          </cell>
          <cell r="U49" t="str">
            <v>Q4</v>
          </cell>
          <cell r="V49" t="str">
            <v xml:space="preserve"> </v>
          </cell>
          <cell r="W49" t="str">
            <v>PC allowance for improvements/fix of safety hazards</v>
          </cell>
        </row>
        <row r="50">
          <cell r="A50">
            <v>53</v>
          </cell>
          <cell r="B50" t="str">
            <v>SAKATA</v>
          </cell>
          <cell r="C50" t="str">
            <v>OTHER</v>
          </cell>
          <cell r="V50" t="str">
            <v xml:space="preserve"> </v>
          </cell>
        </row>
        <row r="51">
          <cell r="A51">
            <v>54</v>
          </cell>
          <cell r="B51" t="str">
            <v>SAKATA</v>
          </cell>
          <cell r="C51" t="str">
            <v>OTHER</v>
          </cell>
          <cell r="E51" t="str">
            <v>SUB-TOTAL</v>
          </cell>
          <cell r="I51">
            <v>315</v>
          </cell>
          <cell r="J51">
            <v>0</v>
          </cell>
          <cell r="K51">
            <v>135</v>
          </cell>
          <cell r="L51">
            <v>80</v>
          </cell>
          <cell r="M51">
            <v>100</v>
          </cell>
          <cell r="P51">
            <v>0</v>
          </cell>
          <cell r="Q51">
            <v>18</v>
          </cell>
          <cell r="R51">
            <v>63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A52">
            <v>57</v>
          </cell>
          <cell r="B52" t="str">
            <v>SAKATA</v>
          </cell>
          <cell r="V52" t="str">
            <v xml:space="preserve"> </v>
          </cell>
        </row>
        <row r="53">
          <cell r="A53">
            <v>58</v>
          </cell>
          <cell r="B53" t="str">
            <v>SAKATA</v>
          </cell>
          <cell r="E53" t="str">
            <v>TOTAL</v>
          </cell>
          <cell r="I53">
            <v>12435</v>
          </cell>
          <cell r="J53">
            <v>1255</v>
          </cell>
          <cell r="K53">
            <v>2240</v>
          </cell>
          <cell r="L53">
            <v>7460</v>
          </cell>
          <cell r="M53">
            <v>1480</v>
          </cell>
          <cell r="P53">
            <v>0</v>
          </cell>
          <cell r="Q53">
            <v>674</v>
          </cell>
          <cell r="R53">
            <v>698</v>
          </cell>
          <cell r="S53">
            <v>2313</v>
          </cell>
          <cell r="V53">
            <v>1255</v>
          </cell>
        </row>
      </sheetData>
      <sheetData sheetId="9" refreshError="1"/>
      <sheetData sheetId="10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</row>
        <row r="2">
          <cell r="A2">
            <v>2</v>
          </cell>
          <cell r="B2" t="str">
            <v>TIMARU</v>
          </cell>
        </row>
        <row r="3">
          <cell r="A3">
            <v>3</v>
          </cell>
          <cell r="B3" t="str">
            <v>TIMARU</v>
          </cell>
          <cell r="E3" t="str">
            <v>2007 AOP</v>
          </cell>
          <cell r="G3" t="str">
            <v>ABC Priority : A = High - Must do; B = Med - Should do; C = Low - Can wait</v>
          </cell>
        </row>
        <row r="4">
          <cell r="A4">
            <v>4</v>
          </cell>
          <cell r="B4" t="str">
            <v>TIMARU</v>
          </cell>
          <cell r="E4" t="str">
            <v>2008-2010 STRATEGIC PLAN</v>
          </cell>
        </row>
        <row r="5">
          <cell r="A5">
            <v>5</v>
          </cell>
          <cell r="B5" t="str">
            <v>TIMARU</v>
          </cell>
          <cell r="E5" t="str">
            <v>CAPITAL EXPENDITURE</v>
          </cell>
        </row>
        <row r="6">
          <cell r="A6">
            <v>6</v>
          </cell>
          <cell r="B6" t="str">
            <v>TIMARU</v>
          </cell>
        </row>
        <row r="7">
          <cell r="A7">
            <v>7</v>
          </cell>
          <cell r="B7" t="str">
            <v>TIMARU</v>
          </cell>
          <cell r="E7" t="str">
            <v>TIMARU</v>
          </cell>
          <cell r="F7" t="str">
            <v>PRIORITY</v>
          </cell>
          <cell r="H7" t="str">
            <v>DEPRN
RATE (%)</v>
          </cell>
          <cell r="I7" t="str">
            <v>APPROVED/
PROPOSED
CAPEX
AMOUNT
($'000)</v>
          </cell>
          <cell r="J7" t="str">
            <v>PLANNED 2007 
SPEND
($'000)</v>
          </cell>
          <cell r="K7" t="str">
            <v>2008 
SPEND
($'000)</v>
          </cell>
          <cell r="L7" t="str">
            <v>2009 
SPEND
($'000)</v>
          </cell>
          <cell r="M7" t="str">
            <v>2010 
SPEND
($'000)</v>
          </cell>
          <cell r="N7" t="str">
            <v>CARRY-OVER PROJECTS</v>
          </cell>
          <cell r="Q7" t="str">
            <v>PROJECT
EXPENSE
($'000)</v>
          </cell>
          <cell r="R7" t="str">
            <v>ASSET
DISPOSAL
($'000)</v>
          </cell>
          <cell r="S7" t="str">
            <v>ANNUAL
PROJECT
SAVINGS
($'000)</v>
          </cell>
          <cell r="U7" t="str">
            <v>2008 EXECUTION PLAN</v>
          </cell>
          <cell r="W7" t="str">
            <v>DESCRIPTION,  RATIONALE,  NOTES</v>
          </cell>
        </row>
        <row r="8">
          <cell r="A8">
            <v>8</v>
          </cell>
          <cell r="B8" t="str">
            <v>TIMARU</v>
          </cell>
          <cell r="D8" t="str">
            <v>PROJECT TYPE</v>
          </cell>
          <cell r="E8" t="str">
            <v>PROJECT NAME</v>
          </cell>
          <cell r="N8" t="str">
            <v>PROJECT
NUMBER</v>
          </cell>
          <cell r="O8" t="str">
            <v>INTERNALORDER
NUMBER</v>
          </cell>
          <cell r="P8" t="str">
            <v>2007FY
AUC Level
($'000)</v>
          </cell>
          <cell r="T8" t="str">
            <v>PLANNED
APPROVAL
Q1,Q2,Q3,Q4</v>
          </cell>
          <cell r="U8" t="str">
            <v>PROJECT
START-UP
Q1,Q2,Q3,Q4</v>
          </cell>
          <cell r="V8" t="str">
            <v>2007
SPEND</v>
          </cell>
        </row>
        <row r="9">
          <cell r="A9">
            <v>9</v>
          </cell>
          <cell r="B9" t="str">
            <v>TIMARU</v>
          </cell>
        </row>
        <row r="10">
          <cell r="A10">
            <v>10</v>
          </cell>
          <cell r="B10" t="str">
            <v>TIMARU</v>
          </cell>
          <cell r="D10" t="str">
            <v>CAPACITY/  Growth</v>
          </cell>
        </row>
        <row r="11">
          <cell r="A11">
            <v>11</v>
          </cell>
          <cell r="B11" t="str">
            <v>TIMARU</v>
          </cell>
          <cell r="C11" t="str">
            <v>INNOV</v>
          </cell>
        </row>
        <row r="12">
          <cell r="A12">
            <v>12</v>
          </cell>
          <cell r="B12" t="str">
            <v>TIMARU</v>
          </cell>
          <cell r="C12" t="str">
            <v>INNOV</v>
          </cell>
        </row>
        <row r="13">
          <cell r="A13">
            <v>13</v>
          </cell>
          <cell r="B13" t="str">
            <v>TIMARU</v>
          </cell>
          <cell r="C13" t="str">
            <v>INNOV</v>
          </cell>
          <cell r="E13" t="str">
            <v>SUB-TOTAL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A14">
            <v>14</v>
          </cell>
          <cell r="B14" t="str">
            <v>TIMARU</v>
          </cell>
          <cell r="D14" t="str">
            <v>PRODUCTIVITY</v>
          </cell>
        </row>
        <row r="15">
          <cell r="A15">
            <v>15</v>
          </cell>
          <cell r="B15" t="str">
            <v>TIMARU</v>
          </cell>
          <cell r="C15" t="str">
            <v>PROD</v>
          </cell>
          <cell r="E15" t="str">
            <v>Peeling</v>
          </cell>
          <cell r="F15" t="str">
            <v>A</v>
          </cell>
          <cell r="I15">
            <v>100</v>
          </cell>
          <cell r="K15">
            <v>100</v>
          </cell>
        </row>
        <row r="16">
          <cell r="A16">
            <v>16</v>
          </cell>
          <cell r="B16" t="str">
            <v>TIMARU</v>
          </cell>
          <cell r="C16" t="str">
            <v>PROD</v>
          </cell>
          <cell r="E16" t="str">
            <v>CI Productivity Initiatives</v>
          </cell>
          <cell r="F16" t="str">
            <v>A</v>
          </cell>
          <cell r="I16">
            <v>125</v>
          </cell>
          <cell r="J16">
            <v>50</v>
          </cell>
          <cell r="K16">
            <v>25</v>
          </cell>
          <cell r="L16">
            <v>25</v>
          </cell>
          <cell r="M16">
            <v>25</v>
          </cell>
        </row>
        <row r="17">
          <cell r="A17">
            <v>17</v>
          </cell>
          <cell r="B17" t="str">
            <v>TIMARU</v>
          </cell>
          <cell r="C17" t="str">
            <v>PROD</v>
          </cell>
          <cell r="E17" t="str">
            <v xml:space="preserve">Gen 2 Slicing </v>
          </cell>
          <cell r="F17" t="str">
            <v>B</v>
          </cell>
          <cell r="I17">
            <v>25</v>
          </cell>
          <cell r="J17">
            <v>10</v>
          </cell>
          <cell r="K17">
            <v>15</v>
          </cell>
        </row>
        <row r="18">
          <cell r="A18">
            <v>18</v>
          </cell>
          <cell r="B18" t="str">
            <v>TIMARU</v>
          </cell>
          <cell r="C18" t="str">
            <v>PROD</v>
          </cell>
          <cell r="E18" t="str">
            <v>Timaru Warehouse</v>
          </cell>
          <cell r="I18">
            <v>700</v>
          </cell>
          <cell r="M18">
            <v>700</v>
          </cell>
        </row>
        <row r="19">
          <cell r="A19">
            <v>19</v>
          </cell>
          <cell r="B19" t="str">
            <v>TIMARU</v>
          </cell>
          <cell r="C19" t="str">
            <v>PROD</v>
          </cell>
        </row>
        <row r="20">
          <cell r="A20">
            <v>20</v>
          </cell>
          <cell r="B20" t="str">
            <v>TIMARU</v>
          </cell>
          <cell r="C20" t="str">
            <v>PROD</v>
          </cell>
          <cell r="E20" t="str">
            <v>SUB-TOTAL</v>
          </cell>
          <cell r="I20">
            <v>950</v>
          </cell>
          <cell r="J20">
            <v>60</v>
          </cell>
          <cell r="K20">
            <v>140</v>
          </cell>
          <cell r="L20">
            <v>25</v>
          </cell>
          <cell r="M20">
            <v>725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A21">
            <v>21</v>
          </cell>
          <cell r="B21" t="str">
            <v>TIMARU</v>
          </cell>
          <cell r="D21" t="str">
            <v>SUSTAINABILITY</v>
          </cell>
          <cell r="E21" t="str">
            <v>INVESTMENTS TOWARDS REDUCTION IN WATER, ENERGY &amp; WASTE TO LANDFILL; management of effluent etc</v>
          </cell>
        </row>
        <row r="22">
          <cell r="A22">
            <v>22</v>
          </cell>
          <cell r="B22" t="str">
            <v>TIMARU</v>
          </cell>
          <cell r="C22" t="str">
            <v>SUSTAIN.</v>
          </cell>
          <cell r="E22" t="str">
            <v>Water Use reduction and recyciling</v>
          </cell>
          <cell r="F22" t="str">
            <v>C</v>
          </cell>
          <cell r="I22">
            <v>80</v>
          </cell>
          <cell r="J22">
            <v>20</v>
          </cell>
          <cell r="K22">
            <v>20</v>
          </cell>
          <cell r="L22">
            <v>20</v>
          </cell>
          <cell r="M22">
            <v>20</v>
          </cell>
        </row>
        <row r="23">
          <cell r="A23">
            <v>23</v>
          </cell>
          <cell r="B23" t="str">
            <v>TIMARU</v>
          </cell>
          <cell r="C23" t="str">
            <v>SUSTAIN.</v>
          </cell>
          <cell r="E23" t="str">
            <v>Fuel Oil conversion to Nat gas</v>
          </cell>
          <cell r="F23" t="str">
            <v>C</v>
          </cell>
          <cell r="I23">
            <v>250</v>
          </cell>
          <cell r="L23">
            <v>250</v>
          </cell>
        </row>
        <row r="24">
          <cell r="A24">
            <v>24</v>
          </cell>
          <cell r="B24" t="str">
            <v>TIMARU</v>
          </cell>
          <cell r="C24" t="str">
            <v>SUSTAIN.</v>
          </cell>
          <cell r="I24">
            <v>0</v>
          </cell>
        </row>
        <row r="25">
          <cell r="A25">
            <v>25</v>
          </cell>
          <cell r="B25" t="str">
            <v>TIMARU</v>
          </cell>
          <cell r="C25" t="str">
            <v>SUSTAIN.</v>
          </cell>
        </row>
        <row r="26">
          <cell r="A26">
            <v>26</v>
          </cell>
          <cell r="B26" t="str">
            <v>TIMARU</v>
          </cell>
          <cell r="C26" t="str">
            <v>SUSTAIN.</v>
          </cell>
          <cell r="E26" t="str">
            <v>SUB-TOTAL</v>
          </cell>
          <cell r="I26">
            <v>330</v>
          </cell>
          <cell r="J26">
            <v>20</v>
          </cell>
          <cell r="K26">
            <v>20</v>
          </cell>
          <cell r="L26">
            <v>270</v>
          </cell>
          <cell r="M26">
            <v>20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A27">
            <v>27</v>
          </cell>
          <cell r="B27" t="str">
            <v>TIMARU</v>
          </cell>
          <cell r="D27" t="str">
            <v>QUALITY /PRODUCT IMPR.</v>
          </cell>
        </row>
        <row r="28">
          <cell r="A28">
            <v>28</v>
          </cell>
          <cell r="B28" t="str">
            <v>TIMARU</v>
          </cell>
          <cell r="C28" t="str">
            <v>QUALITY</v>
          </cell>
          <cell r="E28" t="str">
            <v>PC Potato Handling, Blanching &amp; infeed</v>
          </cell>
          <cell r="F28" t="str">
            <v>A</v>
          </cell>
          <cell r="I28">
            <v>1000</v>
          </cell>
          <cell r="M28">
            <v>1000</v>
          </cell>
        </row>
        <row r="29">
          <cell r="A29">
            <v>29</v>
          </cell>
          <cell r="B29" t="str">
            <v>TIMARU</v>
          </cell>
          <cell r="C29" t="str">
            <v>QUALITY</v>
          </cell>
          <cell r="E29" t="str">
            <v>Oil Management &amp; Nitrogen blanketing of oil storage</v>
          </cell>
          <cell r="F29" t="str">
            <v>A</v>
          </cell>
          <cell r="I29">
            <v>100</v>
          </cell>
          <cell r="K29">
            <v>100</v>
          </cell>
        </row>
        <row r="30">
          <cell r="A30">
            <v>30</v>
          </cell>
          <cell r="B30" t="str">
            <v>TIMARU</v>
          </cell>
          <cell r="C30" t="str">
            <v>QUALITY</v>
          </cell>
          <cell r="E30" t="str">
            <v>Seasoning Upgrade</v>
          </cell>
          <cell r="F30" t="str">
            <v>A</v>
          </cell>
          <cell r="I30">
            <v>200</v>
          </cell>
          <cell r="J30">
            <v>50</v>
          </cell>
          <cell r="K30">
            <v>150</v>
          </cell>
        </row>
        <row r="31">
          <cell r="A31">
            <v>31</v>
          </cell>
          <cell r="B31" t="str">
            <v>TIMARU</v>
          </cell>
          <cell r="C31" t="str">
            <v>QUALITY</v>
          </cell>
          <cell r="E31" t="str">
            <v>Moisture Control and Fryer Automation (1st Stage)</v>
          </cell>
          <cell r="F31" t="str">
            <v>A</v>
          </cell>
          <cell r="I31">
            <v>110</v>
          </cell>
          <cell r="J31">
            <v>10</v>
          </cell>
          <cell r="K31">
            <v>100</v>
          </cell>
        </row>
        <row r="32">
          <cell r="A32">
            <v>11</v>
          </cell>
          <cell r="B32" t="str">
            <v>TIMARU</v>
          </cell>
          <cell r="C32" t="str">
            <v>QUALITY</v>
          </cell>
          <cell r="E32" t="str">
            <v>QA lab equipment</v>
          </cell>
          <cell r="K32">
            <v>100</v>
          </cell>
          <cell r="L32">
            <v>50</v>
          </cell>
          <cell r="M32">
            <v>50</v>
          </cell>
        </row>
        <row r="33">
          <cell r="A33">
            <v>32</v>
          </cell>
          <cell r="B33" t="str">
            <v>TIMARU</v>
          </cell>
          <cell r="C33" t="str">
            <v>QUALITY</v>
          </cell>
          <cell r="E33" t="str">
            <v>Quality Lab</v>
          </cell>
          <cell r="F33" t="str">
            <v>A</v>
          </cell>
          <cell r="I33">
            <v>110</v>
          </cell>
          <cell r="J33">
            <v>10</v>
          </cell>
          <cell r="K33">
            <v>50</v>
          </cell>
          <cell r="L33">
            <v>50</v>
          </cell>
        </row>
        <row r="34">
          <cell r="A34">
            <v>33</v>
          </cell>
          <cell r="B34" t="str">
            <v>TIMARU</v>
          </cell>
          <cell r="C34" t="str">
            <v>QUALITY</v>
          </cell>
          <cell r="E34" t="str">
            <v>Optical Sorter</v>
          </cell>
          <cell r="F34" t="str">
            <v>A</v>
          </cell>
          <cell r="I34">
            <v>300</v>
          </cell>
          <cell r="K34">
            <v>300</v>
          </cell>
        </row>
        <row r="35">
          <cell r="A35">
            <v>34</v>
          </cell>
          <cell r="B35" t="str">
            <v>TIMARU</v>
          </cell>
          <cell r="C35" t="str">
            <v>QUALITY</v>
          </cell>
          <cell r="E35" t="str">
            <v>Nitrogen Capability</v>
          </cell>
          <cell r="F35" t="str">
            <v>B</v>
          </cell>
          <cell r="I35">
            <v>50</v>
          </cell>
          <cell r="L35">
            <v>50</v>
          </cell>
        </row>
        <row r="36">
          <cell r="A36">
            <v>35</v>
          </cell>
          <cell r="B36" t="str">
            <v>TIMARU</v>
          </cell>
          <cell r="C36" t="str">
            <v>QUALITY</v>
          </cell>
          <cell r="E36" t="str">
            <v>Breakage Control</v>
          </cell>
          <cell r="F36" t="str">
            <v>C</v>
          </cell>
          <cell r="I36">
            <v>100</v>
          </cell>
          <cell r="M36">
            <v>100</v>
          </cell>
        </row>
        <row r="37">
          <cell r="A37">
            <v>36</v>
          </cell>
          <cell r="B37" t="str">
            <v>TIMARU</v>
          </cell>
          <cell r="C37" t="str">
            <v>QUALITY</v>
          </cell>
          <cell r="E37" t="str">
            <v>Remove Blanching</v>
          </cell>
          <cell r="F37" t="str">
            <v>C</v>
          </cell>
          <cell r="I37">
            <v>0</v>
          </cell>
        </row>
        <row r="38">
          <cell r="A38">
            <v>37</v>
          </cell>
          <cell r="B38" t="str">
            <v>TIMARU</v>
          </cell>
          <cell r="C38" t="str">
            <v>QUALITY</v>
          </cell>
          <cell r="I38">
            <v>0</v>
          </cell>
        </row>
        <row r="39">
          <cell r="A39">
            <v>38</v>
          </cell>
          <cell r="B39" t="str">
            <v>TIMARU</v>
          </cell>
          <cell r="C39" t="str">
            <v>QUALITY</v>
          </cell>
        </row>
        <row r="40">
          <cell r="A40">
            <v>39</v>
          </cell>
          <cell r="B40" t="str">
            <v>TIMARU</v>
          </cell>
          <cell r="C40" t="str">
            <v>QUALITY</v>
          </cell>
          <cell r="E40" t="str">
            <v>SUB-TOTAL</v>
          </cell>
          <cell r="I40">
            <v>1970</v>
          </cell>
          <cell r="J40">
            <v>70</v>
          </cell>
          <cell r="K40">
            <v>800</v>
          </cell>
          <cell r="L40">
            <v>150</v>
          </cell>
          <cell r="M40">
            <v>1150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A41">
            <v>40</v>
          </cell>
          <cell r="B41" t="str">
            <v>TIMARU</v>
          </cell>
          <cell r="D41" t="str">
            <v>OTHER</v>
          </cell>
        </row>
        <row r="42">
          <cell r="A42">
            <v>41</v>
          </cell>
          <cell r="B42" t="str">
            <v>TIMARU</v>
          </cell>
          <cell r="C42" t="str">
            <v>OTHER</v>
          </cell>
          <cell r="E42" t="str">
            <v xml:space="preserve">Safety </v>
          </cell>
          <cell r="F42" t="str">
            <v>A</v>
          </cell>
          <cell r="I42">
            <v>85</v>
          </cell>
          <cell r="J42">
            <v>10</v>
          </cell>
          <cell r="K42">
            <v>25</v>
          </cell>
          <cell r="L42">
            <v>25</v>
          </cell>
          <cell r="M42">
            <v>25</v>
          </cell>
        </row>
        <row r="43">
          <cell r="A43">
            <v>42</v>
          </cell>
          <cell r="B43" t="str">
            <v>TIMARU</v>
          </cell>
          <cell r="C43" t="str">
            <v>OTHER</v>
          </cell>
          <cell r="E43" t="str">
            <v>Staff/Office Amentities</v>
          </cell>
          <cell r="F43" t="str">
            <v>C</v>
          </cell>
          <cell r="I43">
            <v>40</v>
          </cell>
          <cell r="J43">
            <v>10</v>
          </cell>
          <cell r="K43">
            <v>10</v>
          </cell>
          <cell r="L43">
            <v>10</v>
          </cell>
          <cell r="M43">
            <v>10</v>
          </cell>
        </row>
        <row r="44">
          <cell r="A44">
            <v>43</v>
          </cell>
          <cell r="B44" t="str">
            <v>TIMARU</v>
          </cell>
          <cell r="C44" t="str">
            <v>OTHER</v>
          </cell>
          <cell r="E44" t="str">
            <v>Fire Services - Sprinklers</v>
          </cell>
          <cell r="F44" t="str">
            <v>C</v>
          </cell>
          <cell r="I44">
            <v>200</v>
          </cell>
          <cell r="M44">
            <v>100</v>
          </cell>
        </row>
        <row r="45">
          <cell r="A45">
            <v>44</v>
          </cell>
          <cell r="B45" t="str">
            <v>TIMARU</v>
          </cell>
          <cell r="C45" t="str">
            <v>OTHER</v>
          </cell>
          <cell r="I45">
            <v>0</v>
          </cell>
        </row>
        <row r="46">
          <cell r="A46">
            <v>45</v>
          </cell>
          <cell r="B46" t="str">
            <v>TIMARU</v>
          </cell>
          <cell r="C46" t="str">
            <v>OTHER</v>
          </cell>
        </row>
        <row r="47">
          <cell r="A47">
            <v>46</v>
          </cell>
          <cell r="B47" t="str">
            <v>TIMARU</v>
          </cell>
          <cell r="C47" t="str">
            <v>OTHER</v>
          </cell>
          <cell r="E47" t="str">
            <v>SUB-TOTAL</v>
          </cell>
          <cell r="I47">
            <v>325</v>
          </cell>
          <cell r="J47">
            <v>20</v>
          </cell>
          <cell r="K47">
            <v>35</v>
          </cell>
          <cell r="L47">
            <v>35</v>
          </cell>
          <cell r="M47">
            <v>135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A48">
            <v>47</v>
          </cell>
          <cell r="B48" t="str">
            <v>TIMARU</v>
          </cell>
          <cell r="C48" t="str">
            <v>OTHER</v>
          </cell>
          <cell r="D48" t="str">
            <v>FIP</v>
          </cell>
        </row>
        <row r="49">
          <cell r="A49">
            <v>48</v>
          </cell>
          <cell r="B49" t="str">
            <v>TIMARU</v>
          </cell>
          <cell r="C49" t="str">
            <v>OTHER</v>
          </cell>
          <cell r="E49" t="str">
            <v>Regulatory Compliance</v>
          </cell>
          <cell r="F49" t="str">
            <v>A</v>
          </cell>
          <cell r="I49">
            <v>120</v>
          </cell>
          <cell r="J49">
            <v>30</v>
          </cell>
          <cell r="K49">
            <v>30</v>
          </cell>
          <cell r="L49">
            <v>30</v>
          </cell>
          <cell r="M49">
            <v>30</v>
          </cell>
        </row>
        <row r="50">
          <cell r="A50">
            <v>49</v>
          </cell>
          <cell r="B50" t="str">
            <v>TIMARU</v>
          </cell>
          <cell r="C50" t="str">
            <v>OTHER</v>
          </cell>
          <cell r="E50" t="str">
            <v>Potato Store Upgrade</v>
          </cell>
          <cell r="F50" t="str">
            <v>C</v>
          </cell>
          <cell r="I50">
            <v>50</v>
          </cell>
          <cell r="L50">
            <v>50</v>
          </cell>
        </row>
        <row r="51">
          <cell r="A51">
            <v>50</v>
          </cell>
          <cell r="B51" t="str">
            <v>TIMARU</v>
          </cell>
          <cell r="C51" t="str">
            <v>OTHER</v>
          </cell>
          <cell r="E51" t="str">
            <v>HVAC, Floors, Walls, Roof Improvement</v>
          </cell>
          <cell r="F51" t="str">
            <v>C</v>
          </cell>
          <cell r="I51">
            <v>55</v>
          </cell>
          <cell r="J51">
            <v>25</v>
          </cell>
          <cell r="K51">
            <v>10</v>
          </cell>
          <cell r="L51">
            <v>10</v>
          </cell>
          <cell r="M51">
            <v>10</v>
          </cell>
        </row>
        <row r="52">
          <cell r="A52">
            <v>51</v>
          </cell>
          <cell r="B52" t="str">
            <v>TIMARU</v>
          </cell>
          <cell r="C52" t="str">
            <v>OTHER</v>
          </cell>
          <cell r="E52" t="str">
            <v>Security</v>
          </cell>
          <cell r="F52" t="str">
            <v>C</v>
          </cell>
          <cell r="I52">
            <v>250</v>
          </cell>
          <cell r="J52">
            <v>50</v>
          </cell>
          <cell r="K52">
            <v>150</v>
          </cell>
          <cell r="L52">
            <v>50</v>
          </cell>
        </row>
        <row r="53">
          <cell r="A53">
            <v>52</v>
          </cell>
          <cell r="B53" t="str">
            <v>TIMARU</v>
          </cell>
          <cell r="C53" t="str">
            <v>OTHER</v>
          </cell>
          <cell r="E53" t="str">
            <v>Racking</v>
          </cell>
          <cell r="F53" t="str">
            <v>C</v>
          </cell>
          <cell r="I53">
            <v>50</v>
          </cell>
          <cell r="M53">
            <v>50</v>
          </cell>
        </row>
        <row r="54">
          <cell r="A54">
            <v>53</v>
          </cell>
          <cell r="B54" t="str">
            <v>TIMARU</v>
          </cell>
          <cell r="C54" t="str">
            <v>OTHER</v>
          </cell>
          <cell r="I54">
            <v>0</v>
          </cell>
        </row>
        <row r="55">
          <cell r="A55">
            <v>54</v>
          </cell>
          <cell r="C55" t="str">
            <v>OTHER</v>
          </cell>
        </row>
        <row r="56">
          <cell r="A56">
            <v>55</v>
          </cell>
          <cell r="C56" t="str">
            <v>OTHER</v>
          </cell>
          <cell r="E56" t="str">
            <v>SUB-TOTAL</v>
          </cell>
          <cell r="I56">
            <v>525</v>
          </cell>
          <cell r="J56">
            <v>105</v>
          </cell>
          <cell r="K56">
            <v>190</v>
          </cell>
          <cell r="L56">
            <v>140</v>
          </cell>
          <cell r="M56">
            <v>90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A57">
            <v>56</v>
          </cell>
        </row>
        <row r="58">
          <cell r="A58">
            <v>57</v>
          </cell>
          <cell r="E58" t="str">
            <v>TOTAL</v>
          </cell>
          <cell r="I58">
            <v>4100</v>
          </cell>
          <cell r="J58">
            <v>275</v>
          </cell>
          <cell r="K58">
            <v>1185</v>
          </cell>
          <cell r="L58">
            <v>620</v>
          </cell>
          <cell r="M58">
            <v>2120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</row>
      </sheetData>
      <sheetData sheetId="11" refreshError="1"/>
      <sheetData sheetId="12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</row>
        <row r="2">
          <cell r="A2">
            <v>2</v>
          </cell>
          <cell r="B2" t="str">
            <v>S&amp;D</v>
          </cell>
        </row>
        <row r="3">
          <cell r="A3">
            <v>3</v>
          </cell>
          <cell r="B3" t="str">
            <v>S&amp;D</v>
          </cell>
          <cell r="E3" t="str">
            <v>2007 AOP</v>
          </cell>
          <cell r="G3" t="str">
            <v>ABC Priority : A = High - Must do; B = Med - Should do; C = Low - Can wait</v>
          </cell>
        </row>
        <row r="4">
          <cell r="A4">
            <v>4</v>
          </cell>
          <cell r="B4" t="str">
            <v>S&amp;D</v>
          </cell>
          <cell r="E4" t="str">
            <v>2008-2010 STRATEGIC PLAN</v>
          </cell>
        </row>
        <row r="5">
          <cell r="A5">
            <v>5</v>
          </cell>
          <cell r="B5" t="str">
            <v>S&amp;D</v>
          </cell>
          <cell r="E5" t="str">
            <v>CAPITAL EXPENDITURE</v>
          </cell>
        </row>
        <row r="6">
          <cell r="A6">
            <v>6</v>
          </cell>
          <cell r="B6" t="str">
            <v>S&amp;D</v>
          </cell>
        </row>
        <row r="7">
          <cell r="A7">
            <v>7</v>
          </cell>
          <cell r="B7" t="str">
            <v>S&amp;D</v>
          </cell>
          <cell r="E7" t="str">
            <v>NATIONAL S&amp;D</v>
          </cell>
          <cell r="F7" t="str">
            <v>PRIORITY</v>
          </cell>
          <cell r="H7" t="str">
            <v>DEPRN
RATE (%)</v>
          </cell>
          <cell r="I7" t="str">
            <v>APPROVED/
PROPOSED
CAPEX
AMOUNT
($'000)</v>
          </cell>
          <cell r="J7" t="str">
            <v>PLANNED 2007 
SPEND
($'000)</v>
          </cell>
          <cell r="K7" t="str">
            <v>2008 
SPEND
($'000)</v>
          </cell>
          <cell r="L7" t="str">
            <v>2009 
SPEND
($'000)</v>
          </cell>
          <cell r="M7" t="str">
            <v>2010 
SPEND
($'000)</v>
          </cell>
          <cell r="N7" t="str">
            <v>CARRY-OVER PROJECTS</v>
          </cell>
          <cell r="Q7" t="str">
            <v>PROJECT
EXPENSE
($'000)</v>
          </cell>
          <cell r="R7" t="str">
            <v>ASSET
DISPOSAL
($'000)</v>
          </cell>
          <cell r="S7" t="str">
            <v>ANNUAL
PROJECT
SAVINGS
($'000)</v>
          </cell>
          <cell r="U7" t="str">
            <v>2008 EXECUTION PLAN</v>
          </cell>
          <cell r="W7" t="str">
            <v>DESCRIPTION,  RATIONALE,  NOTES</v>
          </cell>
        </row>
        <row r="8">
          <cell r="A8">
            <v>8</v>
          </cell>
          <cell r="B8" t="str">
            <v>S&amp;D</v>
          </cell>
          <cell r="D8" t="str">
            <v>PROJECT TYPE</v>
          </cell>
          <cell r="E8" t="str">
            <v>PROJECT NAME</v>
          </cell>
          <cell r="N8" t="str">
            <v>PROJECT
NUMBER</v>
          </cell>
          <cell r="O8" t="str">
            <v>INTERNALORDER
NUMBER</v>
          </cell>
          <cell r="P8" t="str">
            <v>2007FY
AUC Level
($'000)</v>
          </cell>
          <cell r="T8" t="str">
            <v>PLANNED
APPROVAL
Q1,Q2,Q3,Q4</v>
          </cell>
          <cell r="U8" t="str">
            <v>PROJECT
START-UP
Q1,Q2,Q3,Q4</v>
          </cell>
          <cell r="V8" t="str">
            <v>2007
SPEND</v>
          </cell>
        </row>
        <row r="9">
          <cell r="A9">
            <v>9</v>
          </cell>
          <cell r="B9" t="str">
            <v>S&amp;D</v>
          </cell>
        </row>
        <row r="10">
          <cell r="A10">
            <v>10</v>
          </cell>
          <cell r="B10" t="str">
            <v>S&amp;D</v>
          </cell>
          <cell r="D10" t="str">
            <v>CAPACITY/  Growth</v>
          </cell>
        </row>
        <row r="11">
          <cell r="A11">
            <v>11</v>
          </cell>
          <cell r="B11" t="str">
            <v>S&amp;D</v>
          </cell>
          <cell r="C11" t="str">
            <v>GROWTH</v>
          </cell>
          <cell r="E11" t="str">
            <v>C'Vale Warehouse</v>
          </cell>
          <cell r="I11">
            <v>5400</v>
          </cell>
          <cell r="J11">
            <v>2000</v>
          </cell>
          <cell r="K11">
            <v>3400</v>
          </cell>
        </row>
        <row r="12">
          <cell r="A12">
            <v>12</v>
          </cell>
          <cell r="B12" t="str">
            <v>S&amp;D</v>
          </cell>
          <cell r="I12">
            <v>0</v>
          </cell>
        </row>
        <row r="13">
          <cell r="A13">
            <v>13</v>
          </cell>
          <cell r="B13" t="str">
            <v>S&amp;D</v>
          </cell>
        </row>
        <row r="14">
          <cell r="A14">
            <v>14</v>
          </cell>
          <cell r="B14" t="str">
            <v>S&amp;D</v>
          </cell>
          <cell r="E14" t="str">
            <v>SUB-TOTAL</v>
          </cell>
          <cell r="I14">
            <v>5400</v>
          </cell>
          <cell r="J14">
            <v>2000</v>
          </cell>
          <cell r="K14">
            <v>3400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A15">
            <v>15</v>
          </cell>
          <cell r="B15" t="str">
            <v>S&amp;D</v>
          </cell>
          <cell r="D15" t="str">
            <v>PRODUCTIVITY</v>
          </cell>
        </row>
        <row r="16">
          <cell r="A16">
            <v>16</v>
          </cell>
          <cell r="B16" t="str">
            <v>S&amp;D</v>
          </cell>
          <cell r="C16" t="str">
            <v>PROD</v>
          </cell>
          <cell r="E16" t="str">
            <v>S&amp;D Re-engineering Tingalpa</v>
          </cell>
          <cell r="F16" t="str">
            <v>A</v>
          </cell>
          <cell r="I16">
            <v>20000</v>
          </cell>
          <cell r="K16">
            <v>4200</v>
          </cell>
          <cell r="L16">
            <v>13000</v>
          </cell>
          <cell r="M16">
            <v>2800</v>
          </cell>
          <cell r="Q16">
            <v>500</v>
          </cell>
          <cell r="R16">
            <v>50</v>
          </cell>
          <cell r="S16">
            <v>3000</v>
          </cell>
          <cell r="W16" t="str">
            <v>Re-engineering to Warehouse, including robotic palletisers, building extension, etc. All figures to be confirmed with Steve Reilly.</v>
          </cell>
        </row>
        <row r="17">
          <cell r="A17">
            <v>17</v>
          </cell>
          <cell r="B17" t="str">
            <v>S&amp;D</v>
          </cell>
          <cell r="C17" t="str">
            <v>PROD</v>
          </cell>
          <cell r="E17" t="str">
            <v>Regency Park W'hse re-engineering</v>
          </cell>
          <cell r="I17">
            <v>1000</v>
          </cell>
          <cell r="L17" t="str">
            <v>x</v>
          </cell>
          <cell r="M17">
            <v>1000</v>
          </cell>
        </row>
        <row r="18">
          <cell r="A18">
            <v>18</v>
          </cell>
          <cell r="B18" t="str">
            <v>S&amp;D</v>
          </cell>
          <cell r="C18" t="str">
            <v>PROD</v>
          </cell>
          <cell r="I18">
            <v>0</v>
          </cell>
        </row>
        <row r="19">
          <cell r="A19">
            <v>19</v>
          </cell>
          <cell r="B19" t="str">
            <v>S&amp;D</v>
          </cell>
          <cell r="C19" t="str">
            <v>PROD</v>
          </cell>
        </row>
        <row r="20">
          <cell r="A20">
            <v>20</v>
          </cell>
          <cell r="B20" t="str">
            <v>S&amp;D</v>
          </cell>
          <cell r="C20" t="str">
            <v>PROD</v>
          </cell>
          <cell r="E20" t="str">
            <v>SUB-TOTAL</v>
          </cell>
          <cell r="I20">
            <v>21000</v>
          </cell>
          <cell r="J20">
            <v>0</v>
          </cell>
          <cell r="K20">
            <v>4200</v>
          </cell>
          <cell r="L20">
            <v>13000</v>
          </cell>
          <cell r="M20">
            <v>3800</v>
          </cell>
          <cell r="N20">
            <v>0</v>
          </cell>
          <cell r="O20">
            <v>0</v>
          </cell>
          <cell r="P20">
            <v>0</v>
          </cell>
          <cell r="Q20">
            <v>500</v>
          </cell>
          <cell r="R20">
            <v>50</v>
          </cell>
          <cell r="S20">
            <v>3000</v>
          </cell>
        </row>
        <row r="21">
          <cell r="A21">
            <v>21</v>
          </cell>
          <cell r="B21" t="str">
            <v>S&amp;D</v>
          </cell>
          <cell r="D21" t="str">
            <v>SUSTAINABILITY</v>
          </cell>
          <cell r="E21" t="str">
            <v>INVESTMENTS TOWARDS REDUCTION IN WATER, ENERGY &amp; WASTE TO LANDFILL; management of effluent etc</v>
          </cell>
        </row>
        <row r="22">
          <cell r="A22">
            <v>22</v>
          </cell>
          <cell r="B22" t="str">
            <v>S&amp;D</v>
          </cell>
          <cell r="C22" t="str">
            <v>SUSTAIN.</v>
          </cell>
          <cell r="E22" t="str">
            <v>Fleet?????</v>
          </cell>
          <cell r="I22">
            <v>0</v>
          </cell>
          <cell r="K22" t="str">
            <v>???</v>
          </cell>
          <cell r="L22" t="str">
            <v>???</v>
          </cell>
          <cell r="M22" t="str">
            <v>???</v>
          </cell>
        </row>
        <row r="23">
          <cell r="A23">
            <v>23</v>
          </cell>
          <cell r="B23" t="str">
            <v>S&amp;D</v>
          </cell>
          <cell r="C23" t="str">
            <v>SUSTAIN.</v>
          </cell>
          <cell r="E23" t="str">
            <v>Warehouse lighting ???????</v>
          </cell>
          <cell r="I23">
            <v>0</v>
          </cell>
          <cell r="K23" t="str">
            <v>???</v>
          </cell>
          <cell r="L23" t="str">
            <v>???</v>
          </cell>
          <cell r="M23" t="str">
            <v>???</v>
          </cell>
        </row>
        <row r="24">
          <cell r="A24">
            <v>24</v>
          </cell>
          <cell r="B24" t="str">
            <v>S&amp;D</v>
          </cell>
          <cell r="C24" t="str">
            <v>SUSTAIN.</v>
          </cell>
          <cell r="I24">
            <v>0</v>
          </cell>
        </row>
        <row r="25">
          <cell r="A25">
            <v>25</v>
          </cell>
          <cell r="B25" t="str">
            <v>S&amp;D</v>
          </cell>
          <cell r="I25">
            <v>0</v>
          </cell>
        </row>
        <row r="26">
          <cell r="A26">
            <v>26</v>
          </cell>
          <cell r="B26" t="str">
            <v>S&amp;D</v>
          </cell>
        </row>
        <row r="27">
          <cell r="A27">
            <v>27</v>
          </cell>
          <cell r="B27" t="str">
            <v>S&amp;D</v>
          </cell>
          <cell r="E27" t="str">
            <v>SUB-TOTAL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A28">
            <v>28</v>
          </cell>
          <cell r="B28" t="str">
            <v>S&amp;D</v>
          </cell>
          <cell r="D28" t="str">
            <v>QUALITY /PRODUCT IMPR.</v>
          </cell>
        </row>
        <row r="29">
          <cell r="A29">
            <v>29</v>
          </cell>
          <cell r="B29" t="str">
            <v>S&amp;D</v>
          </cell>
          <cell r="I29">
            <v>0</v>
          </cell>
        </row>
        <row r="30">
          <cell r="A30">
            <v>30</v>
          </cell>
          <cell r="B30" t="str">
            <v>S&amp;D</v>
          </cell>
          <cell r="I30">
            <v>0</v>
          </cell>
        </row>
        <row r="31">
          <cell r="A31">
            <v>31</v>
          </cell>
          <cell r="B31" t="str">
            <v>S&amp;D</v>
          </cell>
        </row>
        <row r="32">
          <cell r="A32">
            <v>32</v>
          </cell>
          <cell r="B32" t="str">
            <v>S&amp;D</v>
          </cell>
          <cell r="E32" t="str">
            <v>SUB-TOTAL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</row>
        <row r="33">
          <cell r="A33">
            <v>33</v>
          </cell>
          <cell r="B33" t="str">
            <v>S&amp;D</v>
          </cell>
          <cell r="D33" t="str">
            <v>OTHER</v>
          </cell>
        </row>
        <row r="34">
          <cell r="A34">
            <v>34</v>
          </cell>
          <cell r="B34" t="str">
            <v>S&amp;D</v>
          </cell>
          <cell r="C34" t="str">
            <v>OTHER</v>
          </cell>
          <cell r="E34" t="str">
            <v>D'nong Office Upgrade</v>
          </cell>
          <cell r="I34">
            <v>350</v>
          </cell>
          <cell r="J34">
            <v>250</v>
          </cell>
          <cell r="K34">
            <v>100</v>
          </cell>
        </row>
        <row r="35">
          <cell r="A35">
            <v>35</v>
          </cell>
          <cell r="B35" t="str">
            <v>S&amp;D</v>
          </cell>
          <cell r="C35" t="str">
            <v>OTHER</v>
          </cell>
          <cell r="E35" t="str">
            <v>Rydalmere Security Upgrade</v>
          </cell>
          <cell r="I35">
            <v>250</v>
          </cell>
          <cell r="K35">
            <v>100</v>
          </cell>
        </row>
        <row r="36">
          <cell r="A36">
            <v>36</v>
          </cell>
          <cell r="B36" t="str">
            <v>S&amp;D</v>
          </cell>
          <cell r="C36" t="str">
            <v>OTHER</v>
          </cell>
          <cell r="I36">
            <v>0</v>
          </cell>
        </row>
        <row r="37">
          <cell r="A37">
            <v>37</v>
          </cell>
          <cell r="B37" t="str">
            <v>S&amp;D</v>
          </cell>
          <cell r="C37" t="str">
            <v>OTHER</v>
          </cell>
          <cell r="E37" t="str">
            <v>Various FIP projects -all DCs</v>
          </cell>
          <cell r="I37">
            <v>30</v>
          </cell>
          <cell r="K37">
            <v>30</v>
          </cell>
          <cell r="L37">
            <v>30</v>
          </cell>
          <cell r="M37">
            <v>30</v>
          </cell>
        </row>
        <row r="38">
          <cell r="A38">
            <v>38</v>
          </cell>
          <cell r="B38" t="str">
            <v>S&amp;D</v>
          </cell>
          <cell r="C38" t="str">
            <v>OTHER</v>
          </cell>
          <cell r="E38" t="str">
            <v>Security RDCs/depots???</v>
          </cell>
          <cell r="I38">
            <v>0</v>
          </cell>
          <cell r="K38" t="str">
            <v>???</v>
          </cell>
          <cell r="L38" t="str">
            <v>???</v>
          </cell>
          <cell r="M38" t="str">
            <v>???</v>
          </cell>
        </row>
        <row r="39">
          <cell r="A39">
            <v>39</v>
          </cell>
          <cell r="B39" t="str">
            <v>S&amp;D</v>
          </cell>
          <cell r="C39" t="str">
            <v>OTHER</v>
          </cell>
          <cell r="E39" t="str">
            <v>Van replacements????</v>
          </cell>
          <cell r="I39">
            <v>0</v>
          </cell>
          <cell r="K39" t="str">
            <v>???</v>
          </cell>
          <cell r="L39" t="str">
            <v>???</v>
          </cell>
          <cell r="M39" t="str">
            <v>???</v>
          </cell>
        </row>
        <row r="40">
          <cell r="A40">
            <v>40</v>
          </cell>
          <cell r="B40" t="str">
            <v>S&amp;D</v>
          </cell>
        </row>
        <row r="41">
          <cell r="A41">
            <v>41</v>
          </cell>
          <cell r="B41" t="str">
            <v>S&amp;D</v>
          </cell>
          <cell r="E41" t="str">
            <v>SUB-TOTAL</v>
          </cell>
          <cell r="I41">
            <v>630</v>
          </cell>
          <cell r="J41">
            <v>250</v>
          </cell>
          <cell r="K41">
            <v>230</v>
          </cell>
          <cell r="L41">
            <v>30</v>
          </cell>
          <cell r="M41">
            <v>30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  <row r="42">
          <cell r="A42">
            <v>42</v>
          </cell>
          <cell r="B42" t="str">
            <v>S&amp;D</v>
          </cell>
        </row>
        <row r="43">
          <cell r="A43">
            <v>43</v>
          </cell>
          <cell r="B43" t="str">
            <v>S&amp;D</v>
          </cell>
          <cell r="E43" t="str">
            <v>TOTAL</v>
          </cell>
          <cell r="I43">
            <v>27030</v>
          </cell>
          <cell r="J43">
            <v>2250</v>
          </cell>
          <cell r="K43">
            <v>7830</v>
          </cell>
          <cell r="L43">
            <v>13030</v>
          </cell>
          <cell r="M43">
            <v>3830</v>
          </cell>
          <cell r="N43">
            <v>0</v>
          </cell>
          <cell r="O43">
            <v>0</v>
          </cell>
          <cell r="P43">
            <v>0</v>
          </cell>
          <cell r="Q43">
            <v>500</v>
          </cell>
          <cell r="R43">
            <v>50</v>
          </cell>
          <cell r="S43">
            <v>3000</v>
          </cell>
        </row>
      </sheetData>
      <sheetData sheetId="13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</row>
        <row r="2">
          <cell r="A2">
            <v>2</v>
          </cell>
          <cell r="B2" t="str">
            <v>IT</v>
          </cell>
        </row>
        <row r="3">
          <cell r="A3">
            <v>3</v>
          </cell>
          <cell r="B3" t="str">
            <v>IT</v>
          </cell>
          <cell r="E3" t="str">
            <v>2007 AOP</v>
          </cell>
          <cell r="G3" t="str">
            <v>ABC Priority : A = High - Must do; B = Med - Should do; C = Low - Can wait</v>
          </cell>
        </row>
        <row r="4">
          <cell r="A4">
            <v>4</v>
          </cell>
          <cell r="B4" t="str">
            <v>IT</v>
          </cell>
          <cell r="E4" t="str">
            <v>2008-2010 STRATEGIC PLAN</v>
          </cell>
        </row>
        <row r="5">
          <cell r="A5">
            <v>5</v>
          </cell>
          <cell r="B5" t="str">
            <v>IT</v>
          </cell>
          <cell r="E5" t="str">
            <v>CAPITAL EXPENDITURE</v>
          </cell>
        </row>
        <row r="6">
          <cell r="A6">
            <v>6</v>
          </cell>
          <cell r="B6" t="str">
            <v>IT</v>
          </cell>
        </row>
        <row r="7">
          <cell r="A7">
            <v>7</v>
          </cell>
          <cell r="B7" t="str">
            <v>IT</v>
          </cell>
          <cell r="E7" t="str">
            <v>INFORMATION SYSTEMS</v>
          </cell>
          <cell r="F7" t="str">
            <v>PRIORITY</v>
          </cell>
          <cell r="H7" t="str">
            <v>DEPRN
RATE (%)</v>
          </cell>
          <cell r="I7" t="str">
            <v>APPROVED/
PROPOSED
CAPEX
AMOUNT
($'000)</v>
          </cell>
          <cell r="J7" t="str">
            <v>PLANNED 2007 
SPEND
($'000)</v>
          </cell>
          <cell r="K7" t="str">
            <v>2008 
SPEND
($'000)</v>
          </cell>
          <cell r="L7" t="str">
            <v>2009 
SPEND
($'000)</v>
          </cell>
          <cell r="M7" t="str">
            <v>2010 
SPEND
($'000)</v>
          </cell>
          <cell r="N7" t="str">
            <v>CARRY-OVER PROJECTS</v>
          </cell>
          <cell r="Q7" t="str">
            <v>PROJECT
EXPENSE
($'000)</v>
          </cell>
          <cell r="R7" t="str">
            <v>ASSET
DISPOSAL
($'000)</v>
          </cell>
          <cell r="S7" t="str">
            <v>ANNUAL
PROJECT
SAVINGS
($'000)</v>
          </cell>
          <cell r="U7" t="str">
            <v>2008 EXECUTION PLAN</v>
          </cell>
          <cell r="W7" t="str">
            <v>DESCRIPTION,  RATIONALE,  NOTES</v>
          </cell>
        </row>
        <row r="8">
          <cell r="A8">
            <v>8</v>
          </cell>
          <cell r="B8" t="str">
            <v>IT</v>
          </cell>
          <cell r="D8" t="str">
            <v>PROJECT TYPE</v>
          </cell>
          <cell r="E8" t="str">
            <v>PROJECT NAME</v>
          </cell>
          <cell r="N8" t="str">
            <v>PROJECT
NUMBER</v>
          </cell>
          <cell r="O8" t="str">
            <v>INTERNALORDER
NUMBER</v>
          </cell>
          <cell r="P8" t="str">
            <v>2007FY
AUC Level
($'000)</v>
          </cell>
          <cell r="T8" t="str">
            <v>PLANNED
APPROVAL
Q1,Q2,Q3,Q4</v>
          </cell>
          <cell r="U8" t="str">
            <v>PROJECT
START-UP
Q1,Q2,Q3,Q4</v>
          </cell>
          <cell r="V8" t="str">
            <v>2007
SPEND</v>
          </cell>
        </row>
        <row r="9">
          <cell r="A9">
            <v>9</v>
          </cell>
          <cell r="B9" t="str">
            <v>IT</v>
          </cell>
        </row>
        <row r="10">
          <cell r="A10">
            <v>10</v>
          </cell>
          <cell r="B10" t="str">
            <v>IT</v>
          </cell>
          <cell r="D10" t="str">
            <v>CAPACITY/  Growth</v>
          </cell>
        </row>
        <row r="11">
          <cell r="A11">
            <v>11</v>
          </cell>
          <cell r="B11" t="str">
            <v>IT</v>
          </cell>
          <cell r="I11">
            <v>0</v>
          </cell>
        </row>
        <row r="12">
          <cell r="A12">
            <v>12</v>
          </cell>
          <cell r="B12" t="str">
            <v>IT</v>
          </cell>
        </row>
        <row r="13">
          <cell r="A13">
            <v>13</v>
          </cell>
          <cell r="B13" t="str">
            <v>IT</v>
          </cell>
          <cell r="E13" t="str">
            <v>SUB-TOTAL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A14">
            <v>14</v>
          </cell>
          <cell r="B14" t="str">
            <v>IT</v>
          </cell>
          <cell r="D14" t="str">
            <v>PRODUCTIVITY</v>
          </cell>
        </row>
        <row r="15">
          <cell r="A15">
            <v>15</v>
          </cell>
          <cell r="B15" t="str">
            <v>IT</v>
          </cell>
          <cell r="I15">
            <v>0</v>
          </cell>
        </row>
        <row r="16">
          <cell r="A16">
            <v>16</v>
          </cell>
          <cell r="B16" t="str">
            <v>IT</v>
          </cell>
        </row>
        <row r="17">
          <cell r="A17">
            <v>17</v>
          </cell>
          <cell r="B17" t="str">
            <v>IT</v>
          </cell>
          <cell r="E17" t="str">
            <v>SUB-TOTAL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18">
          <cell r="A18">
            <v>18</v>
          </cell>
          <cell r="B18" t="str">
            <v>IT</v>
          </cell>
          <cell r="D18" t="str">
            <v>SUSTAINABILITY</v>
          </cell>
          <cell r="E18" t="str">
            <v>INVESTMENTS TOWARDS REDUCTION IN WATER, ENERGY &amp; WASTE TO LANDFILL; management of effluent etc</v>
          </cell>
        </row>
        <row r="19">
          <cell r="A19">
            <v>19</v>
          </cell>
          <cell r="B19" t="str">
            <v>IT</v>
          </cell>
          <cell r="I19">
            <v>0</v>
          </cell>
        </row>
        <row r="20">
          <cell r="A20">
            <v>20</v>
          </cell>
          <cell r="B20" t="str">
            <v>IT</v>
          </cell>
        </row>
        <row r="21">
          <cell r="A21">
            <v>21</v>
          </cell>
          <cell r="B21" t="str">
            <v>IT</v>
          </cell>
          <cell r="E21" t="str">
            <v>SUB-TOTAL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A22">
            <v>22</v>
          </cell>
          <cell r="B22" t="str">
            <v>IT</v>
          </cell>
          <cell r="D22" t="str">
            <v>QUALITY /PRODUCT IMPR.</v>
          </cell>
        </row>
        <row r="23">
          <cell r="A23">
            <v>23</v>
          </cell>
          <cell r="B23" t="str">
            <v>IT</v>
          </cell>
          <cell r="I23">
            <v>0</v>
          </cell>
        </row>
        <row r="24">
          <cell r="A24">
            <v>24</v>
          </cell>
          <cell r="B24" t="str">
            <v>IT</v>
          </cell>
        </row>
        <row r="25">
          <cell r="A25">
            <v>25</v>
          </cell>
          <cell r="B25" t="str">
            <v>IT</v>
          </cell>
          <cell r="E25" t="str">
            <v>SUB-TOTAL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A26">
            <v>26</v>
          </cell>
          <cell r="B26" t="str">
            <v>IT</v>
          </cell>
          <cell r="C26" t="str">
            <v>OTHER</v>
          </cell>
          <cell r="D26" t="str">
            <v>OTHER</v>
          </cell>
        </row>
        <row r="27">
          <cell r="A27">
            <v>27</v>
          </cell>
          <cell r="B27" t="str">
            <v>IT</v>
          </cell>
          <cell r="C27" t="str">
            <v>OTHER</v>
          </cell>
          <cell r="E27" t="str">
            <v>Dandenong Patch Panel</v>
          </cell>
          <cell r="I27">
            <v>49</v>
          </cell>
          <cell r="J27">
            <v>49</v>
          </cell>
          <cell r="O27">
            <v>103678</v>
          </cell>
        </row>
        <row r="28">
          <cell r="A28">
            <v>28</v>
          </cell>
          <cell r="B28" t="str">
            <v>IT</v>
          </cell>
          <cell r="C28" t="str">
            <v>OTHER</v>
          </cell>
          <cell r="E28" t="str">
            <v>Sakata Infrastructure</v>
          </cell>
          <cell r="I28">
            <v>159</v>
          </cell>
          <cell r="J28">
            <v>159</v>
          </cell>
          <cell r="O28">
            <v>103677</v>
          </cell>
          <cell r="Q28">
            <v>146</v>
          </cell>
        </row>
        <row r="29">
          <cell r="A29">
            <v>29</v>
          </cell>
          <cell r="B29" t="str">
            <v>IT</v>
          </cell>
          <cell r="C29" t="str">
            <v>OTHER</v>
          </cell>
          <cell r="E29" t="str">
            <v>R'Park Warehouse Switching</v>
          </cell>
          <cell r="I29">
            <v>11</v>
          </cell>
          <cell r="J29">
            <v>11</v>
          </cell>
          <cell r="O29">
            <v>103582</v>
          </cell>
        </row>
        <row r="30">
          <cell r="A30">
            <v>30</v>
          </cell>
          <cell r="B30" t="str">
            <v>IT</v>
          </cell>
          <cell r="C30" t="str">
            <v>OTHER</v>
          </cell>
          <cell r="E30" t="str">
            <v>Crispnet II - HHUs (ADR &amp; CST)</v>
          </cell>
          <cell r="I30">
            <v>800</v>
          </cell>
          <cell r="J30">
            <v>250</v>
          </cell>
          <cell r="K30">
            <v>550</v>
          </cell>
          <cell r="N30" t="str">
            <v>07H306</v>
          </cell>
          <cell r="W30" t="str">
            <v>Potential duplication in larger CrispNet II CAPEX.  If CrispNet II is approved, this project will roll in to it.  If it is not approved, it remains separate.</v>
          </cell>
        </row>
        <row r="31">
          <cell r="A31">
            <v>31</v>
          </cell>
          <cell r="B31" t="str">
            <v>IT</v>
          </cell>
          <cell r="C31" t="str">
            <v>OTHER</v>
          </cell>
          <cell r="E31" t="str">
            <v>Canning Vale Control Network</v>
          </cell>
          <cell r="I31">
            <v>90</v>
          </cell>
          <cell r="J31">
            <v>45</v>
          </cell>
          <cell r="K31">
            <v>45</v>
          </cell>
          <cell r="N31" t="str">
            <v>07H307</v>
          </cell>
          <cell r="Q31">
            <v>5</v>
          </cell>
        </row>
        <row r="32">
          <cell r="A32">
            <v>32</v>
          </cell>
          <cell r="B32" t="str">
            <v>IT</v>
          </cell>
          <cell r="C32" t="str">
            <v>OTHER</v>
          </cell>
          <cell r="E32" t="str">
            <v>Security General</v>
          </cell>
          <cell r="I32">
            <v>200</v>
          </cell>
          <cell r="J32">
            <v>50</v>
          </cell>
          <cell r="K32">
            <v>50</v>
          </cell>
          <cell r="L32">
            <v>50</v>
          </cell>
          <cell r="M32">
            <v>50</v>
          </cell>
          <cell r="N32" t="str">
            <v>07H308</v>
          </cell>
          <cell r="Q32">
            <v>30</v>
          </cell>
        </row>
        <row r="33">
          <cell r="A33">
            <v>33</v>
          </cell>
          <cell r="B33" t="str">
            <v>IT</v>
          </cell>
          <cell r="C33" t="str">
            <v>OTHER</v>
          </cell>
          <cell r="E33" t="str">
            <v>Data Centre Upgrades - All sites</v>
          </cell>
          <cell r="I33">
            <v>140</v>
          </cell>
          <cell r="J33">
            <v>140</v>
          </cell>
          <cell r="N33" t="str">
            <v>07H309</v>
          </cell>
          <cell r="Q33">
            <v>30</v>
          </cell>
        </row>
        <row r="34">
          <cell r="A34">
            <v>34</v>
          </cell>
          <cell r="B34" t="str">
            <v>IT</v>
          </cell>
          <cell r="C34" t="str">
            <v>OTHER</v>
          </cell>
          <cell r="E34" t="str">
            <v>Tingalpa Control Network</v>
          </cell>
          <cell r="I34">
            <v>150</v>
          </cell>
          <cell r="J34">
            <v>150</v>
          </cell>
          <cell r="N34" t="str">
            <v>07H310</v>
          </cell>
          <cell r="Q34">
            <v>10</v>
          </cell>
        </row>
        <row r="35">
          <cell r="A35">
            <v>35</v>
          </cell>
          <cell r="B35" t="str">
            <v>IT</v>
          </cell>
          <cell r="C35" t="str">
            <v>OTHER</v>
          </cell>
          <cell r="E35" t="str">
            <v>Regency Park Control Network</v>
          </cell>
          <cell r="I35">
            <v>90</v>
          </cell>
          <cell r="J35">
            <v>45</v>
          </cell>
          <cell r="K35">
            <v>45</v>
          </cell>
          <cell r="N35" t="str">
            <v>07H311</v>
          </cell>
          <cell r="Q35">
            <v>5</v>
          </cell>
        </row>
        <row r="36">
          <cell r="A36">
            <v>36</v>
          </cell>
          <cell r="B36" t="str">
            <v>IT</v>
          </cell>
          <cell r="C36" t="str">
            <v>OTHER</v>
          </cell>
          <cell r="E36" t="str">
            <v>Exchange Servers</v>
          </cell>
          <cell r="I36">
            <v>225</v>
          </cell>
          <cell r="J36">
            <v>225</v>
          </cell>
          <cell r="N36" t="str">
            <v>07H312</v>
          </cell>
        </row>
        <row r="37">
          <cell r="A37">
            <v>37</v>
          </cell>
          <cell r="B37" t="str">
            <v>IT</v>
          </cell>
          <cell r="C37" t="str">
            <v>OTHER</v>
          </cell>
          <cell r="E37" t="str">
            <v>Regency Park airconditioning</v>
          </cell>
          <cell r="I37">
            <v>40</v>
          </cell>
          <cell r="J37">
            <v>40</v>
          </cell>
          <cell r="N37" t="str">
            <v>07H308</v>
          </cell>
        </row>
        <row r="38">
          <cell r="A38">
            <v>38</v>
          </cell>
          <cell r="B38" t="str">
            <v>IT</v>
          </cell>
          <cell r="C38" t="str">
            <v>OTHER</v>
          </cell>
          <cell r="E38" t="str">
            <v>Crispnet II</v>
          </cell>
          <cell r="I38">
            <v>11565</v>
          </cell>
          <cell r="K38">
            <v>7241</v>
          </cell>
          <cell r="L38">
            <v>3648</v>
          </cell>
          <cell r="M38">
            <v>676</v>
          </cell>
          <cell r="Q38">
            <v>1106</v>
          </cell>
          <cell r="W38" t="str">
            <v>Also includes CST/ADR Capital for Hardware only ($650M)</v>
          </cell>
        </row>
        <row r="39">
          <cell r="A39">
            <v>39</v>
          </cell>
          <cell r="B39" t="str">
            <v>IT</v>
          </cell>
          <cell r="C39" t="str">
            <v>OTHER</v>
          </cell>
          <cell r="E39" t="str">
            <v>Network Technology (LAN &amp; Wan equipment expansion &amp; refresh)</v>
          </cell>
          <cell r="I39">
            <v>1100</v>
          </cell>
          <cell r="K39">
            <v>800</v>
          </cell>
          <cell r="L39">
            <v>150</v>
          </cell>
          <cell r="M39">
            <v>150</v>
          </cell>
        </row>
        <row r="40">
          <cell r="A40">
            <v>40</v>
          </cell>
          <cell r="B40" t="str">
            <v>IT</v>
          </cell>
          <cell r="C40" t="str">
            <v>OTHER</v>
          </cell>
          <cell r="E40" t="str">
            <v>Intel server &amp; storage refresh/expansion</v>
          </cell>
          <cell r="I40">
            <v>475</v>
          </cell>
          <cell r="K40">
            <v>225</v>
          </cell>
          <cell r="L40">
            <v>125</v>
          </cell>
          <cell r="M40">
            <v>125</v>
          </cell>
        </row>
        <row r="41">
          <cell r="A41">
            <v>41</v>
          </cell>
          <cell r="B41" t="str">
            <v>IT</v>
          </cell>
          <cell r="C41" t="str">
            <v>OTHER</v>
          </cell>
          <cell r="E41" t="str">
            <v>Warehouse Wireless Access Points Refresh</v>
          </cell>
          <cell r="I41">
            <v>36</v>
          </cell>
          <cell r="L41">
            <v>36</v>
          </cell>
        </row>
        <row r="42">
          <cell r="A42">
            <v>42</v>
          </cell>
          <cell r="B42" t="str">
            <v>IT</v>
          </cell>
          <cell r="C42" t="str">
            <v>OTHER</v>
          </cell>
          <cell r="E42" t="str">
            <v>PABX Replacement (National)</v>
          </cell>
          <cell r="I42">
            <v>846</v>
          </cell>
          <cell r="L42">
            <v>846</v>
          </cell>
        </row>
        <row r="43">
          <cell r="A43">
            <v>43</v>
          </cell>
          <cell r="B43" t="str">
            <v>IT</v>
          </cell>
          <cell r="C43" t="str">
            <v>OTHER</v>
          </cell>
          <cell r="E43" t="str">
            <v>Exchange Hardware Refresh</v>
          </cell>
          <cell r="I43">
            <v>225</v>
          </cell>
          <cell r="M43">
            <v>225</v>
          </cell>
        </row>
        <row r="44">
          <cell r="A44">
            <v>44</v>
          </cell>
          <cell r="B44" t="str">
            <v>IT</v>
          </cell>
          <cell r="C44" t="str">
            <v>OTHER</v>
          </cell>
          <cell r="E44" t="str">
            <v>SAP Console Hardware Refresh</v>
          </cell>
          <cell r="I44">
            <v>115</v>
          </cell>
          <cell r="L44">
            <v>115</v>
          </cell>
        </row>
        <row r="45">
          <cell r="A45">
            <v>45</v>
          </cell>
          <cell r="B45" t="str">
            <v>IT</v>
          </cell>
        </row>
        <row r="46">
          <cell r="A46">
            <v>46</v>
          </cell>
          <cell r="B46" t="str">
            <v>IT</v>
          </cell>
        </row>
        <row r="47">
          <cell r="A47">
            <v>47</v>
          </cell>
          <cell r="B47" t="str">
            <v>IT</v>
          </cell>
        </row>
        <row r="48">
          <cell r="A48">
            <v>48</v>
          </cell>
          <cell r="B48" t="str">
            <v>IT</v>
          </cell>
        </row>
        <row r="49">
          <cell r="A49">
            <v>49</v>
          </cell>
          <cell r="B49" t="str">
            <v>IT</v>
          </cell>
        </row>
        <row r="50">
          <cell r="A50">
            <v>50</v>
          </cell>
          <cell r="B50" t="str">
            <v>IT</v>
          </cell>
          <cell r="E50" t="str">
            <v>SUB-TOTAL</v>
          </cell>
          <cell r="I50">
            <v>16316</v>
          </cell>
          <cell r="J50">
            <v>1164</v>
          </cell>
          <cell r="K50">
            <v>8956</v>
          </cell>
          <cell r="L50">
            <v>4970</v>
          </cell>
          <cell r="M50">
            <v>1226</v>
          </cell>
          <cell r="N50">
            <v>0</v>
          </cell>
          <cell r="O50">
            <v>310937</v>
          </cell>
          <cell r="P50">
            <v>0</v>
          </cell>
          <cell r="Q50">
            <v>1332</v>
          </cell>
          <cell r="R50">
            <v>0</v>
          </cell>
          <cell r="S50">
            <v>0</v>
          </cell>
        </row>
        <row r="51">
          <cell r="A51">
            <v>51</v>
          </cell>
          <cell r="B51" t="str">
            <v>IT</v>
          </cell>
        </row>
        <row r="52">
          <cell r="A52">
            <v>52</v>
          </cell>
          <cell r="B52" t="str">
            <v>IT</v>
          </cell>
          <cell r="E52" t="str">
            <v>TOTAL</v>
          </cell>
          <cell r="I52">
            <v>16316</v>
          </cell>
          <cell r="J52">
            <v>1164</v>
          </cell>
          <cell r="K52">
            <v>8956</v>
          </cell>
          <cell r="L52">
            <v>4970</v>
          </cell>
          <cell r="M52">
            <v>1226</v>
          </cell>
          <cell r="N52">
            <v>0</v>
          </cell>
          <cell r="O52">
            <v>310937</v>
          </cell>
          <cell r="P52">
            <v>0</v>
          </cell>
          <cell r="Q52">
            <v>1332</v>
          </cell>
          <cell r="R52">
            <v>0</v>
          </cell>
          <cell r="S52">
            <v>0</v>
          </cell>
        </row>
      </sheetData>
      <sheetData sheetId="14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</row>
        <row r="2">
          <cell r="A2">
            <v>2</v>
          </cell>
          <cell r="B2" t="str">
            <v>Vending</v>
          </cell>
        </row>
        <row r="3">
          <cell r="A3">
            <v>3</v>
          </cell>
          <cell r="B3" t="str">
            <v>Vending</v>
          </cell>
          <cell r="E3" t="str">
            <v>2007 AOP</v>
          </cell>
          <cell r="G3" t="str">
            <v>ABC Priority : A = High - Must do; B = Med - Should do; C = Low - Can wait</v>
          </cell>
        </row>
        <row r="4">
          <cell r="A4">
            <v>4</v>
          </cell>
          <cell r="B4" t="str">
            <v>Vending</v>
          </cell>
          <cell r="E4" t="str">
            <v>2008-2010 STRATEGIC PLAN</v>
          </cell>
        </row>
        <row r="5">
          <cell r="A5">
            <v>5</v>
          </cell>
          <cell r="B5" t="str">
            <v>Vending</v>
          </cell>
          <cell r="E5" t="str">
            <v>CAPITAL EXPENDITURE</v>
          </cell>
        </row>
        <row r="6">
          <cell r="A6">
            <v>6</v>
          </cell>
          <cell r="B6" t="str">
            <v>Vending</v>
          </cell>
        </row>
        <row r="7">
          <cell r="A7">
            <v>7</v>
          </cell>
          <cell r="B7" t="str">
            <v>Vending</v>
          </cell>
          <cell r="E7" t="str">
            <v>Vending</v>
          </cell>
          <cell r="F7" t="str">
            <v>PRIORITY</v>
          </cell>
          <cell r="H7" t="str">
            <v>DEPRN
RATE (%)</v>
          </cell>
          <cell r="I7" t="str">
            <v>APPROVED/
PROPOSED
CAPEX
AMOUNT
($'000)</v>
          </cell>
          <cell r="J7" t="str">
            <v>PLANNED 2007 
SPEND
($'000)</v>
          </cell>
          <cell r="K7" t="str">
            <v>2008 
SPEND
($'000)</v>
          </cell>
          <cell r="L7" t="str">
            <v>2009 
SPEND
($'000)</v>
          </cell>
          <cell r="M7" t="str">
            <v>2010 
SPEND
($'000)</v>
          </cell>
          <cell r="N7" t="str">
            <v>CARRY-OVER PROJECTS</v>
          </cell>
          <cell r="Q7" t="str">
            <v>PROJECT
EXPENSE
($'000)</v>
          </cell>
          <cell r="R7" t="str">
            <v>ASSET
DISPOSAL
($'000)</v>
          </cell>
          <cell r="S7" t="str">
            <v>ANNUAL
PROJECT
SAVINGS
($'000)</v>
          </cell>
          <cell r="U7" t="str">
            <v>2008 EXECUTION PLAN</v>
          </cell>
          <cell r="W7" t="str">
            <v>DESCRIPTION,  RATIONALE,  NOTES</v>
          </cell>
        </row>
        <row r="8">
          <cell r="A8">
            <v>8</v>
          </cell>
          <cell r="B8" t="str">
            <v>Vending</v>
          </cell>
          <cell r="D8" t="str">
            <v>PROJECT TYPE</v>
          </cell>
          <cell r="E8" t="str">
            <v>PROJECT NAME</v>
          </cell>
          <cell r="N8" t="str">
            <v>PROJECT
NUMBER</v>
          </cell>
          <cell r="O8" t="str">
            <v>INTERNALORDER
NUMBER</v>
          </cell>
          <cell r="P8" t="str">
            <v>2007FY
AUC Level
($'000)</v>
          </cell>
          <cell r="T8" t="str">
            <v>PLANNED
APPROVAL
Q1,Q2,Q3,Q4</v>
          </cell>
          <cell r="U8" t="str">
            <v>PROJECT
START-UP
Q1,Q2,Q3,Q4</v>
          </cell>
          <cell r="V8" t="str">
            <v>2007
SPEND</v>
          </cell>
        </row>
        <row r="9">
          <cell r="A9">
            <v>9</v>
          </cell>
          <cell r="B9" t="str">
            <v>Vending</v>
          </cell>
        </row>
        <row r="10">
          <cell r="A10">
            <v>10</v>
          </cell>
          <cell r="B10" t="str">
            <v>Vending</v>
          </cell>
          <cell r="D10" t="str">
            <v>CAPACITY/  Growth</v>
          </cell>
        </row>
        <row r="11">
          <cell r="A11">
            <v>11</v>
          </cell>
          <cell r="B11" t="str">
            <v>Vending</v>
          </cell>
          <cell r="C11" t="str">
            <v>GROWTH</v>
          </cell>
          <cell r="E11" t="str">
            <v>Upgrade whole fleet with Remote Access Kit</v>
          </cell>
          <cell r="I11">
            <v>1000</v>
          </cell>
          <cell r="K11">
            <v>1000</v>
          </cell>
          <cell r="W11" t="str">
            <v>2008 capex to upgrade practically all machines which can take remote access box, plus account specific requried equipments</v>
          </cell>
        </row>
        <row r="12">
          <cell r="A12">
            <v>12</v>
          </cell>
          <cell r="B12" t="str">
            <v>Vending</v>
          </cell>
          <cell r="C12" t="str">
            <v>GROWTH</v>
          </cell>
          <cell r="E12" t="str">
            <v>100 Beverage machines</v>
          </cell>
          <cell r="I12">
            <v>1108.5</v>
          </cell>
          <cell r="K12">
            <v>1108.5</v>
          </cell>
          <cell r="W12" t="str">
            <v>2009 and 2010 to upgrade about 400 machines each year plus Beverage and Snack machines</v>
          </cell>
        </row>
        <row r="13">
          <cell r="A13">
            <v>13</v>
          </cell>
          <cell r="B13" t="str">
            <v>Vending</v>
          </cell>
          <cell r="C13" t="str">
            <v>GROWTH</v>
          </cell>
          <cell r="E13" t="str">
            <v xml:space="preserve"> 400 Crane upgrade kits</v>
          </cell>
          <cell r="I13">
            <v>707.2</v>
          </cell>
          <cell r="L13">
            <v>707.2</v>
          </cell>
        </row>
        <row r="14">
          <cell r="A14">
            <v>14</v>
          </cell>
          <cell r="B14" t="str">
            <v>Vending</v>
          </cell>
          <cell r="C14" t="str">
            <v>GROWTH</v>
          </cell>
          <cell r="E14" t="str">
            <v>100 Beverage  &amp; combo machines</v>
          </cell>
          <cell r="I14">
            <v>1108.5</v>
          </cell>
          <cell r="L14">
            <v>1108.5</v>
          </cell>
        </row>
        <row r="15">
          <cell r="A15">
            <v>15</v>
          </cell>
          <cell r="B15" t="str">
            <v>Vending</v>
          </cell>
          <cell r="C15" t="str">
            <v>GROWTH</v>
          </cell>
          <cell r="E15" t="str">
            <v>150 Snack machines</v>
          </cell>
          <cell r="I15">
            <v>1275</v>
          </cell>
          <cell r="L15">
            <v>1275</v>
          </cell>
        </row>
        <row r="16">
          <cell r="A16">
            <v>16</v>
          </cell>
          <cell r="B16" t="str">
            <v>Vending</v>
          </cell>
          <cell r="C16" t="str">
            <v>GROWTH</v>
          </cell>
          <cell r="E16" t="str">
            <v xml:space="preserve"> 400 Crane upgrade kits</v>
          </cell>
          <cell r="I16">
            <v>707.2</v>
          </cell>
          <cell r="M16">
            <v>707.2</v>
          </cell>
        </row>
        <row r="17">
          <cell r="A17">
            <v>17</v>
          </cell>
          <cell r="B17" t="str">
            <v>Vending</v>
          </cell>
          <cell r="C17" t="str">
            <v>GROWTH</v>
          </cell>
          <cell r="E17" t="str">
            <v>100 Beverage  &amp; combo machines</v>
          </cell>
          <cell r="I17">
            <v>1108.5</v>
          </cell>
          <cell r="M17">
            <v>1108.5</v>
          </cell>
        </row>
        <row r="18">
          <cell r="A18">
            <v>18</v>
          </cell>
          <cell r="B18" t="str">
            <v>Vending</v>
          </cell>
          <cell r="C18" t="str">
            <v>GROWTH</v>
          </cell>
          <cell r="E18" t="str">
            <v>150 Snack machines</v>
          </cell>
          <cell r="I18">
            <v>1275</v>
          </cell>
          <cell r="M18">
            <v>1275</v>
          </cell>
        </row>
        <row r="19">
          <cell r="A19">
            <v>19</v>
          </cell>
          <cell r="B19" t="str">
            <v>Vending</v>
          </cell>
          <cell r="I19">
            <v>0</v>
          </cell>
        </row>
        <row r="20">
          <cell r="A20">
            <v>24</v>
          </cell>
          <cell r="B20" t="str">
            <v>Vending</v>
          </cell>
        </row>
        <row r="21">
          <cell r="A21">
            <v>25</v>
          </cell>
          <cell r="B21" t="str">
            <v>Vending</v>
          </cell>
          <cell r="E21" t="str">
            <v>SUB-TOTAL</v>
          </cell>
          <cell r="I21">
            <v>8289.9</v>
          </cell>
          <cell r="J21">
            <v>0</v>
          </cell>
          <cell r="K21">
            <v>2108.5</v>
          </cell>
          <cell r="L21">
            <v>3090.7</v>
          </cell>
          <cell r="M21">
            <v>3090.7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A22">
            <v>26</v>
          </cell>
          <cell r="B22" t="str">
            <v>Vending</v>
          </cell>
          <cell r="D22" t="str">
            <v>PRODUCTIVITY</v>
          </cell>
        </row>
        <row r="23">
          <cell r="A23">
            <v>27</v>
          </cell>
          <cell r="B23" t="str">
            <v>Vending</v>
          </cell>
          <cell r="I23">
            <v>0</v>
          </cell>
        </row>
        <row r="24">
          <cell r="A24">
            <v>28</v>
          </cell>
          <cell r="B24" t="str">
            <v>Vending</v>
          </cell>
          <cell r="I24">
            <v>0</v>
          </cell>
        </row>
        <row r="25">
          <cell r="A25">
            <v>29</v>
          </cell>
          <cell r="B25" t="str">
            <v>Vending</v>
          </cell>
        </row>
        <row r="26">
          <cell r="A26">
            <v>30</v>
          </cell>
          <cell r="B26" t="str">
            <v>Vending</v>
          </cell>
          <cell r="E26" t="str">
            <v>SUB-TOTAL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A27">
            <v>31</v>
          </cell>
          <cell r="B27" t="str">
            <v>Vending</v>
          </cell>
          <cell r="D27" t="str">
            <v>SUSTAINABILITY</v>
          </cell>
        </row>
        <row r="28">
          <cell r="A28">
            <v>32</v>
          </cell>
          <cell r="B28" t="str">
            <v>Vending</v>
          </cell>
          <cell r="I28">
            <v>0</v>
          </cell>
        </row>
        <row r="29">
          <cell r="A29">
            <v>33</v>
          </cell>
          <cell r="B29" t="str">
            <v>Vending</v>
          </cell>
          <cell r="I29">
            <v>0</v>
          </cell>
        </row>
        <row r="30">
          <cell r="A30">
            <v>34</v>
          </cell>
          <cell r="B30" t="str">
            <v>Vending</v>
          </cell>
        </row>
        <row r="31">
          <cell r="A31">
            <v>35</v>
          </cell>
          <cell r="B31" t="str">
            <v>Vending</v>
          </cell>
          <cell r="E31" t="str">
            <v>SUB-TOTAL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A32">
            <v>36</v>
          </cell>
          <cell r="B32" t="str">
            <v>Vending</v>
          </cell>
          <cell r="D32" t="str">
            <v>QUALITY /PRODUCT IMPR.</v>
          </cell>
        </row>
        <row r="33">
          <cell r="A33">
            <v>37</v>
          </cell>
          <cell r="B33" t="str">
            <v>Vending</v>
          </cell>
          <cell r="I33">
            <v>0</v>
          </cell>
        </row>
        <row r="34">
          <cell r="A34">
            <v>38</v>
          </cell>
          <cell r="B34" t="str">
            <v>Vending</v>
          </cell>
        </row>
        <row r="35">
          <cell r="A35">
            <v>39</v>
          </cell>
          <cell r="B35" t="str">
            <v>Vending</v>
          </cell>
          <cell r="E35" t="str">
            <v>SUB-TOTAL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A36">
            <v>40</v>
          </cell>
          <cell r="B36" t="str">
            <v>Vending</v>
          </cell>
          <cell r="D36" t="str">
            <v>OTHER</v>
          </cell>
        </row>
        <row r="37">
          <cell r="A37">
            <v>41</v>
          </cell>
          <cell r="B37" t="str">
            <v>Vending</v>
          </cell>
          <cell r="I37">
            <v>0</v>
          </cell>
        </row>
        <row r="38">
          <cell r="A38">
            <v>42</v>
          </cell>
          <cell r="B38" t="str">
            <v>Vending</v>
          </cell>
        </row>
        <row r="39">
          <cell r="A39">
            <v>43</v>
          </cell>
          <cell r="B39" t="str">
            <v>Vending</v>
          </cell>
          <cell r="E39" t="str">
            <v>SUB-TOTAL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A40">
            <v>44</v>
          </cell>
          <cell r="B40" t="str">
            <v>Vending</v>
          </cell>
        </row>
        <row r="41">
          <cell r="A41">
            <v>45</v>
          </cell>
          <cell r="B41" t="str">
            <v>Vending</v>
          </cell>
          <cell r="E41" t="str">
            <v>TOTAL</v>
          </cell>
          <cell r="I41">
            <v>8289.9</v>
          </cell>
          <cell r="J41">
            <v>0</v>
          </cell>
          <cell r="K41">
            <v>2108.5</v>
          </cell>
          <cell r="L41">
            <v>3090.7</v>
          </cell>
          <cell r="M41">
            <v>3090.7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>
        <row r="1">
          <cell r="A1">
            <v>1</v>
          </cell>
        </row>
      </sheetData>
      <sheetData sheetId="24">
        <row r="1">
          <cell r="A1">
            <v>1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">
          <cell r="A1">
            <v>1</v>
          </cell>
        </row>
      </sheetData>
      <sheetData sheetId="38">
        <row r="1">
          <cell r="A1">
            <v>1</v>
          </cell>
        </row>
      </sheetData>
      <sheetData sheetId="39"/>
      <sheetData sheetId="40"/>
      <sheetData sheetId="4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bp"/>
      <sheetName val="Pivot_DBP"/>
      <sheetName val="Tab_Salesman_Daily"/>
      <sheetName val="tab NEW"/>
      <sheetName val="Macro Market Trends"/>
      <sheetName val="GZ-Sum"/>
      <sheetName val="JAN $"/>
      <sheetName val="JAN"/>
      <sheetName val="Liste"/>
      <sheetName val="FM-KD"/>
      <sheetName val="SSK"/>
      <sheetName val="2009_Purchase"/>
      <sheetName val="2009_TranPrice(USD)"/>
      <sheetName val="Base_USD"/>
      <sheetName val="STARTSHEET"/>
      <sheetName val="tab_NEW"/>
      <sheetName val="Macro_Market_Trends"/>
      <sheetName val="JAN_$"/>
      <sheetName val="Lookup"/>
      <sheetName val="tab_NEW1"/>
      <sheetName val="Macro_Market_Trends1"/>
      <sheetName val="JAN_$1"/>
      <sheetName val="COMICRO ROM"/>
      <sheetName val="INPUT"/>
      <sheetName val="Ph2"/>
      <sheetName val="Control"/>
      <sheetName val="Control Sheet"/>
      <sheetName val="Kashira"/>
      <sheetName val="Azov"/>
      <sheetName val="Rus Base_Converter"/>
      <sheetName val="Капвложения"/>
      <sheetName val="DCF"/>
      <sheetName val="DropOptions"/>
      <sheetName val="graph"/>
      <sheetName val="Calculation"/>
      <sheetName val="Region Summary"/>
      <sheetName val="P&amp;L"/>
      <sheetName val="tab_NEW2"/>
      <sheetName val="Macro_Market_Trends2"/>
      <sheetName val="JAN_$2"/>
      <sheetName val="COMICRO_ROM"/>
      <sheetName val="Control_Sheet"/>
      <sheetName val="Rus_Base_Converter"/>
      <sheetName val="Region_Summary"/>
      <sheetName val="tab_NEW3"/>
      <sheetName val="Macro_Market_Trends3"/>
      <sheetName val="JAN_$3"/>
      <sheetName val="COMICRO_ROM1"/>
      <sheetName val="Control_Sheet1"/>
      <sheetName val="Rus_Base_Converter1"/>
      <sheetName val="Region_Summary1"/>
      <sheetName val="tab_NEW4"/>
      <sheetName val="Macro_Market_Trends4"/>
      <sheetName val="JAN_$4"/>
      <sheetName val="COMICRO_ROM2"/>
      <sheetName val="Control_Sheet2"/>
      <sheetName val="Rus_Base_Converter2"/>
      <sheetName val="Region_Summary2"/>
      <sheetName val="Reference"/>
      <sheetName val="tab_NEW5"/>
      <sheetName val="Macro_Market_Trends5"/>
      <sheetName val="JAN_$5"/>
      <sheetName val="COMICRO_ROM3"/>
      <sheetName val="Control_Sheet3"/>
      <sheetName val="Rus_Base_Converter3"/>
      <sheetName val="Region_Summary3"/>
      <sheetName val="Hidden DataSheet"/>
      <sheetName val="Driver"/>
      <sheetName val="New York-HQ"/>
      <sheetName val="Virginia"/>
      <sheetName val="California &amp; Farmingdale"/>
      <sheetName val="Sales Team, CSC &amp; Other"/>
      <sheetName val="Obela"/>
      <sheetName val="POV"/>
      <sheetName val="Sales volume"/>
      <sheetName val="Value per case"/>
      <sheetName val="DC_RM+PM+DL"/>
      <sheetName val="Score Card"/>
      <sheetName val="MU"/>
      <sheetName val="BO Summ"/>
    </sheetNames>
    <sheetDataSet>
      <sheetData sheetId="0" refreshError="1">
        <row r="12">
          <cell r="A12" t="str">
            <v>Qty</v>
          </cell>
          <cell r="C12" t="str">
            <v>Brand</v>
          </cell>
        </row>
        <row r="13">
          <cell r="A13" t="str">
            <v>Region</v>
          </cell>
          <cell r="B13" t="str">
            <v>Manager</v>
          </cell>
          <cell r="C13" t="str">
            <v>CHEETOS</v>
          </cell>
          <cell r="D13" t="str">
            <v>LAYS</v>
          </cell>
          <cell r="E13" t="str">
            <v>MAX</v>
          </cell>
          <cell r="F13" t="str">
            <v>(blank)</v>
          </cell>
          <cell r="G13" t="str">
            <v>Grand Total</v>
          </cell>
        </row>
        <row r="14">
          <cell r="A14" t="str">
            <v>1.Moscow</v>
          </cell>
          <cell r="B14" t="str">
            <v>Баранов Алексей</v>
          </cell>
          <cell r="C14">
            <v>2574</v>
          </cell>
          <cell r="D14">
            <v>6576</v>
          </cell>
          <cell r="E14">
            <v>2695</v>
          </cell>
          <cell r="G14">
            <v>11845</v>
          </cell>
        </row>
        <row r="15">
          <cell r="B15" t="str">
            <v>Бройдо Юрий</v>
          </cell>
          <cell r="C15">
            <v>1776</v>
          </cell>
          <cell r="D15">
            <v>5010</v>
          </cell>
          <cell r="E15">
            <v>2134</v>
          </cell>
          <cell r="G15">
            <v>8920</v>
          </cell>
        </row>
        <row r="16">
          <cell r="B16" t="str">
            <v>Койнаш Сергей</v>
          </cell>
          <cell r="C16">
            <v>6168.5</v>
          </cell>
          <cell r="D16">
            <v>13405</v>
          </cell>
          <cell r="E16">
            <v>6711.625</v>
          </cell>
          <cell r="G16">
            <v>26285.125</v>
          </cell>
        </row>
        <row r="17">
          <cell r="B17" t="str">
            <v>Лебедев Андрей</v>
          </cell>
          <cell r="C17">
            <v>8338</v>
          </cell>
          <cell r="D17">
            <v>48010</v>
          </cell>
          <cell r="E17">
            <v>9896</v>
          </cell>
          <cell r="G17">
            <v>66244</v>
          </cell>
        </row>
        <row r="18">
          <cell r="B18" t="str">
            <v>Лебедева Людмила</v>
          </cell>
          <cell r="C18">
            <v>2508</v>
          </cell>
          <cell r="D18">
            <v>6747</v>
          </cell>
          <cell r="E18">
            <v>3206</v>
          </cell>
          <cell r="G18">
            <v>12461</v>
          </cell>
        </row>
        <row r="19">
          <cell r="A19" t="str">
            <v>1.Moscow Total</v>
          </cell>
          <cell r="B19" t="str">
            <v>Романчукевич Сергей</v>
          </cell>
          <cell r="C19">
            <v>1596</v>
          </cell>
          <cell r="D19">
            <v>7272</v>
          </cell>
          <cell r="E19">
            <v>2700</v>
          </cell>
          <cell r="G19">
            <v>11568</v>
          </cell>
        </row>
        <row r="20">
          <cell r="A20" t="str">
            <v>1.Moscow Total</v>
          </cell>
          <cell r="B20" t="str">
            <v>Рудюк Константин</v>
          </cell>
          <cell r="C20">
            <v>2412</v>
          </cell>
          <cell r="D20">
            <v>8094</v>
          </cell>
          <cell r="E20">
            <v>2108</v>
          </cell>
          <cell r="G20">
            <v>12614</v>
          </cell>
        </row>
        <row r="21">
          <cell r="A21" t="str">
            <v>1.Moscow Total</v>
          </cell>
          <cell r="B21" t="str">
            <v>Зеленый Олег</v>
          </cell>
          <cell r="C21">
            <v>25372.5</v>
          </cell>
          <cell r="D21">
            <v>95114</v>
          </cell>
          <cell r="E21">
            <v>29450.625</v>
          </cell>
          <cell r="G21">
            <v>149937.125</v>
          </cell>
        </row>
        <row r="22">
          <cell r="A22" t="str">
            <v>10.Ukraine</v>
          </cell>
          <cell r="B22" t="str">
            <v>Зеленый Олег</v>
          </cell>
          <cell r="C22">
            <v>2027</v>
          </cell>
          <cell r="D22">
            <v>13115</v>
          </cell>
          <cell r="E22">
            <v>1843</v>
          </cell>
          <cell r="G22">
            <v>14958</v>
          </cell>
        </row>
        <row r="23">
          <cell r="A23" t="str">
            <v>10.Ukraine Total</v>
          </cell>
          <cell r="B23" t="str">
            <v>Дудников Сергей</v>
          </cell>
          <cell r="C23">
            <v>2027</v>
          </cell>
          <cell r="D23">
            <v>13115</v>
          </cell>
          <cell r="E23">
            <v>1843</v>
          </cell>
          <cell r="G23">
            <v>14958</v>
          </cell>
        </row>
        <row r="24">
          <cell r="A24" t="str">
            <v>2.Central Region</v>
          </cell>
          <cell r="B24" t="str">
            <v>Дудников Сергей</v>
          </cell>
          <cell r="C24">
            <v>4476</v>
          </cell>
          <cell r="D24">
            <v>15516</v>
          </cell>
          <cell r="E24">
            <v>5472</v>
          </cell>
          <cell r="G24">
            <v>25464</v>
          </cell>
        </row>
        <row r="25">
          <cell r="A25" t="str">
            <v>2.Central Region Total</v>
          </cell>
          <cell r="B25" t="str">
            <v>Дудников Сергей</v>
          </cell>
          <cell r="C25">
            <v>4476</v>
          </cell>
          <cell r="D25">
            <v>15516</v>
          </cell>
          <cell r="E25">
            <v>5472</v>
          </cell>
          <cell r="G25">
            <v>25464</v>
          </cell>
        </row>
        <row r="26">
          <cell r="A26" t="str">
            <v>3.St.Petersburg</v>
          </cell>
          <cell r="B26" t="str">
            <v>Дудников Сергей</v>
          </cell>
          <cell r="C26">
            <v>10205</v>
          </cell>
          <cell r="D26">
            <v>24687</v>
          </cell>
          <cell r="E26">
            <v>8290.5</v>
          </cell>
          <cell r="G26">
            <v>43182.5</v>
          </cell>
        </row>
        <row r="27">
          <cell r="A27" t="str">
            <v>3.St.Petersburg Total</v>
          </cell>
          <cell r="B27" t="str">
            <v>Дудников Сергей</v>
          </cell>
          <cell r="C27">
            <v>10205</v>
          </cell>
          <cell r="D27">
            <v>24687</v>
          </cell>
          <cell r="E27">
            <v>8290.5</v>
          </cell>
          <cell r="G27">
            <v>43182.5</v>
          </cell>
        </row>
        <row r="28">
          <cell r="A28" t="str">
            <v>4.Volga</v>
          </cell>
          <cell r="B28" t="str">
            <v>Дудников Сергей</v>
          </cell>
          <cell r="C28">
            <v>4040</v>
          </cell>
          <cell r="D28">
            <v>44058</v>
          </cell>
          <cell r="E28">
            <v>5652</v>
          </cell>
          <cell r="G28">
            <v>53750</v>
          </cell>
        </row>
        <row r="29">
          <cell r="A29" t="str">
            <v>4.Volga Total</v>
          </cell>
          <cell r="B29" t="str">
            <v>Дудников Сергей</v>
          </cell>
          <cell r="C29">
            <v>4040</v>
          </cell>
          <cell r="D29">
            <v>44058</v>
          </cell>
          <cell r="E29">
            <v>5652</v>
          </cell>
          <cell r="G29">
            <v>53750</v>
          </cell>
        </row>
        <row r="30">
          <cell r="A30" t="str">
            <v>5.Southern Region</v>
          </cell>
          <cell r="B30" t="str">
            <v>Дудников Сергей</v>
          </cell>
          <cell r="C30">
            <v>3584</v>
          </cell>
          <cell r="D30">
            <v>67187</v>
          </cell>
          <cell r="E30">
            <v>11748</v>
          </cell>
          <cell r="G30">
            <v>82519</v>
          </cell>
        </row>
        <row r="31">
          <cell r="A31" t="str">
            <v>5.Southern Region Total</v>
          </cell>
          <cell r="B31" t="str">
            <v>Дудников Сергей</v>
          </cell>
          <cell r="C31">
            <v>3584</v>
          </cell>
          <cell r="D31">
            <v>67187</v>
          </cell>
          <cell r="E31">
            <v>11748</v>
          </cell>
          <cell r="G31">
            <v>82519</v>
          </cell>
        </row>
        <row r="32">
          <cell r="A32" t="str">
            <v>6.Ural</v>
          </cell>
          <cell r="B32" t="str">
            <v>Дудников Сергей</v>
          </cell>
          <cell r="C32">
            <v>4416</v>
          </cell>
          <cell r="D32">
            <v>40216</v>
          </cell>
          <cell r="E32">
            <v>8460</v>
          </cell>
          <cell r="G32">
            <v>53092</v>
          </cell>
        </row>
        <row r="33">
          <cell r="A33" t="str">
            <v>6.Ural Total</v>
          </cell>
          <cell r="B33" t="str">
            <v>Дудников Сергей</v>
          </cell>
          <cell r="C33">
            <v>4416</v>
          </cell>
          <cell r="D33">
            <v>40216</v>
          </cell>
          <cell r="E33">
            <v>8460</v>
          </cell>
          <cell r="G33">
            <v>53092</v>
          </cell>
        </row>
        <row r="34">
          <cell r="A34" t="str">
            <v>7.Siberia</v>
          </cell>
          <cell r="B34" t="str">
            <v>Дудников Сергей</v>
          </cell>
          <cell r="C34">
            <v>1518</v>
          </cell>
          <cell r="D34">
            <v>21381</v>
          </cell>
          <cell r="E34">
            <v>5733</v>
          </cell>
          <cell r="G34">
            <v>28632</v>
          </cell>
        </row>
        <row r="35">
          <cell r="A35" t="str">
            <v>7.Siberia Total</v>
          </cell>
          <cell r="B35" t="str">
            <v>Дудников Сергей</v>
          </cell>
          <cell r="C35">
            <v>1518</v>
          </cell>
          <cell r="D35">
            <v>21381</v>
          </cell>
          <cell r="E35">
            <v>5733</v>
          </cell>
          <cell r="G35">
            <v>28632</v>
          </cell>
        </row>
        <row r="36">
          <cell r="A36" t="str">
            <v>8.Kaliningrad</v>
          </cell>
          <cell r="B36" t="str">
            <v>Дудников Сергей</v>
          </cell>
          <cell r="C36">
            <v>2125</v>
          </cell>
          <cell r="D36">
            <v>8579</v>
          </cell>
          <cell r="E36">
            <v>1578</v>
          </cell>
          <cell r="G36">
            <v>12282</v>
          </cell>
        </row>
        <row r="37">
          <cell r="A37" t="str">
            <v>8.Kaliningrad Total</v>
          </cell>
          <cell r="B37" t="str">
            <v>Дудников Сергей</v>
          </cell>
          <cell r="C37">
            <v>2125</v>
          </cell>
          <cell r="D37">
            <v>8579</v>
          </cell>
          <cell r="E37">
            <v>1578</v>
          </cell>
          <cell r="G37">
            <v>12282</v>
          </cell>
        </row>
        <row r="38">
          <cell r="A38" t="str">
            <v>9.Belorussia</v>
          </cell>
          <cell r="B38" t="str">
            <v>Дудников Сергей</v>
          </cell>
          <cell r="C38">
            <v>4</v>
          </cell>
          <cell r="D38">
            <v>13512</v>
          </cell>
          <cell r="E38">
            <v>7835</v>
          </cell>
          <cell r="G38">
            <v>21347</v>
          </cell>
        </row>
        <row r="39">
          <cell r="A39" t="str">
            <v>9.Belorussia Total</v>
          </cell>
          <cell r="B39" t="str">
            <v>(blank)</v>
          </cell>
          <cell r="C39">
            <v>4</v>
          </cell>
          <cell r="D39">
            <v>13512</v>
          </cell>
          <cell r="E39">
            <v>7835</v>
          </cell>
          <cell r="G39">
            <v>21347</v>
          </cell>
        </row>
        <row r="40">
          <cell r="A40" t="str">
            <v>(blank)</v>
          </cell>
          <cell r="B40" t="str">
            <v>(blank)</v>
          </cell>
          <cell r="C40">
            <v>82104</v>
          </cell>
          <cell r="D40">
            <v>481911.9</v>
          </cell>
          <cell r="E40">
            <v>105054.5</v>
          </cell>
          <cell r="G40">
            <v>669070.4</v>
          </cell>
        </row>
        <row r="41">
          <cell r="A41" t="str">
            <v>(blank) Total</v>
          </cell>
          <cell r="C41">
            <v>18171.5</v>
          </cell>
          <cell r="D41">
            <v>78842</v>
          </cell>
          <cell r="E41">
            <v>15073.5</v>
          </cell>
          <cell r="G41">
            <v>112087</v>
          </cell>
        </row>
        <row r="42">
          <cell r="A42" t="str">
            <v>Grand Total</v>
          </cell>
          <cell r="C42">
            <v>55736.5</v>
          </cell>
          <cell r="D42">
            <v>343365</v>
          </cell>
          <cell r="E42">
            <v>86062.125</v>
          </cell>
          <cell r="G42">
            <v>485163.625</v>
          </cell>
        </row>
        <row r="44">
          <cell r="A44" t="str">
            <v>Total Dudnikov</v>
          </cell>
          <cell r="C44">
            <v>136625.5</v>
          </cell>
          <cell r="D44">
            <v>636946.5</v>
          </cell>
          <cell r="E44">
            <v>178022.5</v>
          </cell>
          <cell r="F4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lide"/>
      <sheetName val="SOTM_Graphs_1"/>
      <sheetName val="SOTM_Graphs_2"/>
      <sheetName val="Data"/>
      <sheetName val="Input_Slide"/>
      <sheetName val="Input_Slide1"/>
      <sheetName val="Input_Slide2"/>
      <sheetName val="Input_Slide3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PL1"/>
      <sheetName val="PL"/>
      <sheetName val="Data"/>
      <sheetName val="Instruction"/>
      <sheetName val="Summary"/>
      <sheetName val="Sum"/>
      <sheetName val="Sales"/>
      <sheetName val="T&amp;E_Local 11"/>
      <sheetName val="T&amp;E_Oversea 11"/>
      <sheetName val="T&amp;E_Local 10"/>
      <sheetName val="T&amp;E_Oversea 10"/>
      <sheetName val="CarInsur"/>
      <sheetName val="Temp"/>
      <sheetName val="T&amp;E_Local_11"/>
      <sheetName val="T&amp;E_Oversea_11"/>
      <sheetName val="T&amp;E_Local_10"/>
      <sheetName val="T&amp;E_Oversea_10"/>
      <sheetName val="T&amp;E_Local_111"/>
      <sheetName val="T&amp;E_Oversea_111"/>
      <sheetName val="T&amp;E_Local_101"/>
      <sheetName val="T&amp;E_Oversea_101"/>
      <sheetName val="T&amp;E_Local_112"/>
      <sheetName val="T&amp;E_Oversea_112"/>
      <sheetName val="T&amp;E_Local_102"/>
      <sheetName val="T&amp;E_Oversea_1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FLUS QTD-FINAL"/>
      <sheetName val="SALES FLUS QTD"/>
      <sheetName val="LBS FLUS QTD-FINAL"/>
      <sheetName val="LBS FLUS QTD"/>
      <sheetName val="PIVOT"/>
      <sheetName val="Sheet1"/>
      <sheetName val="MDandM_summary_data"/>
      <sheetName val="Baked PIVOT"/>
      <sheetName val="MDand_A_summary_data_for_Bkd"/>
      <sheetName val="SALES_FLUS_QTD-FINAL"/>
      <sheetName val="SALES_FLUS_QTD"/>
      <sheetName val="LBS_FLUS_QTD-FINAL"/>
      <sheetName val="LBS_FLUS_QTD"/>
      <sheetName val="Baked_PIVOT"/>
      <sheetName val="SALES_FLUS_QTD-FINAL1"/>
      <sheetName val="SALES_FLUS_QTD1"/>
      <sheetName val="LBS_FLUS_QTD-FINAL1"/>
      <sheetName val="LBS_FLUS_QTD1"/>
      <sheetName val="Baked_PIVOT1"/>
      <sheetName val="SALES_FLUS_QTD-FINAL2"/>
      <sheetName val="SALES_FLUS_QTD2"/>
      <sheetName val="LBS_FLUS_QTD-FINAL2"/>
      <sheetName val="LBS_FLUS_QTD2"/>
      <sheetName val="Baked_PIVO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pton P&amp;L EURO"/>
      <sheetName val="Lipton P&amp;L $"/>
      <sheetName val="Lipton P&amp;L (EGP)"/>
      <sheetName val="PnL Comp."/>
      <sheetName val="Schadule"/>
      <sheetName val="Pricing"/>
      <sheetName val=" COGS"/>
      <sheetName val="Concentrate"/>
      <sheetName val="COSTS"/>
      <sheetName val="Lipton_P&amp;L_EURO"/>
      <sheetName val="Lipton_P&amp;L_$"/>
      <sheetName val="Lipton_P&amp;L_(EGP)"/>
      <sheetName val="PnL_Comp_"/>
      <sheetName val="_COGS"/>
      <sheetName val="Lipton_P&amp;L_EURO1"/>
      <sheetName val="Lipton_P&amp;L_$1"/>
      <sheetName val="Lipton_P&amp;L_(EGP)1"/>
      <sheetName val="PnL_Comp_1"/>
      <sheetName val="_COGS1"/>
      <sheetName val="Lipton_P&amp;L_EURO2"/>
      <sheetName val="Lipton_P&amp;L_$2"/>
      <sheetName val="Lipton_P&amp;L_(EGP)2"/>
      <sheetName val="PnL_Comp_2"/>
      <sheetName val="_COG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DF"/>
      <sheetName val="TRIAL_BAL"/>
      <sheetName val="SVDCs"/>
      <sheetName val="Input Slide"/>
      <sheetName val="Input_Slide"/>
      <sheetName val="Input_Slide1"/>
      <sheetName val="Input_Slid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river"/>
      <sheetName val="Index"/>
      <sheetName val="A1 Macros"/>
      <sheetName val="A2 Salty Mkt"/>
      <sheetName val="A3 Macro Mkt"/>
      <sheetName val="A4 Volume"/>
      <sheetName val="A5 Innovation"/>
      <sheetName val="B1 P&amp;L LC"/>
      <sheetName val="B2 P&amp;L USD"/>
      <sheetName val="B3 P&amp;L Quarter"/>
      <sheetName val="B4 P&amp;L BSeg"/>
      <sheetName val="B5 BS"/>
      <sheetName val="B6 OCF"/>
      <sheetName val="B7 Algorithm"/>
      <sheetName val="C1 Capex"/>
      <sheetName val="C2 G&amp;A"/>
      <sheetName val="C3 A&amp;M"/>
      <sheetName val="C4 Cost"/>
      <sheetName val="C5 Q Synergies"/>
      <sheetName val="Forex"/>
      <sheetName val="Entities"/>
      <sheetName val="Hyperion"/>
      <sheetName val="Sheet1"/>
      <sheetName val="AOP-JUNE FCST"/>
      <sheetName val="A1_Macros"/>
      <sheetName val="A2_Salty_Mkt"/>
      <sheetName val="A3_Macro_Mkt"/>
      <sheetName val="A4_Volume"/>
      <sheetName val="A5_Innovation"/>
      <sheetName val="B1_P&amp;L_LC"/>
      <sheetName val="B2_P&amp;L_USD"/>
      <sheetName val="B3_P&amp;L_Quarter"/>
      <sheetName val="B4_P&amp;L_BSeg"/>
      <sheetName val="B5_BS"/>
      <sheetName val="B6_OCF"/>
      <sheetName val="B7_Algorithm"/>
      <sheetName val="C1_Capex"/>
      <sheetName val="C2_G&amp;A"/>
      <sheetName val="C3_A&amp;M"/>
      <sheetName val="C4_Cost"/>
      <sheetName val="C5_Q_Synergies"/>
      <sheetName val="AOP-JUNE_FCST"/>
      <sheetName val="A1_Macros1"/>
      <sheetName val="A2_Salty_Mkt1"/>
      <sheetName val="A3_Macro_Mkt1"/>
      <sheetName val="A4_Volume1"/>
      <sheetName val="A5_Innovation1"/>
      <sheetName val="B1_P&amp;L_LC1"/>
      <sheetName val="B2_P&amp;L_USD1"/>
      <sheetName val="B3_P&amp;L_Quarter1"/>
      <sheetName val="B4_P&amp;L_BSeg1"/>
      <sheetName val="B5_BS1"/>
      <sheetName val="B6_OCF1"/>
      <sheetName val="B7_Algorithm1"/>
      <sheetName val="C1_Capex1"/>
      <sheetName val="C2_G&amp;A1"/>
      <sheetName val="C3_A&amp;M1"/>
      <sheetName val="C4_Cost1"/>
      <sheetName val="C5_Q_Synergies1"/>
      <sheetName val="AOP-JUNE_FCST1"/>
      <sheetName val="A1_Macros2"/>
      <sheetName val="A2_Salty_Mkt2"/>
      <sheetName val="A3_Macro_Mkt2"/>
      <sheetName val="A4_Volume2"/>
      <sheetName val="A5_Innovation2"/>
      <sheetName val="B1_P&amp;L_LC2"/>
      <sheetName val="B2_P&amp;L_USD2"/>
      <sheetName val="B3_P&amp;L_Quarter2"/>
      <sheetName val="B4_P&amp;L_BSeg2"/>
      <sheetName val="B5_BS2"/>
      <sheetName val="B6_OCF2"/>
      <sheetName val="B7_Algorithm2"/>
      <sheetName val="C1_Capex2"/>
      <sheetName val="C2_G&amp;A2"/>
      <sheetName val="C3_A&amp;M2"/>
      <sheetName val="C4_Cost2"/>
      <sheetName val="C5_Q_Synergies2"/>
      <sheetName val="AOP-JUNE_FCST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P"/>
      <sheetName val="Dep_Analysis"/>
      <sheetName val="Existing Bal"/>
      <sheetName val="FA Disposal 01"/>
      <sheetName val="GS Disposal 01"/>
      <sheetName val="Existing Bal vision"/>
      <sheetName val="Dis_IBC"/>
      <sheetName val="Dis_Hanoi"/>
      <sheetName val="Dis_Danang"/>
      <sheetName val="Dis_Cantho"/>
      <sheetName val="Dis_HCMC"/>
      <sheetName val="Dis_HCMP"/>
      <sheetName val="Dis_Kydong"/>
      <sheetName val="Dis_Hocmon"/>
      <sheetName val="Cpx_IBC"/>
      <sheetName val="Cpx_Hanoi"/>
      <sheetName val="Cpx_Danang"/>
      <sheetName val="Cpx_Cantho"/>
      <sheetName val="Cpx_HCMC"/>
      <sheetName val="Cpx_HCMP"/>
      <sheetName val="Cpx_Hocmon"/>
      <sheetName val="Cpx_Kydong"/>
      <sheetName val="Dep_IBC"/>
      <sheetName val="Dep_Hanoi"/>
      <sheetName val="Dep_Danang"/>
      <sheetName val="Dep_Cantho"/>
      <sheetName val="Dep_HCMC"/>
      <sheetName val="Dep_HCMP"/>
      <sheetName val="Dep_Hocmon"/>
      <sheetName val="Dep_Kydong"/>
      <sheetName val="Palet"/>
      <sheetName val="Palet_Hocmon"/>
      <sheetName val="Pallet_Danang"/>
      <sheetName val="Sheet1"/>
      <sheetName val="Entities"/>
      <sheetName val="Stocks"/>
      <sheetName val="Existing_Bal"/>
      <sheetName val="FA_Disposal_01"/>
      <sheetName val="GS_Disposal_01"/>
      <sheetName val="Existing_Bal_vision"/>
      <sheetName val="Existing_Bal1"/>
      <sheetName val="FA_Disposal_011"/>
      <sheetName val="GS_Disposal_011"/>
      <sheetName val="Existing_Bal_vision1"/>
      <sheetName val="Existing_Bal2"/>
      <sheetName val="FA_Disposal_012"/>
      <sheetName val="GS_Disposal_012"/>
      <sheetName val="Existing_Bal_vision2"/>
      <sheetName val="Existing_Bal3"/>
      <sheetName val="FA_Disposal_013"/>
      <sheetName val="GS_Disposal_013"/>
      <sheetName val="Existing_Bal_vision3"/>
      <sheetName val="Existing_Bal4"/>
      <sheetName val="FA_Disposal_014"/>
      <sheetName val="GS_Disposal_014"/>
      <sheetName val="Existing_Bal_vision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 nfcst_py"/>
      <sheetName val="vfcst_ py"/>
      <sheetName val="rfcst_py"/>
      <sheetName val="afcst_py "/>
      <sheetName val=" nfcst_pln"/>
      <sheetName val="vfcst_pln"/>
      <sheetName val="rfcst_pln"/>
      <sheetName val="afcst_pln"/>
      <sheetName val="cfcst_pln"/>
      <sheetName val="sfcst"/>
      <sheetName val="div"/>
      <sheetName val="_nfcst_py"/>
      <sheetName val="Internal"/>
      <sheetName val="Comp data"/>
      <sheetName val="ASP"/>
      <sheetName val="Stocks"/>
      <sheetName val="_nfcst_py1"/>
      <sheetName val="vfcst__py"/>
      <sheetName val="afcst_py_"/>
      <sheetName val="_nfcst_pln"/>
      <sheetName val="Comp_data"/>
      <sheetName val="_nfcst_py2"/>
      <sheetName val="vfcst__py1"/>
      <sheetName val="afcst_py_1"/>
      <sheetName val="_nfcst_pln1"/>
      <sheetName val="Comp_data1"/>
      <sheetName val="_nfcst_py3"/>
      <sheetName val="vfcst__py2"/>
      <sheetName val="afcst_py_2"/>
      <sheetName val="_nfcst_pln2"/>
      <sheetName val="Comp_dat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ed"/>
      <sheetName val="yield"/>
      <sheetName val="strategy"/>
      <sheetName val="DO weight"/>
      <sheetName val="calc for pnt"/>
      <sheetName val="CF_LY"/>
      <sheetName val="Price"/>
      <sheetName val="Price Exc_CR"/>
      <sheetName val="Prdt"/>
      <sheetName val="Price Assumption"/>
      <sheetName val="Route"/>
      <sheetName val="update"/>
      <sheetName val="Price VS Route"/>
      <sheetName val="Price VS Route Flow"/>
      <sheetName val="DO_weight"/>
      <sheetName val="calc_for_pnt"/>
      <sheetName val="Price_Exc_CR"/>
      <sheetName val="Price_Assumption"/>
      <sheetName val="Price_VS_Route"/>
      <sheetName val="Price_VS_Route_Flow"/>
      <sheetName val="CHECK"/>
      <sheetName val="Lookup"/>
      <sheetName val="LoadAccyByWk"/>
      <sheetName val="PackAvailByWk"/>
      <sheetName val="Data"/>
      <sheetName val="Forex"/>
      <sheetName val="Sale"/>
      <sheetName val="Vol"/>
      <sheetName val="DMRDFL9808"/>
      <sheetName val="DO_weight1"/>
      <sheetName val="calc_for_pnt1"/>
      <sheetName val="Price_Exc_CR1"/>
      <sheetName val="Price_Assumption1"/>
      <sheetName val="Price_VS_Route1"/>
      <sheetName val="Price_VS_Route_Flow1"/>
      <sheetName val="DO_weight2"/>
      <sheetName val="calc_for_pnt2"/>
      <sheetName val="Price_Exc_CR2"/>
      <sheetName val="Price_Assumption2"/>
      <sheetName val="Price_VS_Route2"/>
      <sheetName val="Price_VS_Route_Flow2"/>
      <sheetName val="DO_weight3"/>
      <sheetName val="calc_for_pnt3"/>
      <sheetName val="Price_Exc_CR3"/>
      <sheetName val="Price_Assumption3"/>
      <sheetName val="Price_VS_Route3"/>
      <sheetName val="Price_VS_Route_Flow3"/>
    </sheetNames>
    <sheetDataSet>
      <sheetData sheetId="0" refreshError="1">
        <row r="11">
          <cell r="A11" t="str">
            <v xml:space="preserve">   Trad. Chieng Mai - 1</v>
          </cell>
          <cell r="C11">
            <v>725</v>
          </cell>
          <cell r="D11">
            <v>100</v>
          </cell>
          <cell r="E11">
            <v>7250</v>
          </cell>
          <cell r="F11">
            <v>50</v>
          </cell>
          <cell r="G11">
            <v>1900</v>
          </cell>
          <cell r="H11">
            <v>5300</v>
          </cell>
        </row>
        <row r="12">
          <cell r="A12" t="str">
            <v xml:space="preserve">   Trad. Chieng Mai - 2</v>
          </cell>
          <cell r="C12">
            <v>157.5</v>
          </cell>
          <cell r="D12">
            <v>150</v>
          </cell>
          <cell r="E12">
            <v>1050</v>
          </cell>
          <cell r="G12">
            <v>350</v>
          </cell>
          <cell r="H12">
            <v>700</v>
          </cell>
        </row>
        <row r="13">
          <cell r="A13" t="str">
            <v xml:space="preserve">   Trad. Fang - 1</v>
          </cell>
          <cell r="C13">
            <v>230</v>
          </cell>
          <cell r="D13">
            <v>100</v>
          </cell>
          <cell r="E13">
            <v>2300</v>
          </cell>
          <cell r="G13">
            <v>1150</v>
          </cell>
          <cell r="H13">
            <v>1150</v>
          </cell>
        </row>
        <row r="14">
          <cell r="A14" t="str">
            <v xml:space="preserve">   Trad. Fang - 2</v>
          </cell>
          <cell r="C14">
            <v>30</v>
          </cell>
          <cell r="D14">
            <v>150</v>
          </cell>
          <cell r="E14">
            <v>200</v>
          </cell>
          <cell r="H14">
            <v>200</v>
          </cell>
        </row>
        <row r="15">
          <cell r="A15" t="str">
            <v xml:space="preserve">   Trad. Mae Sot</v>
          </cell>
          <cell r="C15">
            <v>560</v>
          </cell>
          <cell r="D15">
            <v>200</v>
          </cell>
          <cell r="E15">
            <v>2800</v>
          </cell>
          <cell r="F15">
            <v>100</v>
          </cell>
          <cell r="G15">
            <v>300</v>
          </cell>
          <cell r="H15">
            <v>1100</v>
          </cell>
          <cell r="I15">
            <v>1300</v>
          </cell>
        </row>
        <row r="16">
          <cell r="A16" t="str">
            <v xml:space="preserve">   New Area Traditional</v>
          </cell>
          <cell r="C16">
            <v>20</v>
          </cell>
          <cell r="D16">
            <v>100</v>
          </cell>
          <cell r="E16">
            <v>200</v>
          </cell>
          <cell r="H16">
            <v>200</v>
          </cell>
        </row>
        <row r="17">
          <cell r="A17" t="str">
            <v xml:space="preserve">   Mech. Fang</v>
          </cell>
          <cell r="C17">
            <v>244</v>
          </cell>
          <cell r="D17">
            <v>400</v>
          </cell>
          <cell r="E17">
            <v>610</v>
          </cell>
          <cell r="G17">
            <v>310</v>
          </cell>
          <cell r="H17">
            <v>300</v>
          </cell>
        </row>
        <row r="18">
          <cell r="A18" t="str">
            <v xml:space="preserve">   Mech. Mae Sot</v>
          </cell>
          <cell r="C18">
            <v>465.6</v>
          </cell>
          <cell r="D18">
            <v>400</v>
          </cell>
          <cell r="E18">
            <v>1164</v>
          </cell>
          <cell r="G18">
            <v>380</v>
          </cell>
          <cell r="H18">
            <v>784</v>
          </cell>
        </row>
        <row r="19">
          <cell r="A19" t="str">
            <v xml:space="preserve">   Thai Agro Tech</v>
          </cell>
          <cell r="C19">
            <v>120</v>
          </cell>
          <cell r="D19">
            <v>400</v>
          </cell>
          <cell r="E19">
            <v>300</v>
          </cell>
          <cell r="G19">
            <v>150</v>
          </cell>
          <cell r="H19">
            <v>150</v>
          </cell>
        </row>
        <row r="20">
          <cell r="A20" t="str">
            <v xml:space="preserve">   Sun Orchid</v>
          </cell>
          <cell r="C20">
            <v>80</v>
          </cell>
          <cell r="D20">
            <v>400</v>
          </cell>
          <cell r="E20">
            <v>200</v>
          </cell>
          <cell r="G20">
            <v>200</v>
          </cell>
        </row>
        <row r="21">
          <cell r="A21" t="str">
            <v xml:space="preserve">   New Area Mechanize</v>
          </cell>
          <cell r="C21">
            <v>120</v>
          </cell>
          <cell r="D21">
            <v>400</v>
          </cell>
          <cell r="E21">
            <v>300</v>
          </cell>
          <cell r="H21">
            <v>300</v>
          </cell>
        </row>
        <row r="22">
          <cell r="B22" t="str">
            <v>Total</v>
          </cell>
          <cell r="C22">
            <v>2752.1</v>
          </cell>
          <cell r="E22">
            <v>16374</v>
          </cell>
          <cell r="F22">
            <v>150</v>
          </cell>
          <cell r="G22">
            <v>4740</v>
          </cell>
          <cell r="H22">
            <v>10184</v>
          </cell>
          <cell r="I22">
            <v>1300</v>
          </cell>
        </row>
      </sheetData>
      <sheetData sheetId="1" refreshError="1"/>
      <sheetData sheetId="2" refreshError="1"/>
      <sheetData sheetId="3" refreshError="1">
        <row r="5">
          <cell r="A5" t="str">
            <v>Planting (rais)</v>
          </cell>
          <cell r="B5" t="str">
            <v>Seed (kg/rai)</v>
          </cell>
          <cell r="C5" t="str">
            <v>Yield (tons/rai)</v>
          </cell>
          <cell r="E5">
            <v>37165</v>
          </cell>
          <cell r="F5">
            <v>37196</v>
          </cell>
          <cell r="G5">
            <v>37226</v>
          </cell>
          <cell r="H5">
            <v>37257</v>
          </cell>
          <cell r="I5">
            <v>37288</v>
          </cell>
          <cell r="J5">
            <v>37316</v>
          </cell>
          <cell r="K5">
            <v>37347</v>
          </cell>
          <cell r="L5">
            <v>37377</v>
          </cell>
          <cell r="M5">
            <v>37408</v>
          </cell>
          <cell r="N5">
            <v>37438</v>
          </cell>
          <cell r="O5">
            <v>37469</v>
          </cell>
          <cell r="P5">
            <v>37500</v>
          </cell>
          <cell r="Q5" t="str">
            <v>Total</v>
          </cell>
        </row>
        <row r="6">
          <cell r="A6" t="str">
            <v>Tradition Farm</v>
          </cell>
        </row>
        <row r="7">
          <cell r="A7" t="str">
            <v xml:space="preserve">   Trad. Chieng Mai - 1</v>
          </cell>
          <cell r="B7">
            <v>100</v>
          </cell>
          <cell r="C7">
            <v>1.3</v>
          </cell>
          <cell r="E7">
            <v>50</v>
          </cell>
          <cell r="F7">
            <v>1900</v>
          </cell>
          <cell r="G7">
            <v>5300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7250</v>
          </cell>
        </row>
        <row r="8">
          <cell r="A8" t="str">
            <v xml:space="preserve">   Trad. Chieng Mai - 2</v>
          </cell>
          <cell r="B8">
            <v>150</v>
          </cell>
          <cell r="C8">
            <v>1.7</v>
          </cell>
          <cell r="E8">
            <v>0</v>
          </cell>
          <cell r="F8">
            <v>350</v>
          </cell>
          <cell r="G8">
            <v>700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1050</v>
          </cell>
        </row>
        <row r="9">
          <cell r="A9" t="str">
            <v xml:space="preserve">   Trad. Fang - 1</v>
          </cell>
          <cell r="B9">
            <v>100</v>
          </cell>
          <cell r="C9">
            <v>1.3</v>
          </cell>
          <cell r="E9">
            <v>0</v>
          </cell>
          <cell r="F9">
            <v>1150</v>
          </cell>
          <cell r="G9">
            <v>1150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2300</v>
          </cell>
        </row>
        <row r="10">
          <cell r="A10" t="str">
            <v xml:space="preserve">   Trad. Fang - 2</v>
          </cell>
          <cell r="B10">
            <v>150</v>
          </cell>
          <cell r="C10">
            <v>1.7</v>
          </cell>
          <cell r="E10">
            <v>0</v>
          </cell>
          <cell r="F10">
            <v>0</v>
          </cell>
          <cell r="G10">
            <v>200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200</v>
          </cell>
        </row>
        <row r="11">
          <cell r="A11" t="str">
            <v xml:space="preserve">   Trad. Mae Sot</v>
          </cell>
          <cell r="B11">
            <v>200</v>
          </cell>
          <cell r="C11">
            <v>1.6</v>
          </cell>
          <cell r="E11">
            <v>100</v>
          </cell>
          <cell r="F11">
            <v>300</v>
          </cell>
          <cell r="G11">
            <v>1100</v>
          </cell>
          <cell r="H11">
            <v>1300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2800</v>
          </cell>
        </row>
        <row r="12">
          <cell r="A12" t="str">
            <v xml:space="preserve">   New Area Traditional</v>
          </cell>
          <cell r="B12">
            <v>100</v>
          </cell>
          <cell r="C12">
            <v>1.3</v>
          </cell>
          <cell r="E12">
            <v>0</v>
          </cell>
          <cell r="F12">
            <v>0</v>
          </cell>
          <cell r="G12">
            <v>200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200</v>
          </cell>
        </row>
        <row r="13"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</row>
        <row r="14">
          <cell r="A14" t="str">
            <v>Mechanized</v>
          </cell>
        </row>
        <row r="15">
          <cell r="A15" t="str">
            <v xml:space="preserve">   Mech. Fang</v>
          </cell>
          <cell r="B15">
            <v>400</v>
          </cell>
          <cell r="C15">
            <v>2.1</v>
          </cell>
          <cell r="E15">
            <v>0</v>
          </cell>
          <cell r="F15">
            <v>310</v>
          </cell>
          <cell r="G15">
            <v>300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610</v>
          </cell>
        </row>
        <row r="16">
          <cell r="A16" t="str">
            <v xml:space="preserve">   Mech. Mae Sot</v>
          </cell>
          <cell r="B16">
            <v>400</v>
          </cell>
          <cell r="C16">
            <v>2.1</v>
          </cell>
          <cell r="E16">
            <v>0</v>
          </cell>
          <cell r="F16">
            <v>380</v>
          </cell>
          <cell r="G16">
            <v>784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1164</v>
          </cell>
        </row>
        <row r="17">
          <cell r="A17" t="str">
            <v xml:space="preserve">   Thai Agro Tech</v>
          </cell>
          <cell r="B17">
            <v>400</v>
          </cell>
          <cell r="C17">
            <v>2.1</v>
          </cell>
          <cell r="E17">
            <v>0</v>
          </cell>
          <cell r="F17">
            <v>150</v>
          </cell>
          <cell r="G17">
            <v>150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300</v>
          </cell>
        </row>
        <row r="18">
          <cell r="A18" t="str">
            <v xml:space="preserve">   Sun Orchid</v>
          </cell>
          <cell r="B18">
            <v>400</v>
          </cell>
          <cell r="C18">
            <v>2.1</v>
          </cell>
          <cell r="E18">
            <v>0</v>
          </cell>
          <cell r="F18">
            <v>200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200</v>
          </cell>
        </row>
        <row r="19">
          <cell r="A19" t="str">
            <v xml:space="preserve">   New Area Mechanize</v>
          </cell>
          <cell r="B19">
            <v>400</v>
          </cell>
          <cell r="C19">
            <v>2.1</v>
          </cell>
          <cell r="E19">
            <v>0</v>
          </cell>
          <cell r="F19">
            <v>0</v>
          </cell>
          <cell r="G19">
            <v>300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300</v>
          </cell>
        </row>
        <row r="21">
          <cell r="A21" t="str">
            <v>Total FLT</v>
          </cell>
          <cell r="E21">
            <v>150</v>
          </cell>
          <cell r="F21">
            <v>4740</v>
          </cell>
          <cell r="G21">
            <v>10184</v>
          </cell>
          <cell r="H21">
            <v>1300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16374</v>
          </cell>
        </row>
        <row r="23">
          <cell r="A23" t="str">
            <v xml:space="preserve">   Tech Thai</v>
          </cell>
          <cell r="B23">
            <v>460</v>
          </cell>
          <cell r="C23">
            <v>2.8</v>
          </cell>
          <cell r="E23">
            <v>630</v>
          </cell>
          <cell r="F23">
            <v>1464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2094</v>
          </cell>
        </row>
        <row r="25">
          <cell r="A25" t="str">
            <v>Grand Total</v>
          </cell>
          <cell r="E25">
            <v>780</v>
          </cell>
          <cell r="F25">
            <v>6204</v>
          </cell>
          <cell r="G25">
            <v>10184</v>
          </cell>
          <cell r="H25">
            <v>1300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18468</v>
          </cell>
        </row>
        <row r="28">
          <cell r="A28" t="str">
            <v>Harvest (tons)</v>
          </cell>
          <cell r="B28" t="str">
            <v>Seed (kg/rai)</v>
          </cell>
          <cell r="C28" t="str">
            <v>Yield (tons/rai)</v>
          </cell>
          <cell r="E28">
            <v>37257</v>
          </cell>
          <cell r="F28">
            <v>37288</v>
          </cell>
          <cell r="G28">
            <v>37316</v>
          </cell>
          <cell r="H28">
            <v>37347</v>
          </cell>
          <cell r="I28">
            <v>37377</v>
          </cell>
          <cell r="J28">
            <v>37408</v>
          </cell>
          <cell r="K28">
            <v>37438</v>
          </cell>
          <cell r="L28">
            <v>37469</v>
          </cell>
          <cell r="M28">
            <v>37500</v>
          </cell>
          <cell r="N28">
            <v>37530</v>
          </cell>
          <cell r="O28">
            <v>37561</v>
          </cell>
          <cell r="P28">
            <v>37591</v>
          </cell>
          <cell r="Q28" t="str">
            <v>Total</v>
          </cell>
        </row>
        <row r="29">
          <cell r="A29" t="str">
            <v>Tradition Farm</v>
          </cell>
        </row>
        <row r="30">
          <cell r="A30" t="str">
            <v xml:space="preserve">   Trad. Chieng Mai - 1</v>
          </cell>
          <cell r="B30">
            <v>100</v>
          </cell>
          <cell r="C30">
            <v>1.3</v>
          </cell>
          <cell r="E30">
            <v>65</v>
          </cell>
          <cell r="F30">
            <v>2470</v>
          </cell>
          <cell r="G30">
            <v>6890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9425</v>
          </cell>
        </row>
        <row r="31">
          <cell r="A31" t="str">
            <v xml:space="preserve">   Trad. Chieng Mai - 2</v>
          </cell>
          <cell r="B31">
            <v>150</v>
          </cell>
          <cell r="C31">
            <v>1.7</v>
          </cell>
          <cell r="E31">
            <v>0</v>
          </cell>
          <cell r="F31">
            <v>595</v>
          </cell>
          <cell r="G31">
            <v>1190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1785</v>
          </cell>
        </row>
        <row r="32">
          <cell r="A32" t="str">
            <v xml:space="preserve">   Trad. Fang - 1</v>
          </cell>
          <cell r="B32">
            <v>100</v>
          </cell>
          <cell r="C32">
            <v>1.3</v>
          </cell>
          <cell r="E32">
            <v>0</v>
          </cell>
          <cell r="F32">
            <v>1495</v>
          </cell>
          <cell r="G32">
            <v>1495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2990</v>
          </cell>
        </row>
        <row r="33">
          <cell r="A33" t="str">
            <v xml:space="preserve">   Trad. Fang - 2</v>
          </cell>
          <cell r="B33">
            <v>150</v>
          </cell>
          <cell r="C33">
            <v>1.7</v>
          </cell>
          <cell r="E33">
            <v>0</v>
          </cell>
          <cell r="F33">
            <v>0</v>
          </cell>
          <cell r="G33">
            <v>340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340</v>
          </cell>
        </row>
        <row r="34">
          <cell r="A34" t="str">
            <v xml:space="preserve">   Trad. Mae Sot</v>
          </cell>
          <cell r="B34">
            <v>200</v>
          </cell>
          <cell r="C34">
            <v>1.6</v>
          </cell>
          <cell r="E34">
            <v>160</v>
          </cell>
          <cell r="F34">
            <v>480</v>
          </cell>
          <cell r="G34">
            <v>1760</v>
          </cell>
          <cell r="H34">
            <v>2080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4480</v>
          </cell>
        </row>
        <row r="35">
          <cell r="A35" t="str">
            <v xml:space="preserve">   New Area Traditional</v>
          </cell>
          <cell r="B35">
            <v>100</v>
          </cell>
          <cell r="C35">
            <v>1.3</v>
          </cell>
          <cell r="E35">
            <v>0</v>
          </cell>
          <cell r="F35">
            <v>0</v>
          </cell>
          <cell r="G35">
            <v>260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260</v>
          </cell>
        </row>
        <row r="36">
          <cell r="Q36">
            <v>0</v>
          </cell>
        </row>
        <row r="37">
          <cell r="A37" t="str">
            <v>Mechanized</v>
          </cell>
        </row>
        <row r="38">
          <cell r="A38" t="str">
            <v xml:space="preserve">   Mech. Fang</v>
          </cell>
          <cell r="B38">
            <v>400</v>
          </cell>
          <cell r="C38">
            <v>2.1</v>
          </cell>
          <cell r="E38">
            <v>0</v>
          </cell>
          <cell r="F38">
            <v>651</v>
          </cell>
          <cell r="G38">
            <v>630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1281</v>
          </cell>
        </row>
        <row r="39">
          <cell r="A39" t="str">
            <v xml:space="preserve">   Mech. Mae Sot</v>
          </cell>
          <cell r="B39">
            <v>400</v>
          </cell>
          <cell r="C39">
            <v>2.1</v>
          </cell>
          <cell r="E39">
            <v>0</v>
          </cell>
          <cell r="F39">
            <v>798</v>
          </cell>
          <cell r="G39">
            <v>1646.4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2444.4</v>
          </cell>
        </row>
        <row r="40">
          <cell r="A40" t="str">
            <v xml:space="preserve">   Thai Agro Tech</v>
          </cell>
          <cell r="B40">
            <v>400</v>
          </cell>
          <cell r="C40">
            <v>2.1</v>
          </cell>
          <cell r="E40">
            <v>0</v>
          </cell>
          <cell r="F40">
            <v>315</v>
          </cell>
          <cell r="G40">
            <v>315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630</v>
          </cell>
        </row>
        <row r="41">
          <cell r="A41" t="str">
            <v xml:space="preserve">   Sun Orchid</v>
          </cell>
          <cell r="B41">
            <v>400</v>
          </cell>
          <cell r="C41">
            <v>2.1</v>
          </cell>
          <cell r="E41">
            <v>0</v>
          </cell>
          <cell r="F41">
            <v>420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420</v>
          </cell>
        </row>
        <row r="42">
          <cell r="A42" t="str">
            <v xml:space="preserve">   New Area Mechanize</v>
          </cell>
          <cell r="B42">
            <v>400</v>
          </cell>
          <cell r="C42">
            <v>2.1</v>
          </cell>
          <cell r="E42">
            <v>0</v>
          </cell>
          <cell r="F42">
            <v>0</v>
          </cell>
          <cell r="G42">
            <v>630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630</v>
          </cell>
        </row>
        <row r="44">
          <cell r="A44" t="str">
            <v>Total FLT</v>
          </cell>
          <cell r="E44">
            <v>225</v>
          </cell>
          <cell r="F44">
            <v>7224</v>
          </cell>
          <cell r="G44">
            <v>15156.4</v>
          </cell>
          <cell r="H44">
            <v>2080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24685.4</v>
          </cell>
        </row>
        <row r="46">
          <cell r="A46" t="str">
            <v xml:space="preserve">   Tech Thai</v>
          </cell>
          <cell r="B46">
            <v>460</v>
          </cell>
          <cell r="C46">
            <v>2.8</v>
          </cell>
          <cell r="E46">
            <v>1764</v>
          </cell>
          <cell r="F46">
            <v>4099.2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5863.2</v>
          </cell>
        </row>
        <row r="48">
          <cell r="A48" t="str">
            <v>Grand Total</v>
          </cell>
          <cell r="E48">
            <v>1989</v>
          </cell>
          <cell r="F48">
            <v>11323.2</v>
          </cell>
          <cell r="G48">
            <v>15156.4</v>
          </cell>
          <cell r="H48">
            <v>2080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30548.600000000002</v>
          </cell>
        </row>
        <row r="168">
          <cell r="A168" t="str">
            <v xml:space="preserve">   Trad. Chieng Mai - 1</v>
          </cell>
          <cell r="C168">
            <v>0.05</v>
          </cell>
          <cell r="E168">
            <v>53.888749999999995</v>
          </cell>
          <cell r="F168">
            <v>2047.7725</v>
          </cell>
          <cell r="G168">
            <v>5712.2075000000004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7813.8687500000005</v>
          </cell>
        </row>
        <row r="169">
          <cell r="A169" t="str">
            <v xml:space="preserve">   Trad. Chieng Mai - 2</v>
          </cell>
          <cell r="C169">
            <v>0.05</v>
          </cell>
          <cell r="E169">
            <v>0</v>
          </cell>
          <cell r="F169">
            <v>478.96625</v>
          </cell>
          <cell r="G169">
            <v>957.9325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1436.8987500000001</v>
          </cell>
        </row>
        <row r="170">
          <cell r="A170" t="str">
            <v xml:space="preserve">   Trad. Fang - 1</v>
          </cell>
          <cell r="C170">
            <v>0.05</v>
          </cell>
          <cell r="E170">
            <v>0</v>
          </cell>
          <cell r="F170">
            <v>1239.4412499999999</v>
          </cell>
          <cell r="G170">
            <v>1239.4412499999999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2478.8824999999997</v>
          </cell>
        </row>
        <row r="171">
          <cell r="A171" t="str">
            <v xml:space="preserve">   Trad. Fang - 2</v>
          </cell>
          <cell r="C171">
            <v>0.05</v>
          </cell>
          <cell r="E171">
            <v>0</v>
          </cell>
          <cell r="F171">
            <v>0</v>
          </cell>
          <cell r="G171">
            <v>273.69499999999999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273.69499999999999</v>
          </cell>
        </row>
        <row r="172">
          <cell r="A172" t="str">
            <v xml:space="preserve">   Trad. Mae Sot</v>
          </cell>
          <cell r="C172">
            <v>0.05</v>
          </cell>
          <cell r="E172">
            <v>129.58000000000001</v>
          </cell>
          <cell r="F172">
            <v>388.73999999999995</v>
          </cell>
          <cell r="G172">
            <v>1425.38</v>
          </cell>
          <cell r="H172">
            <v>1684.5399999999997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3628.24</v>
          </cell>
        </row>
        <row r="173">
          <cell r="A173" t="str">
            <v xml:space="preserve">   New Area Traditional</v>
          </cell>
          <cell r="C173">
            <v>0.05</v>
          </cell>
          <cell r="E173">
            <v>0</v>
          </cell>
          <cell r="F173">
            <v>0</v>
          </cell>
          <cell r="G173">
            <v>215.55499999999998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215.55499999999998</v>
          </cell>
        </row>
        <row r="174">
          <cell r="Q174">
            <v>0</v>
          </cell>
        </row>
        <row r="175">
          <cell r="A175" t="str">
            <v>Mechanized</v>
          </cell>
        </row>
        <row r="176">
          <cell r="A176" t="str">
            <v xml:space="preserve">   Mech. Fang</v>
          </cell>
          <cell r="C176">
            <v>0</v>
          </cell>
          <cell r="E176">
            <v>0</v>
          </cell>
          <cell r="F176">
            <v>566.21500000000003</v>
          </cell>
          <cell r="G176">
            <v>547.95000000000005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1114.165</v>
          </cell>
        </row>
        <row r="177">
          <cell r="A177" t="str">
            <v xml:space="preserve">   Mech. Mae Sot</v>
          </cell>
          <cell r="C177">
            <v>0</v>
          </cell>
          <cell r="E177">
            <v>0</v>
          </cell>
          <cell r="F177">
            <v>694.06999999999994</v>
          </cell>
          <cell r="G177">
            <v>1431.9760000000001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2126.0460000000003</v>
          </cell>
        </row>
        <row r="178">
          <cell r="A178" t="str">
            <v xml:space="preserve">   Thai Agro Tech</v>
          </cell>
          <cell r="C178">
            <v>0</v>
          </cell>
          <cell r="E178">
            <v>0</v>
          </cell>
          <cell r="F178">
            <v>273.97500000000002</v>
          </cell>
          <cell r="G178">
            <v>273.97500000000002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547.95000000000005</v>
          </cell>
        </row>
        <row r="179">
          <cell r="A179" t="str">
            <v xml:space="preserve">   Sun Orchid</v>
          </cell>
          <cell r="C179">
            <v>0</v>
          </cell>
          <cell r="E179">
            <v>0</v>
          </cell>
          <cell r="F179">
            <v>365.3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365.3</v>
          </cell>
        </row>
        <row r="180">
          <cell r="A180" t="str">
            <v xml:space="preserve">   New Area Mechanize</v>
          </cell>
          <cell r="C180">
            <v>0</v>
          </cell>
          <cell r="E180">
            <v>0</v>
          </cell>
          <cell r="F180">
            <v>0</v>
          </cell>
          <cell r="G180">
            <v>547.95000000000005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547.95000000000005</v>
          </cell>
        </row>
        <row r="182">
          <cell r="A182" t="str">
            <v>Total FLT</v>
          </cell>
          <cell r="E182">
            <v>183.46875</v>
          </cell>
          <cell r="F182">
            <v>6054.4800000000005</v>
          </cell>
          <cell r="G182">
            <v>12626.062250000003</v>
          </cell>
          <cell r="H182">
            <v>1684.5399999999997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20548.551000000003</v>
          </cell>
        </row>
        <row r="184">
          <cell r="A184" t="str">
            <v xml:space="preserve">   Tech Thai</v>
          </cell>
          <cell r="C184">
            <v>0</v>
          </cell>
          <cell r="E184">
            <v>1764</v>
          </cell>
          <cell r="F184">
            <v>4099.2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5863.2</v>
          </cell>
        </row>
        <row r="186">
          <cell r="A186" t="str">
            <v>Total FLT &amp; Tech Thai</v>
          </cell>
          <cell r="E186">
            <v>1947.46875</v>
          </cell>
          <cell r="F186">
            <v>10153.68</v>
          </cell>
          <cell r="G186">
            <v>12626.062250000003</v>
          </cell>
          <cell r="H186">
            <v>1684.5399999999997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26411.751000000004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>
        <row r="5">
          <cell r="A5" t="str">
            <v>Planting (rais)</v>
          </cell>
        </row>
      </sheetData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5">
          <cell r="A5" t="str">
            <v>Planting (rais)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5">
          <cell r="A5" t="str">
            <v>Planting (rais)</v>
          </cell>
        </row>
      </sheetData>
      <sheetData sheetId="42"/>
      <sheetData sheetId="43"/>
      <sheetData sheetId="44"/>
      <sheetData sheetId="45"/>
      <sheetData sheetId="46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otal"/>
      <sheetName val="PCI"/>
      <sheetName val="FET"/>
      <sheetName val="JV"/>
      <sheetName val="Forex"/>
      <sheetName val="139139"/>
      <sheetName val="880739"/>
      <sheetName val="739139"/>
      <sheetName val="289139"/>
      <sheetName val="FMT 14 -VOLUME BY BRANDS"/>
      <sheetName val="FMT 13-VOLUME BY MARKET"/>
      <sheetName val="P3"/>
      <sheetName val="Lookup"/>
      <sheetName val="Input Sheet"/>
      <sheetName val="FMT_14_-VOLUME_BY_BRANDS"/>
      <sheetName val="FMT_13-VOLUME_BY_MARKET"/>
      <sheetName val="bgttar2001USD"/>
      <sheetName val="SKU"/>
      <sheetName val="jnp kortingen"/>
      <sheetName val="FMT_14_-VOLUME_BY_BRANDS1"/>
      <sheetName val="FMT_13-VOLUME_BY_MARKET1"/>
      <sheetName val="Input_Sheet"/>
      <sheetName val="2002 Forex Plan"/>
      <sheetName val="cocytd2"/>
      <sheetName val="Apr"/>
      <sheetName val="Q1 INPUT"/>
      <sheetName val="Filling Line Detail"/>
      <sheetName val="CDIMAG"/>
      <sheetName val="Demand Points"/>
      <sheetName val="MRC to ML conversion"/>
      <sheetName val="Plants"/>
      <sheetName val="??J"/>
      <sheetName val="Vol"/>
      <sheetName val="2010 Spain Snacks"/>
      <sheetName val="Plan"/>
      <sheetName val="Amortization Table"/>
      <sheetName val="P&amp;L"/>
      <sheetName val="PLPHIL"/>
      <sheetName val="Perameter"/>
      <sheetName val="RPT 72-VOLUME DATA-Industry"/>
      <sheetName val="Disease&amp;Insect"/>
      <sheetName val="CAL"/>
      <sheetName val="Input - Operations"/>
      <sheetName val="Cover&gt;&gt;"/>
      <sheetName val="Input - Network"/>
      <sheetName val="INPUT"/>
      <sheetName val="DATA"/>
      <sheetName val="Menu"/>
      <sheetName val=" "/>
      <sheetName val="__J"/>
      <sheetName val="Actual"/>
      <sheetName val="AOP"/>
      <sheetName val="P&amp;L Chart II"/>
      <sheetName val="OFCF Chart"/>
      <sheetName val="COC"/>
      <sheetName val="PCI EPU &amp; LOB PER"/>
      <sheetName val="PCI EPU &amp; LOB YTD"/>
      <sheetName val="PERvsAOP"/>
      <sheetName val="PERvsYago"/>
      <sheetName val="Yago"/>
      <sheetName val="FMT_14_-VOLUME_BY_BRANDS2"/>
      <sheetName val="FMT_13-VOLUME_BY_MARKET2"/>
      <sheetName val="Input_Sheet1"/>
      <sheetName val="jnp_kortingen"/>
      <sheetName val="2002_Forex_Plan"/>
      <sheetName val="Q1_INPUT"/>
      <sheetName val="Filling_Line_Detail"/>
      <sheetName val="Demand_Points"/>
      <sheetName val="MRC_to_ML_conversion"/>
      <sheetName val="2010_Spain_Snacks"/>
      <sheetName val="Jan Volume"/>
      <sheetName val="Amortization_Table"/>
      <sheetName val="Input_-_Operations"/>
      <sheetName val="Input_-_Network"/>
      <sheetName val="FMT_14_-VOLUME_BY_BRANDS3"/>
      <sheetName val="FMT_13-VOLUME_BY_MARKET3"/>
      <sheetName val="Input_Sheet2"/>
      <sheetName val="jnp_kortingen1"/>
      <sheetName val="2002_Forex_Plan1"/>
      <sheetName val="Q1_INPUT1"/>
      <sheetName val="Filling_Line_Detail1"/>
      <sheetName val="Demand_Points1"/>
      <sheetName val="MRC_to_ML_conversion1"/>
      <sheetName val="2010_Spain_Snacks1"/>
      <sheetName val="Amortization_Table1"/>
      <sheetName val="RPT_72-VOLUME_DATA-Industry"/>
      <sheetName val="Input_-_Operations1"/>
      <sheetName val="Input_-_Network1"/>
      <sheetName val="_"/>
      <sheetName val="P&amp;L_Chart_II"/>
      <sheetName val="OFCF_Chart"/>
      <sheetName val="PCI_EPU_&amp;_LOB_PER"/>
      <sheetName val="PCI_EPU_&amp;_LOB_YTD"/>
      <sheetName val="Jan_Volume"/>
      <sheetName val="RPT_72-VOLUME_DATA-Industry1"/>
      <sheetName val="FMT_14_-VOLUME_BY_BRANDS4"/>
      <sheetName val="FMT_13-VOLUME_BY_MARKET4"/>
      <sheetName val="Input_Sheet3"/>
      <sheetName val="jnp_kortingen2"/>
      <sheetName val="2002_Forex_Plan2"/>
      <sheetName val="Q1_INPUT2"/>
      <sheetName val="2010_Spain_Snacks2"/>
      <sheetName val="Filling_Line_Detail2"/>
      <sheetName val="Demand_Points2"/>
      <sheetName val="MRC_to_ML_conversion2"/>
      <sheetName val="Amortization_Table2"/>
      <sheetName val="Input_-_Operations2"/>
      <sheetName val="Input_-_Network2"/>
      <sheetName val="RPT_72-VOLUME_DATA-Industry2"/>
      <sheetName val="FMT_14_-VOLUME_BY_BRANDS5"/>
      <sheetName val="FMT_13-VOLUME_BY_MARKET5"/>
      <sheetName val="Input_Sheet4"/>
      <sheetName val="jnp_kortingen3"/>
      <sheetName val="2002_Forex_Plan3"/>
      <sheetName val="Q1_INPUT3"/>
      <sheetName val="2010_Spain_Snacks3"/>
      <sheetName val="Filling_Line_Detail3"/>
      <sheetName val="Demand_Points3"/>
      <sheetName val="MRC_to_ML_conversion3"/>
      <sheetName val="Amortization_Table3"/>
      <sheetName val="Input_-_Operations3"/>
      <sheetName val="Input_-_Network3"/>
      <sheetName val="RPT_72-VOLUME_DATA-Industry3"/>
      <sheetName val="FMT_14_-VOLUME_BY_BRANDS6"/>
      <sheetName val="FMT_13-VOLUME_BY_MARKET6"/>
      <sheetName val="Input_Sheet5"/>
      <sheetName val="jnp_kortingen4"/>
      <sheetName val="2002_Forex_Plan4"/>
      <sheetName val="Q1_INPUT4"/>
      <sheetName val="2010_Spain_Snacks4"/>
      <sheetName val="Filling_Line_Detail4"/>
      <sheetName val="Demand_Points4"/>
      <sheetName val="MRC_to_ML_conversion4"/>
      <sheetName val="Amortization_Table4"/>
      <sheetName val="Input_-_Operations4"/>
      <sheetName val="Input_-_Network4"/>
      <sheetName val="RPT_72-VOLUME_DATA-Industry4"/>
      <sheetName val="2004Cv3"/>
      <sheetName val="Sheet1"/>
      <sheetName val="FMT_14_-VOLUME_BY_BRANDS7"/>
      <sheetName val="FMT_13-VOLUME_BY_MARKET7"/>
      <sheetName val="Input_Sheet6"/>
      <sheetName val="jnp_kortingen5"/>
      <sheetName val="2002_Forex_Plan5"/>
      <sheetName val="Q1_INPUT5"/>
      <sheetName val="Filling_Line_Detail5"/>
      <sheetName val="Demand_Points5"/>
      <sheetName val="MRC_to_ML_conversion5"/>
      <sheetName val="2010_Spain_Snacks5"/>
      <sheetName val="Amortization_Table5"/>
      <sheetName val="RPT_72-VOLUME_DATA-Industry5"/>
      <sheetName val="Input_-_Operations5"/>
      <sheetName val="Input_-_Network5"/>
      <sheetName val="LEGAL GUJ"/>
      <sheetName val="FMT_14_-VOLUME_BY_BRANDS8"/>
      <sheetName val="FMT_13-VOLUME_BY_MARKET8"/>
      <sheetName val="Input_Sheet7"/>
      <sheetName val="jnp_kortingen6"/>
      <sheetName val="2002_Forex_Plan6"/>
      <sheetName val="Q1_INPUT6"/>
      <sheetName val="2010_Spain_Snacks6"/>
      <sheetName val="Filling_Line_Detail6"/>
      <sheetName val="Demand_Points6"/>
      <sheetName val="MRC_to_ML_conversion6"/>
      <sheetName val="Amortization_Table6"/>
      <sheetName val="Input_-_Operations6"/>
      <sheetName val="Input_-_Network6"/>
      <sheetName val="RPT_72-VOLUME_DATA-Industry6"/>
      <sheetName val="Jan_Volume1"/>
      <sheetName val="_1"/>
      <sheetName val="Assumptions"/>
      <sheetName val="P&amp;L_Chart_II1"/>
      <sheetName val="OFCF_Chart1"/>
      <sheetName val="PCI_EPU_&amp;_LOB_PER1"/>
      <sheetName val="PCI_EPU_&amp;_LOB_YTD1"/>
      <sheetName val="LEGAL_GUJ"/>
      <sheetName val="Input_Sheet8"/>
      <sheetName val="FMT_14_-VOLUME_BY_BRANDS9"/>
      <sheetName val="FMT_13-VOLUME_BY_MARKET9"/>
      <sheetName val="jnp_kortingen7"/>
      <sheetName val="2002_Forex_Plan7"/>
      <sheetName val="Q1_INPUT7"/>
      <sheetName val="Filling_Line_Detail7"/>
      <sheetName val="Demand_Points7"/>
      <sheetName val="MRC_to_ML_conversion7"/>
      <sheetName val="Amortization_Table7"/>
      <sheetName val="2010_Spain_Snacks7"/>
      <sheetName val="Input_-_Operations7"/>
      <sheetName val="Input_-_Network7"/>
      <sheetName val="Jan_Volume2"/>
      <sheetName val="RPT_72-VOLUME_DATA-Industry7"/>
      <sheetName val="_2"/>
      <sheetName val="Data Validation"/>
      <sheetName val="Sale"/>
      <sheetName val="FMT_14_-VOLUME_BY_BRANDS10"/>
      <sheetName val="FMT_13-VOLUME_BY_MARKET10"/>
      <sheetName val="Input_Sheet9"/>
      <sheetName val="jnp_kortingen8"/>
      <sheetName val="2002_Forex_Plan8"/>
      <sheetName val="Q1_INPUT8"/>
      <sheetName val="Filling_Line_Detail8"/>
      <sheetName val="Demand_Points8"/>
      <sheetName val="MRC_to_ML_conversion8"/>
      <sheetName val="2010_Spain_Snacks8"/>
      <sheetName val="Amortization_Table8"/>
      <sheetName val="RPT_72-VOLUME_DATA-Industry8"/>
      <sheetName val="Input_-_Operations8"/>
      <sheetName val="Input_-_Network8"/>
      <sheetName val="_3"/>
      <sheetName val="P&amp;L_Chart_II2"/>
      <sheetName val="OFCF_Chart2"/>
      <sheetName val="PCI_EPU_&amp;_LOB_PER2"/>
      <sheetName val="PCI_EPU_&amp;_LOB_YTD2"/>
      <sheetName val="Jan_Volume3"/>
      <sheetName val="LEGAL_GUJ1"/>
      <sheetName val="Data_Validation"/>
      <sheetName val="FMT_14_-VOLUME_BY_BRANDS11"/>
      <sheetName val="FMT_13-VOLUME_BY_MARKET11"/>
      <sheetName val="Input_Sheet10"/>
      <sheetName val="jnp_kortingen9"/>
      <sheetName val="2002_Forex_Plan9"/>
      <sheetName val="Q1_INPUT9"/>
      <sheetName val="Filling_Line_Detail9"/>
      <sheetName val="Demand_Points9"/>
      <sheetName val="MRC_to_ML_conversion9"/>
      <sheetName val="2010_Spain_Snacks9"/>
      <sheetName val="Amortization_Table9"/>
      <sheetName val="RPT_72-VOLUME_DATA-Industry9"/>
      <sheetName val="Input_-_Operations9"/>
      <sheetName val="Input_-_Network9"/>
      <sheetName val="_4"/>
      <sheetName val="P&amp;L_Chart_II3"/>
      <sheetName val="OFCF_Chart3"/>
      <sheetName val="PCI_EPU_&amp;_LOB_PER3"/>
      <sheetName val="PCI_EPU_&amp;_LOB_YTD3"/>
      <sheetName val="Jan_Volume4"/>
      <sheetName val="LEGAL_GUJ2"/>
      <sheetName val="Data_Validation1"/>
      <sheetName val="Daftar Harga"/>
      <sheetName val="driver"/>
      <sheetName val="Volume"/>
      <sheetName val="Input Defaults"/>
      <sheetName val="FMT_14_-VOLUME_BY_BRANDS12"/>
      <sheetName val="FMT_13-VOLUME_BY_MARKET12"/>
      <sheetName val="Input_Sheet11"/>
      <sheetName val="jnp_kortingen10"/>
      <sheetName val="2002_Forex_Plan10"/>
      <sheetName val="Q1_INPUT10"/>
      <sheetName val="Filling_Line_Detail10"/>
      <sheetName val="Demand_Points10"/>
      <sheetName val="MRC_to_ML_conversion10"/>
      <sheetName val="2010_Spain_Snacks10"/>
      <sheetName val="Amortization_Table10"/>
      <sheetName val="RPT_72-VOLUME_DATA-Industry10"/>
      <sheetName val="Input_-_Operations10"/>
      <sheetName val="Input_-_Network10"/>
      <sheetName val="_5"/>
      <sheetName val="P&amp;L_Chart_II4"/>
      <sheetName val="OFCF_Chart4"/>
      <sheetName val="PCI_EPU_&amp;_LOB_PER4"/>
      <sheetName val="PCI_EPU_&amp;_LOB_YTD4"/>
      <sheetName val="Jan_Volume5"/>
      <sheetName val="LEGAL_GUJ3"/>
      <sheetName val="Data_Validation2"/>
      <sheetName val="Daftar_Harga"/>
      <sheetName val="Input_Defaults"/>
      <sheetName val="Entities"/>
      <sheetName val="input data"/>
      <sheetName val="SMU"/>
      <sheetName val="DO weight"/>
      <sheetName val="Seed"/>
      <sheetName val="Controls"/>
      <sheetName val="CHECK"/>
      <sheetName val="PILK UK"/>
      <sheetName val="PILK NA"/>
      <sheetName val="Date"/>
      <sheetName val="Vol Mths-R"/>
      <sheetName val="BENEPLA.X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  <sheetName val="T&amp;E-Domestic"/>
      <sheetName val="Summary_TS"/>
      <sheetName val="Gold_Std_"/>
      <sheetName val="Dif_Panel"/>
      <sheetName val="Supplier_Youden"/>
      <sheetName val="Gen_lab_service"/>
      <sheetName val="OMT_in-house"/>
      <sheetName val="Over_sea_2004"/>
      <sheetName val="Fact_Sheet_(2)"/>
      <sheetName val="Summary_TS1"/>
      <sheetName val="Gold_Std_1"/>
      <sheetName val="Dif_Panel1"/>
      <sheetName val="Supplier_Youden1"/>
      <sheetName val="Gen_lab_service1"/>
      <sheetName val="OMT_in-house1"/>
      <sheetName val="Over_sea_20041"/>
      <sheetName val="Fact_Sheet_(2)1"/>
      <sheetName val="Summary_TS2"/>
      <sheetName val="Gold_Std_2"/>
      <sheetName val="Dif_Panel2"/>
      <sheetName val="Supplier_Youden2"/>
      <sheetName val="Gen_lab_service2"/>
      <sheetName val="OMT_in-house2"/>
      <sheetName val="Over_sea_20042"/>
      <sheetName val="Fact_Sheet_(2)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erto Rico"/>
      <sheetName val="Cashflow"/>
      <sheetName val="MUPRDR P&amp;L"/>
      <sheetName val="Dom Rep"/>
      <sheetName val="P&amp;L MONTH $"/>
      <sheetName val="Cost Chart"/>
      <sheetName val="Detail"/>
      <sheetName val=" nfcst_py"/>
      <sheetName val="Sldos"/>
      <sheetName val="START"/>
      <sheetName val="ENTITIES"/>
      <sheetName val="Input Sheet"/>
      <sheetName val="Puerto_Rico"/>
      <sheetName val="MUPRDR_P&amp;L"/>
      <sheetName val="Dom_Rep"/>
      <sheetName val="P&amp;L_MONTH_$"/>
      <sheetName val="Cost_Chart"/>
      <sheetName val="_nfcst_py"/>
      <sheetName val="Input_Sheet"/>
      <sheetName val="Puerto_Rico1"/>
      <sheetName val="MUPRDR_P&amp;L1"/>
      <sheetName val="Dom_Rep1"/>
      <sheetName val="P&amp;L_MONTH_$1"/>
      <sheetName val="Cost_Chart1"/>
      <sheetName val="_nfcst_py1"/>
      <sheetName val="Input_Sheet1"/>
      <sheetName val="Puerto_Rico2"/>
      <sheetName val="MUPRDR_P&amp;L2"/>
      <sheetName val="Dom_Rep2"/>
      <sheetName val="P&amp;L_MONTH_$2"/>
      <sheetName val="Cost_Chart2"/>
      <sheetName val="_nfcst_py2"/>
      <sheetName val="Input_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 Target"/>
      <sheetName val="Puerto Rico"/>
      <sheetName val="P&amp;L MONTH $"/>
      <sheetName val="*****01"/>
      <sheetName val="Panamco Q1 Bench"/>
      <sheetName val="Charts P&amp;L"/>
      <sheetName val="Charts OFCF"/>
      <sheetName val="Cflow"/>
      <sheetName val="COC with Forex JV"/>
      <sheetName val="COC NO Forex JV "/>
      <sheetName val="Percase"/>
      <sheetName val="%"/>
      <sheetName val="5yrproj"/>
      <sheetName val="5yrproj percase"/>
      <sheetName val="5yrproj %"/>
      <sheetName val="Critérios"/>
      <sheetName val="CAPTURA"/>
      <sheetName val="P13"/>
      <sheetName val="ACUMULADO"/>
      <sheetName val="MU List"/>
      <sheetName val="A1 Macro Trends"/>
      <sheetName val="Driver"/>
      <sheetName val="Orig_Target"/>
      <sheetName val="Puerto_Rico"/>
      <sheetName val="P&amp;L_MONTH_$"/>
      <sheetName val="Panamco_Q1_Bench"/>
      <sheetName val="Charts_P&amp;L"/>
      <sheetName val="Charts_OFCF"/>
      <sheetName val="COC_with_Forex_JV"/>
      <sheetName val="COC_NO_Forex_JV_"/>
      <sheetName val="5yrproj_percase"/>
      <sheetName val="5yrproj_%"/>
      <sheetName val="COM03"/>
      <sheetName val="Forex Reference"/>
      <sheetName val="Jan Volume"/>
      <sheetName val="2004 NPS data"/>
      <sheetName val="Capital - base"/>
      <sheetName val="Summary_US$"/>
      <sheetName val="PBR-PRL-PEN Summary Pages (New)"/>
      <sheetName val="TOTAL BF1as"/>
      <sheetName val="Vol by PC"/>
      <sheetName val="Cart"/>
      <sheetName val="Film"/>
      <sheetName val="Mat"/>
      <sheetName val="Oil"/>
      <sheetName val="OPP"/>
      <sheetName val="Paper Box"/>
      <sheetName val="Specific Seas"/>
      <sheetName val="Misc"/>
      <sheetName val="Filling Line Summary"/>
      <sheetName val="DC"/>
      <sheetName val="Calendar"/>
      <sheetName val="2005 YTD"/>
      <sheetName val="ACt and Fcst"/>
      <sheetName val="Orig_Target1"/>
      <sheetName val="Puerto_Rico1"/>
      <sheetName val="P&amp;L_MONTH_$1"/>
      <sheetName val="Panamco_Q1_Bench1"/>
      <sheetName val="Charts_P&amp;L1"/>
      <sheetName val="Charts_OFCF1"/>
      <sheetName val="COC_with_Forex_JV1"/>
      <sheetName val="COC_NO_Forex_JV_1"/>
      <sheetName val="5yrproj_percase1"/>
      <sheetName val="5yrproj_%1"/>
      <sheetName val="Orig_Target2"/>
      <sheetName val="Puerto_Rico2"/>
      <sheetName val="P&amp;L_MONTH_$2"/>
      <sheetName val="Panamco_Q1_Bench2"/>
      <sheetName val="Charts_P&amp;L2"/>
      <sheetName val="Charts_OFCF2"/>
      <sheetName val="COC_with_Forex_JV2"/>
      <sheetName val="COC_NO_Forex_JV_2"/>
      <sheetName val="5yrproj_percase2"/>
      <sheetName val="5yrproj_%2"/>
      <sheetName val="Orig_Target3"/>
      <sheetName val="Puerto_Rico3"/>
      <sheetName val="P&amp;L_MONTH_$3"/>
      <sheetName val="Panamco_Q1_Bench3"/>
      <sheetName val="Charts_P&amp;L3"/>
      <sheetName val="Charts_OFCF3"/>
      <sheetName val="COC_with_Forex_JV3"/>
      <sheetName val="COC_NO_Forex_JV_3"/>
      <sheetName val="5yrproj_percase3"/>
      <sheetName val="5yrproj_%3"/>
      <sheetName val="Orig_Target4"/>
      <sheetName val="Puerto_Rico4"/>
      <sheetName val="P&amp;L_MONTH_$4"/>
      <sheetName val="Panamco_Q1_Bench4"/>
      <sheetName val="Charts_P&amp;L4"/>
      <sheetName val="Charts_OFCF4"/>
      <sheetName val="COC_with_Forex_JV4"/>
      <sheetName val="COC_NO_Forex_JV_4"/>
      <sheetName val="5yrproj_percase4"/>
      <sheetName val="5yrproj_%4"/>
      <sheetName val="Orig_Target5"/>
      <sheetName val="Puerto_Rico5"/>
      <sheetName val="P&amp;L_MONTH_$5"/>
      <sheetName val="Panamco_Q1_Bench5"/>
      <sheetName val="Charts_P&amp;L5"/>
      <sheetName val="Charts_OFCF5"/>
      <sheetName val="COC_with_Forex_JV5"/>
      <sheetName val="COC_NO_Forex_JV_5"/>
      <sheetName val="5yrproj_percase5"/>
      <sheetName val="5yrproj_%5"/>
      <sheetName val="Orig_Target6"/>
      <sheetName val="Puerto_Rico6"/>
      <sheetName val="P&amp;L_MONTH_$6"/>
      <sheetName val="Panamco_Q1_Bench6"/>
      <sheetName val="Charts_P&amp;L6"/>
      <sheetName val="Charts_OFCF6"/>
      <sheetName val="COC_with_Forex_JV6"/>
      <sheetName val="COC_NO_Forex_JV_6"/>
      <sheetName val="5yrproj_percase6"/>
      <sheetName val="5yrproj_%6"/>
      <sheetName val="Orig_Target7"/>
      <sheetName val="Puerto_Rico7"/>
      <sheetName val="P&amp;L_MONTH_$7"/>
      <sheetName val="Panamco_Q1_Bench7"/>
      <sheetName val="Charts_P&amp;L7"/>
      <sheetName val="Charts_OFCF7"/>
      <sheetName val="COC_with_Forex_JV7"/>
      <sheetName val="COC_NO_Forex_JV_7"/>
      <sheetName val="5yrproj_percase7"/>
      <sheetName val="5yrproj_%7"/>
      <sheetName val="Orig_Target8"/>
      <sheetName val="Puerto_Rico8"/>
      <sheetName val="P&amp;L_MONTH_$8"/>
      <sheetName val="Panamco_Q1_Bench8"/>
      <sheetName val="Charts_P&amp;L8"/>
      <sheetName val="Charts_OFCF8"/>
      <sheetName val="COC_with_Forex_JV8"/>
      <sheetName val="COC_NO_Forex_JV_8"/>
      <sheetName val="5yrproj_percase8"/>
      <sheetName val="5yrproj_%8"/>
      <sheetName val="Macro Market Trends"/>
      <sheetName val="Orig_Target9"/>
      <sheetName val="Puerto_Rico9"/>
      <sheetName val="P&amp;L_MONTH_$9"/>
      <sheetName val="Panamco_Q1_Bench9"/>
      <sheetName val="Charts_P&amp;L9"/>
      <sheetName val="Charts_OFCF9"/>
      <sheetName val="COC_with_Forex_JV9"/>
      <sheetName val="COC_NO_Forex_JV_9"/>
      <sheetName val="5yrproj_percase9"/>
      <sheetName val="5yrproj_%9"/>
      <sheetName val="MU_List"/>
      <sheetName val="A1_Macro_Trends"/>
      <sheetName val="Forex_Reference"/>
      <sheetName val="Jan_Volume"/>
      <sheetName val="2004_NPS_data"/>
      <sheetName val="Capital_-_base"/>
      <sheetName val="PBR-PRL-PEN_Summary_Pages_(New)"/>
      <sheetName val="TOTAL_BF1as"/>
      <sheetName val="Vol_by_PC"/>
      <sheetName val="Paper_Box"/>
      <sheetName val="Specific_Seas"/>
      <sheetName val="Filling_Line_Summary"/>
      <sheetName val="2005_YTD"/>
      <sheetName val="ACt_and_Fcst"/>
      <sheetName val="Macro_Market_Trends"/>
      <sheetName val="Orig_Target10"/>
      <sheetName val="Puerto_Rico10"/>
      <sheetName val="P&amp;L_MONTH_$10"/>
      <sheetName val="Panamco_Q1_Bench10"/>
      <sheetName val="Charts_P&amp;L10"/>
      <sheetName val="Charts_OFCF10"/>
      <sheetName val="COC_with_Forex_JV10"/>
      <sheetName val="COC_NO_Forex_JV_10"/>
      <sheetName val="5yrproj_percase10"/>
      <sheetName val="5yrproj_%10"/>
      <sheetName val="MU_List1"/>
      <sheetName val="A1_Macro_Trends1"/>
      <sheetName val="Forex_Reference1"/>
      <sheetName val="Jan_Volume1"/>
      <sheetName val="2004_NPS_data1"/>
      <sheetName val="Capital_-_base1"/>
      <sheetName val="PBR-PRL-PEN_Summary_Pages_(New1"/>
      <sheetName val="TOTAL_BF1as1"/>
      <sheetName val="Vol_by_PC1"/>
      <sheetName val="Paper_Box1"/>
      <sheetName val="Specific_Seas1"/>
      <sheetName val="Filling_Line_Summary1"/>
      <sheetName val="2005_YTD1"/>
      <sheetName val="ACt_and_Fcst1"/>
      <sheetName val="Macro_Market_Trends1"/>
      <sheetName val="Orig_Target11"/>
      <sheetName val="Puerto_Rico11"/>
      <sheetName val="P&amp;L_MONTH_$11"/>
      <sheetName val="Panamco_Q1_Bench11"/>
      <sheetName val="Charts_P&amp;L11"/>
      <sheetName val="Charts_OFCF11"/>
      <sheetName val="COC_with_Forex_JV11"/>
      <sheetName val="COC_NO_Forex_JV_11"/>
      <sheetName val="5yrproj_percase11"/>
      <sheetName val="5yrproj_%11"/>
      <sheetName val="MU_List2"/>
      <sheetName val="A1_Macro_Trends2"/>
      <sheetName val="Forex_Reference2"/>
      <sheetName val="Jan_Volume2"/>
      <sheetName val="2004_NPS_data2"/>
      <sheetName val="Capital_-_base2"/>
      <sheetName val="PBR-PRL-PEN_Summary_Pages_(New2"/>
      <sheetName val="TOTAL_BF1as2"/>
      <sheetName val="Vol_by_PC2"/>
      <sheetName val="Paper_Box2"/>
      <sheetName val="Specific_Seas2"/>
      <sheetName val="Filling_Line_Summary2"/>
      <sheetName val="2005_YTD2"/>
      <sheetName val="ACt_and_Fcst2"/>
      <sheetName val="Macro_Market_Trend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"/>
      <sheetName val="***00"/>
      <sheetName val="*****01"/>
      <sheetName val="*****02"/>
      <sheetName val="Consolidated"/>
      <sheetName val="Sheet1"/>
      <sheetName val="CONTROL SHEET"/>
      <sheetName val="LHR.T.B."/>
      <sheetName val="Hattar"/>
      <sheetName val="Var. Analysis"/>
      <sheetName val="MU PAK-P&amp;L"/>
      <sheetName val="SUN TB"/>
      <sheetName val="___00"/>
      <sheetName val="_____01"/>
      <sheetName val="_____02"/>
      <sheetName val="CONTROL_SHEET"/>
      <sheetName val="LHR_T_B_"/>
      <sheetName val="Var__Analysis"/>
      <sheetName val="MU_PAK-P&amp;L"/>
      <sheetName val="SUN_TB"/>
      <sheetName val="CONTROL_SHEET1"/>
      <sheetName val="LHR_T_B_1"/>
      <sheetName val="Var__Analysis1"/>
      <sheetName val="MU_PAK-P&amp;L1"/>
      <sheetName val="SUN_TB1"/>
      <sheetName val="CONTROL_SHEET2"/>
      <sheetName val="LHR_T_B_2"/>
      <sheetName val="Var__Analysis2"/>
      <sheetName val="MU_PAK-P&amp;L2"/>
      <sheetName val="SUN_TB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outh"/>
      <sheetName val="Sum"/>
      <sheetName val="MAR-F"/>
      <sheetName val="#REF"/>
      <sheetName val="2002P-BU"/>
      <sheetName val="Local"/>
      <sheetName val="P&amp;L(S1)"/>
      <sheetName val="RMB"/>
      <sheetName val="Book1"/>
      <sheetName val="input data"/>
      <sheetName val="OCF Change"/>
      <sheetName val="Tea"/>
      <sheetName val="Pj Duo"/>
      <sheetName val="Gat(Bomy)"/>
      <sheetName val="HK Gat"/>
      <sheetName val="HK Trop"/>
      <sheetName val="TW Trop"/>
      <sheetName val="SZ"/>
      <sheetName val="TropCN($)Consol"/>
      <sheetName val="JunF(Vol)"/>
      <sheetName val="Hyp-COC"/>
      <sheetName val="Rev-COC"/>
      <sheetName val="Gatorade Assumption"/>
      <sheetName val="input_data"/>
      <sheetName val="OCF_Change"/>
      <sheetName val="Pj_Duo"/>
      <sheetName val="HK_Gat"/>
      <sheetName val="HK_Trop"/>
      <sheetName val="TW_Trop"/>
      <sheetName val="Gatorade_Assumption"/>
      <sheetName val="input_data1"/>
      <sheetName val="OCF_Change1"/>
      <sheetName val="Pj_Duo1"/>
      <sheetName val="HK_Gat1"/>
      <sheetName val="HK_Trop1"/>
      <sheetName val="TW_Trop1"/>
      <sheetName val="Gatorade_Assumption1"/>
      <sheetName val="input_data2"/>
      <sheetName val="OCF_Change2"/>
      <sheetName val="Pj_Duo2"/>
      <sheetName val="HK_Gat2"/>
      <sheetName val="HK_Trop2"/>
      <sheetName val="TW_Trop2"/>
      <sheetName val="Gatorade_Assumptio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ExchangeRates"/>
      <sheetName val="PARAMETRES"/>
    </sheetNames>
    <sheetDataSet>
      <sheetData sheetId="0"/>
      <sheetData sheetId="1" refreshError="1"/>
      <sheetData sheetId="2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P"/>
      <sheetName val="Dep_Analysis"/>
      <sheetName val="Existing Bal"/>
      <sheetName val="Cpx_IBC"/>
      <sheetName val="Cpx_IBCLINK"/>
      <sheetName val="Cpx_HO"/>
      <sheetName val="Cpx_Hocmon"/>
      <sheetName val="Cpx_HCMC"/>
      <sheetName val="Cpx_HCMP"/>
      <sheetName val="Cpx_Cantho"/>
      <sheetName val="Cpx_Danang"/>
      <sheetName val="Dep_IBCLINK"/>
      <sheetName val="Cpx_Hanoi"/>
      <sheetName val="Dep_IBC"/>
      <sheetName val="Dep_HO"/>
      <sheetName val="Dep_Hocmon"/>
      <sheetName val="Dep_HCMC"/>
      <sheetName val="Dep_HCMP"/>
      <sheetName val="Dep_Cantho"/>
      <sheetName val="Dep_Danang"/>
      <sheetName val="Dep_Hanoi"/>
      <sheetName val="Palet"/>
      <sheetName val="Bottles"/>
      <sheetName val="PRICE"/>
      <sheetName val="Existing_Bal"/>
      <sheetName val="Existing_Bal1"/>
      <sheetName val="Existing_Bal2"/>
      <sheetName val="Existing_Bal3"/>
      <sheetName val="Existing_Bal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movement"/>
      <sheetName val="Vol(Qtr)"/>
      <sheetName val="Vol(BOY)"/>
      <sheetName val="Vol (base)"/>
      <sheetName val="2001vol"/>
      <sheetName val="2000vol"/>
      <sheetName val="P&amp;L(S2)"/>
      <sheetName val="A&amp;M"/>
      <sheetName val="JV (RMB)(Summary)"/>
      <sheetName val="JV income"/>
      <sheetName val="JV share $"/>
      <sheetName val="JV (RMB)Plan "/>
      <sheetName val="JV (RMB)2001A"/>
      <sheetName val="JV (RMB)J.Fcst"/>
      <sheetName val="JV (RMB)PlanA"/>
      <sheetName val="China JVs"/>
      <sheetName val="JV income(wks)"/>
      <sheetName val="Other i_o"/>
      <sheetName val="CAPEX"/>
      <sheetName val="JV infusion"/>
      <sheetName val="CF(direct)"/>
      <sheetName val="2001PCF"/>
      <sheetName val="CF (2)"/>
      <sheetName val="2001MFCF"/>
      <sheetName val="2001JFCF"/>
      <sheetName val="2001A"/>
      <sheetName val="2001A(wks)"/>
      <sheetName val="2002PCF(Check)"/>
      <sheetName val="2002PCF(wks) (check)"/>
      <sheetName val="2001FCF (Summary)"/>
      <sheetName val="2002ACF"/>
      <sheetName val="2001ACF(wks)"/>
      <sheetName val="NAB(2001AOP) (@8.28)"/>
      <sheetName val="AC (@8.28)"/>
      <sheetName val="P&amp;L(S1)"/>
      <sheetName val="2002PPL"/>
      <sheetName val="Tax (2)"/>
      <sheetName val="2002PPL(check)"/>
      <sheetName val="P&amp;L Check)"/>
      <sheetName val="2002PPLa"/>
      <sheetName val="2001APL"/>
      <sheetName val="PII"/>
      <sheetName val="Shipment"/>
      <sheetName val="Shipment (01P)"/>
      <sheetName val="Vol(Q1)"/>
      <sheetName val="jvinc"/>
      <sheetName val="PICL fee"/>
      <sheetName val="J Fcst vol"/>
      <sheetName val="2002P-BU"/>
      <sheetName val="2002P-SC"/>
      <sheetName val="REF-Hyperion Entitiy"/>
      <sheetName val="沈阳"/>
      <sheetName val="重庆"/>
      <sheetName val="杭州调"/>
      <sheetName val="2005"/>
      <sheetName val="configuracion"/>
      <sheetName val="NOMINA"/>
      <sheetName val="PLANopex"/>
      <sheetName val="input data"/>
      <sheetName val="Sheet1"/>
      <sheetName val="说明"/>
      <sheetName val="CSMU Total"/>
      <sheetName val="Total"/>
      <sheetName val="VMC"/>
      <sheetName val="FMC wo plant whs"/>
      <sheetName val="Selling"/>
      <sheetName val="PD"/>
      <sheetName val="F,D,I"/>
      <sheetName val="WHS"/>
      <sheetName val="MEM"/>
      <sheetName val="MKT"/>
      <sheetName val="SIS"/>
      <sheetName val="Selling+SIS+MKT"/>
      <sheetName val="Ttl S&amp;D"/>
      <sheetName val="G&amp;A"/>
      <sheetName val="GMO"/>
      <sheetName val="HR"/>
      <sheetName val="Cluster"/>
      <sheetName val="Fin"/>
      <sheetName val="IT"/>
      <sheetName val="NCB FMC"/>
      <sheetName val="NCB VMC"/>
      <sheetName val="2002 AOP calendarization phaseI"/>
      <sheetName val="GZ-Sum"/>
      <sheetName val=""/>
      <sheetName val="BANK COMPARISON"/>
      <sheetName val="list"/>
      <sheetName val="Local04"/>
      <sheetName val="Summary"/>
      <sheetName val="BExRepositorySheet"/>
      <sheetName val="Sum"/>
      <sheetName val="CONTENTS"/>
      <sheetName val="Input Sheet"/>
      <sheetName val="Coke"/>
      <sheetName val="ASP"/>
      <sheetName val="Acct. Worksheet"/>
      <sheetName val="Validation"/>
      <sheetName val="Reference"/>
      <sheetName val="SFS(ACTUAL)"/>
      <sheetName val="SFS(BUDGET)"/>
      <sheetName val="SFS(LYR_ACTUAL)"/>
      <sheetName val="Assumptions"/>
      <sheetName val="wFinal_Frct_Data"/>
      <sheetName val="wInit_Frct_Data"/>
      <sheetName val="wHist_Data"/>
      <sheetName val="#REF!"/>
      <sheetName val="1"/>
      <sheetName val="6-3逾期账款趋势表"/>
      <sheetName val="总经理"/>
      <sheetName val="Setup"/>
      <sheetName val="Beverage Volume"/>
      <sheetName val="A14品牌别损益"/>
      <sheetName val="A16_1冰茶_劲凉"/>
      <sheetName val="TT-2"/>
      <sheetName val="Perameter"/>
      <sheetName val="driver"/>
      <sheetName val="Vol_(base)"/>
      <sheetName val="JV_(RMB)(Summary)"/>
      <sheetName val="JV_income"/>
      <sheetName val="JV_share_$"/>
      <sheetName val="JV_(RMB)Plan_"/>
      <sheetName val="JV_(RMB)2001A"/>
      <sheetName val="JV_(RMB)J_Fcst"/>
      <sheetName val="JV_(RMB)PlanA"/>
      <sheetName val="China_JVs"/>
      <sheetName val="JV_income(wks)"/>
      <sheetName val="Other_i_o"/>
      <sheetName val="JV_infusion"/>
      <sheetName val="CF_(2)"/>
      <sheetName val="2002PCF(wks)_(check)"/>
      <sheetName val="2001FCF_(Summary)"/>
      <sheetName val="NAB(2001AOP)_(@8_28)"/>
      <sheetName val="AC_(@8_28)"/>
      <sheetName val="Tax_(2)"/>
      <sheetName val="P&amp;L_Check)"/>
      <sheetName val="Shipment_(01P)"/>
      <sheetName val="PICL_fee"/>
      <sheetName val="J_Fcst_vol"/>
      <sheetName val="REF-Hyperion_Entitiy"/>
      <sheetName val="input_data"/>
      <sheetName val="CSMU_Total"/>
      <sheetName val="FMC_wo_plant_whs"/>
      <sheetName val="Ttl_S&amp;D"/>
      <sheetName val="NCB_FMC"/>
      <sheetName val="NCB_VMC"/>
      <sheetName val="2002_AOP_calendarization_phaseI"/>
      <sheetName val="BANK_COMPARISON"/>
      <sheetName val="Input_Sheet"/>
      <sheetName val="INPUT"/>
      <sheetName val="B06  CAB"/>
      <sheetName val="B06  Tonnage"/>
      <sheetName val="B06  Volume Pots"/>
      <sheetName val="零食优选"/>
      <sheetName val="Coding"/>
      <sheetName val="Local"/>
      <sheetName val="Expenses(ACTUAL)"/>
      <sheetName val="Expenses(Budget)"/>
      <sheetName val="OTHER(FLASH)"/>
      <sheetName val="Expenses(FLASH)"/>
      <sheetName val="WORKING"/>
      <sheetName val="Expenses(LYR_ACTUAL)"/>
      <sheetName val="Beverage_Volume"/>
      <sheetName val="Puerto Rico"/>
      <sheetName val="South"/>
      <sheetName val="短信统计"/>
      <sheetName val="#REF"/>
      <sheetName val="入库"/>
      <sheetName val="Entity list"/>
      <sheetName val="P1-推进进度&amp;问题解决"/>
      <sheetName val="MAR-F"/>
      <sheetName val="百饮损益当月"/>
      <sheetName val="10月销售日报表"/>
      <sheetName val="Sheet3"/>
      <sheetName val="会计科目代码"/>
      <sheetName val="品牌"/>
      <sheetName val="部门名称"/>
      <sheetName val="RMB"/>
      <sheetName val="借货单问题点"/>
      <sheetName val="CUSTOMER DATA"/>
      <sheetName val="Incumbent Data"/>
      <sheetName val="Data"/>
      <sheetName val="TranTypeList"/>
      <sheetName val="JAN $"/>
      <sheetName val="JAN"/>
      <sheetName val="Macro Market Trends"/>
      <sheetName val="Tons"/>
      <sheetName val="#¡REF"/>
      <sheetName val="mixprod"/>
      <sheetName val="abcd"/>
      <sheetName val="indice"/>
      <sheetName val="SUIVI EFFECTIFS"/>
      <sheetName val="tit"/>
      <sheetName val="EFFECT."/>
      <sheetName val="w604"/>
      <sheetName val="2002 Forex Plan"/>
      <sheetName val="Vol_(base)1"/>
      <sheetName val="JV_(RMB)(Summary)1"/>
      <sheetName val="JV_income1"/>
      <sheetName val="JV_share_$1"/>
      <sheetName val="JV_(RMB)Plan_1"/>
      <sheetName val="JV_(RMB)2001A1"/>
      <sheetName val="JV_(RMB)J_Fcst1"/>
      <sheetName val="JV_(RMB)PlanA1"/>
      <sheetName val="China_JVs1"/>
      <sheetName val="JV_income(wks)1"/>
      <sheetName val="Other_i_o1"/>
      <sheetName val="JV_infusion1"/>
      <sheetName val="CF_(2)1"/>
      <sheetName val="2002PCF(wks)_(check)1"/>
      <sheetName val="2001FCF_(Summary)1"/>
      <sheetName val="NAB(2001AOP)_(@8_28)1"/>
      <sheetName val="AC_(@8_28)1"/>
      <sheetName val="Tax_(2)1"/>
      <sheetName val="P&amp;L_Check)1"/>
      <sheetName val="Shipment_(01P)1"/>
      <sheetName val="PICL_fee1"/>
      <sheetName val="J_Fcst_vol1"/>
      <sheetName val="REF-Hyperion_Entitiy1"/>
      <sheetName val="input_data1"/>
      <sheetName val="CSMU_Total1"/>
      <sheetName val="FMC_wo_plant_whs1"/>
      <sheetName val="Ttl_S&amp;D1"/>
      <sheetName val="NCB_FMC1"/>
      <sheetName val="NCB_VMC1"/>
      <sheetName val="2002_AOP_calendarization_phase1"/>
      <sheetName val="BANK_COMPARISON1"/>
      <sheetName val="Input_Sheet1"/>
      <sheetName val="Acct__Worksheet"/>
      <sheetName val="Beverage_Volume1"/>
      <sheetName val="B06__CAB"/>
      <sheetName val="B06__Tonnage"/>
      <sheetName val="B06__Volume_Pots"/>
      <sheetName val="Puerto_Rico"/>
      <sheetName val="Entity_list"/>
      <sheetName val="CUSTOMER_DATA"/>
      <sheetName val="Incumbent_Data"/>
      <sheetName val="JAN_$"/>
      <sheetName val="Macro_Market_Trends"/>
      <sheetName val="SUIVI_EFFECTIFS"/>
      <sheetName val="EFFECT_"/>
      <sheetName val="Vol_(base)2"/>
      <sheetName val="JV_(RMB)(Summary)2"/>
      <sheetName val="JV_income2"/>
      <sheetName val="JV_share_$2"/>
      <sheetName val="JV_(RMB)Plan_2"/>
      <sheetName val="JV_(RMB)2001A2"/>
      <sheetName val="JV_(RMB)J_Fcst2"/>
      <sheetName val="JV_(RMB)PlanA2"/>
      <sheetName val="China_JVs2"/>
      <sheetName val="JV_income(wks)2"/>
      <sheetName val="Other_i_o2"/>
      <sheetName val="JV_infusion2"/>
      <sheetName val="CF_(2)2"/>
      <sheetName val="2002PCF(wks)_(check)2"/>
      <sheetName val="2001FCF_(Summary)2"/>
      <sheetName val="NAB(2001AOP)_(@8_28)2"/>
      <sheetName val="AC_(@8_28)2"/>
      <sheetName val="Tax_(2)2"/>
      <sheetName val="P&amp;L_Check)2"/>
      <sheetName val="Shipment_(01P)2"/>
      <sheetName val="PICL_fee2"/>
      <sheetName val="J_Fcst_vol2"/>
      <sheetName val="REF-Hyperion_Entitiy2"/>
      <sheetName val="input_data2"/>
      <sheetName val="CSMU_Total2"/>
      <sheetName val="FMC_wo_plant_whs2"/>
      <sheetName val="Ttl_S&amp;D2"/>
      <sheetName val="NCB_FMC2"/>
      <sheetName val="NCB_VMC2"/>
      <sheetName val="2002_AOP_calendarization_phase2"/>
      <sheetName val="BANK_COMPARISON2"/>
      <sheetName val="Input_Sheet2"/>
      <sheetName val="Acct__Worksheet1"/>
      <sheetName val="Beverage_Volume2"/>
      <sheetName val="B06__CAB1"/>
      <sheetName val="B06__Tonnage1"/>
      <sheetName val="B06__Volume_Pots1"/>
      <sheetName val="Puerto_Rico1"/>
      <sheetName val="Entity_list1"/>
      <sheetName val="CUSTOMER_DATA1"/>
      <sheetName val="Incumbent_Data1"/>
      <sheetName val="JAN_$1"/>
      <sheetName val="Macro_Market_Trends1"/>
      <sheetName val="SUIVI_EFFECTIFS1"/>
      <sheetName val="EFFECT_1"/>
      <sheetName val="Selection pool"/>
      <sheetName val="Vol_(base)3"/>
      <sheetName val="JV_(RMB)(Summary)3"/>
      <sheetName val="JV_income3"/>
      <sheetName val="JV_share_$3"/>
      <sheetName val="JV_(RMB)Plan_3"/>
      <sheetName val="JV_(RMB)2001A3"/>
      <sheetName val="JV_(RMB)J_Fcst3"/>
      <sheetName val="JV_(RMB)PlanA3"/>
      <sheetName val="China_JVs3"/>
      <sheetName val="JV_income(wks)3"/>
      <sheetName val="Other_i_o3"/>
      <sheetName val="JV_infusion3"/>
      <sheetName val="CF_(2)3"/>
      <sheetName val="2002PCF(wks)_(check)3"/>
      <sheetName val="2001FCF_(Summary)3"/>
      <sheetName val="NAB(2001AOP)_(@8_28)3"/>
      <sheetName val="AC_(@8_28)3"/>
      <sheetName val="Tax_(2)3"/>
      <sheetName val="P&amp;L_Check)3"/>
      <sheetName val="Shipment_(01P)3"/>
      <sheetName val="PICL_fee3"/>
      <sheetName val="J_Fcst_vol3"/>
      <sheetName val="REF-Hyperion_Entitiy3"/>
      <sheetName val="input_data3"/>
      <sheetName val="CSMU_Total3"/>
      <sheetName val="FMC_wo_plant_whs3"/>
      <sheetName val="Ttl_S&amp;D3"/>
      <sheetName val="NCB_FMC3"/>
      <sheetName val="NCB_VMC3"/>
      <sheetName val="2002_AOP_calendarization_phase3"/>
      <sheetName val="BANK_COMPARISON3"/>
      <sheetName val="Input_Sheet3"/>
      <sheetName val="Acct__Worksheet2"/>
      <sheetName val="Beverage_Volume3"/>
      <sheetName val="B06__CAB2"/>
      <sheetName val="B06__Tonnage2"/>
      <sheetName val="B06__Volume_Pots2"/>
      <sheetName val="Puerto_Rico2"/>
      <sheetName val="Entity_list2"/>
      <sheetName val="CUSTOMER_DATA2"/>
      <sheetName val="Incumbent_Data2"/>
      <sheetName val="JAN_$2"/>
      <sheetName val="Macro_Market_Trends2"/>
      <sheetName val="SUIVI_EFFECTIFS2"/>
      <sheetName val="EFFECT_2"/>
      <sheetName val="2002_Forex_Plan"/>
      <sheetName val="Selection_po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>
        <row r="8">
          <cell r="I8">
            <v>0</v>
          </cell>
          <cell r="K8">
            <v>0</v>
          </cell>
          <cell r="L8">
            <v>77267</v>
          </cell>
          <cell r="O8">
            <v>101785</v>
          </cell>
          <cell r="P8">
            <v>25438</v>
          </cell>
          <cell r="T8">
            <v>500003</v>
          </cell>
          <cell r="V8">
            <v>179399</v>
          </cell>
        </row>
        <row r="9">
          <cell r="I9">
            <v>254609</v>
          </cell>
          <cell r="K9">
            <v>279077</v>
          </cell>
          <cell r="L9">
            <v>298680</v>
          </cell>
          <cell r="O9">
            <v>272808</v>
          </cell>
          <cell r="P9">
            <v>178077</v>
          </cell>
          <cell r="T9">
            <v>2800004</v>
          </cell>
          <cell r="V9">
            <v>2126914</v>
          </cell>
        </row>
        <row r="10">
          <cell r="I10">
            <v>4059698</v>
          </cell>
          <cell r="K10">
            <v>4505782</v>
          </cell>
          <cell r="L10">
            <v>4305066</v>
          </cell>
          <cell r="O10">
            <v>5002184</v>
          </cell>
          <cell r="P10">
            <v>2326084</v>
          </cell>
          <cell r="T10">
            <v>43300015</v>
          </cell>
          <cell r="V10">
            <v>30636703</v>
          </cell>
        </row>
        <row r="11">
          <cell r="I11">
            <v>0.23985397220736937</v>
          </cell>
          <cell r="K11">
            <v>0.19306632350449071</v>
          </cell>
          <cell r="L11">
            <v>0.21292459105627626</v>
          </cell>
          <cell r="O11">
            <v>0.16596677047009911</v>
          </cell>
          <cell r="P11">
            <v>0.6683717967844478</v>
          </cell>
          <cell r="T11">
            <v>0.22823978951710244</v>
          </cell>
          <cell r="V11">
            <v>2.1377892562469789</v>
          </cell>
        </row>
        <row r="12">
          <cell r="I12">
            <v>1105355</v>
          </cell>
          <cell r="K12">
            <v>776684</v>
          </cell>
          <cell r="L12">
            <v>1231782</v>
          </cell>
          <cell r="O12">
            <v>1181589</v>
          </cell>
          <cell r="P12">
            <v>888119</v>
          </cell>
          <cell r="T12">
            <v>10700088</v>
          </cell>
          <cell r="V12">
            <v>7570260</v>
          </cell>
        </row>
        <row r="13">
          <cell r="I13">
            <v>123552</v>
          </cell>
          <cell r="K13">
            <v>148186</v>
          </cell>
          <cell r="L13">
            <v>177768</v>
          </cell>
          <cell r="O13">
            <v>209837</v>
          </cell>
          <cell r="P13">
            <v>108602</v>
          </cell>
          <cell r="T13">
            <v>1500392</v>
          </cell>
          <cell r="V13">
            <v>1039793</v>
          </cell>
        </row>
        <row r="14">
          <cell r="I14">
            <v>770491</v>
          </cell>
          <cell r="K14">
            <v>836886</v>
          </cell>
          <cell r="L14">
            <v>839122</v>
          </cell>
          <cell r="O14">
            <v>705810</v>
          </cell>
          <cell r="P14">
            <v>378186</v>
          </cell>
          <cell r="T14">
            <v>7000257</v>
          </cell>
          <cell r="V14">
            <v>5339119</v>
          </cell>
        </row>
        <row r="15">
          <cell r="I15">
            <v>290500</v>
          </cell>
          <cell r="K15">
            <v>318152</v>
          </cell>
          <cell r="L15">
            <v>370304</v>
          </cell>
          <cell r="O15">
            <v>350003</v>
          </cell>
          <cell r="P15">
            <v>259704</v>
          </cell>
          <cell r="T15">
            <v>3500033</v>
          </cell>
          <cell r="V15">
            <v>2528423</v>
          </cell>
        </row>
        <row r="16">
          <cell r="I16">
            <v>1795124</v>
          </cell>
          <cell r="K16">
            <v>2098977</v>
          </cell>
          <cell r="L16">
            <v>1813575</v>
          </cell>
          <cell r="O16">
            <v>1594017</v>
          </cell>
          <cell r="P16">
            <v>1216656</v>
          </cell>
          <cell r="T16">
            <v>19999995</v>
          </cell>
          <cell r="V16">
            <v>15085265</v>
          </cell>
        </row>
        <row r="17">
          <cell r="I17">
            <v>0</v>
          </cell>
          <cell r="K17">
            <v>0</v>
          </cell>
          <cell r="L17">
            <v>50002</v>
          </cell>
          <cell r="O17">
            <v>70002</v>
          </cell>
          <cell r="P17">
            <v>40000</v>
          </cell>
          <cell r="T17">
            <v>300008</v>
          </cell>
          <cell r="V17">
            <v>120004</v>
          </cell>
        </row>
        <row r="18">
          <cell r="I18">
            <v>4085022</v>
          </cell>
          <cell r="K18">
            <v>4178885</v>
          </cell>
          <cell r="L18">
            <v>4482553</v>
          </cell>
          <cell r="O18">
            <v>4111258</v>
          </cell>
          <cell r="P18">
            <v>2891267</v>
          </cell>
          <cell r="T18">
            <v>43000773</v>
          </cell>
          <cell r="V18">
            <v>31682864</v>
          </cell>
        </row>
        <row r="19">
          <cell r="I19">
            <v>0.19205143798272717</v>
          </cell>
          <cell r="K19">
            <v>0.35797612768901454</v>
          </cell>
          <cell r="L19">
            <v>0.14766225307311265</v>
          </cell>
          <cell r="O19">
            <v>0.22131979816067893</v>
          </cell>
          <cell r="P19">
            <v>1.1101720459772126</v>
          </cell>
          <cell r="T19">
            <v>0.22469290238285078</v>
          </cell>
          <cell r="V19">
            <v>1.4807187033866094</v>
          </cell>
        </row>
        <row r="20">
          <cell r="I20">
            <v>750000</v>
          </cell>
          <cell r="K20">
            <v>850000</v>
          </cell>
          <cell r="L20">
            <v>1100000</v>
          </cell>
          <cell r="O20">
            <v>700000</v>
          </cell>
          <cell r="P20">
            <v>450000</v>
          </cell>
          <cell r="T20">
            <v>7500008</v>
          </cell>
          <cell r="V20">
            <v>5660008</v>
          </cell>
        </row>
        <row r="21">
          <cell r="I21">
            <v>4869002</v>
          </cell>
          <cell r="K21">
            <v>5734598</v>
          </cell>
          <cell r="L21">
            <v>8656001</v>
          </cell>
          <cell r="O21">
            <v>5247701</v>
          </cell>
          <cell r="P21">
            <v>2867300</v>
          </cell>
          <cell r="T21">
            <v>54100000</v>
          </cell>
          <cell r="V21">
            <v>40845502</v>
          </cell>
        </row>
        <row r="22">
          <cell r="I22">
            <v>1271611</v>
          </cell>
          <cell r="K22">
            <v>945199</v>
          </cell>
          <cell r="L22">
            <v>1089975</v>
          </cell>
          <cell r="O22">
            <v>1045314</v>
          </cell>
          <cell r="P22">
            <v>671253</v>
          </cell>
          <cell r="T22">
            <v>12001221</v>
          </cell>
          <cell r="V22">
            <v>8961270</v>
          </cell>
        </row>
        <row r="23">
          <cell r="I23">
            <v>6890613</v>
          </cell>
          <cell r="K23">
            <v>7529797</v>
          </cell>
          <cell r="L23">
            <v>10845976</v>
          </cell>
          <cell r="O23">
            <v>6993015</v>
          </cell>
          <cell r="P23">
            <v>3988553</v>
          </cell>
          <cell r="T23">
            <v>73601229</v>
          </cell>
          <cell r="V23">
            <v>55466780</v>
          </cell>
        </row>
        <row r="24">
          <cell r="I24">
            <v>0.15248918863950811</v>
          </cell>
          <cell r="K24">
            <v>9.8192105375612959E-2</v>
          </cell>
          <cell r="L24">
            <v>9.9242477758432202E-2</v>
          </cell>
          <cell r="O24">
            <v>0.14543017256106849</v>
          </cell>
          <cell r="P24">
            <v>-0.12550909888182415</v>
          </cell>
          <cell r="T24">
            <v>0.14535082474775463</v>
          </cell>
          <cell r="V24">
            <v>1.280268497415787</v>
          </cell>
        </row>
        <row r="25">
          <cell r="I25">
            <v>681689</v>
          </cell>
          <cell r="K25">
            <v>739581</v>
          </cell>
          <cell r="L25">
            <v>942718</v>
          </cell>
          <cell r="O25">
            <v>1233033</v>
          </cell>
          <cell r="P25">
            <v>766884</v>
          </cell>
          <cell r="T25">
            <v>10499998</v>
          </cell>
          <cell r="V25">
            <v>7154073</v>
          </cell>
        </row>
        <row r="26">
          <cell r="I26">
            <v>2409997</v>
          </cell>
          <cell r="K26">
            <v>2859000</v>
          </cell>
          <cell r="L26">
            <v>3078001</v>
          </cell>
          <cell r="O26">
            <v>3497996</v>
          </cell>
          <cell r="P26">
            <v>2216999</v>
          </cell>
          <cell r="T26">
            <v>28000003</v>
          </cell>
          <cell r="V26">
            <v>18835002</v>
          </cell>
        </row>
        <row r="27">
          <cell r="I27">
            <v>2927339</v>
          </cell>
          <cell r="K27">
            <v>3358188</v>
          </cell>
          <cell r="L27">
            <v>3326399</v>
          </cell>
          <cell r="O27">
            <v>3634592</v>
          </cell>
          <cell r="P27">
            <v>2481900</v>
          </cell>
          <cell r="T27">
            <v>30500003</v>
          </cell>
          <cell r="V27">
            <v>21053013</v>
          </cell>
        </row>
        <row r="28">
          <cell r="I28">
            <v>6019025</v>
          </cell>
          <cell r="K28">
            <v>6956769</v>
          </cell>
          <cell r="L28">
            <v>7347118</v>
          </cell>
          <cell r="O28">
            <v>8365621</v>
          </cell>
          <cell r="P28">
            <v>5465783</v>
          </cell>
          <cell r="T28">
            <v>69000004</v>
          </cell>
          <cell r="V28">
            <v>47042088</v>
          </cell>
        </row>
        <row r="29">
          <cell r="I29">
            <v>0.13855810604038599</v>
          </cell>
          <cell r="K29">
            <v>0.2105674194637932</v>
          </cell>
          <cell r="L29">
            <v>0.14093407566102312</v>
          </cell>
          <cell r="O29">
            <v>4.7886420299904975E-2</v>
          </cell>
          <cell r="P29">
            <v>2.8785104497546676E-2</v>
          </cell>
          <cell r="T29">
            <v>9.7601084798857318E-2</v>
          </cell>
          <cell r="V29">
            <v>0.95132928812904738</v>
          </cell>
        </row>
        <row r="30">
          <cell r="I30">
            <v>655222</v>
          </cell>
          <cell r="K30">
            <v>739651</v>
          </cell>
          <cell r="L30">
            <v>759246</v>
          </cell>
          <cell r="O30">
            <v>660683</v>
          </cell>
          <cell r="P30">
            <v>534882</v>
          </cell>
          <cell r="T30">
            <v>7000001</v>
          </cell>
          <cell r="V30">
            <v>4804741</v>
          </cell>
        </row>
        <row r="31">
          <cell r="I31">
            <v>456999</v>
          </cell>
          <cell r="K31">
            <v>622001</v>
          </cell>
          <cell r="L31">
            <v>696001</v>
          </cell>
          <cell r="O31">
            <v>632000</v>
          </cell>
          <cell r="P31">
            <v>381998</v>
          </cell>
          <cell r="T31">
            <v>4502002</v>
          </cell>
          <cell r="V31">
            <v>3230504</v>
          </cell>
        </row>
        <row r="32">
          <cell r="I32">
            <v>56478</v>
          </cell>
          <cell r="K32">
            <v>39796</v>
          </cell>
          <cell r="L32">
            <v>86186</v>
          </cell>
          <cell r="O32">
            <v>77120</v>
          </cell>
          <cell r="P32">
            <v>60760</v>
          </cell>
          <cell r="T32">
            <v>699996</v>
          </cell>
          <cell r="V32">
            <v>480110</v>
          </cell>
        </row>
        <row r="33">
          <cell r="I33">
            <v>1168699</v>
          </cell>
          <cell r="K33">
            <v>1401448</v>
          </cell>
          <cell r="L33">
            <v>1541433</v>
          </cell>
          <cell r="O33">
            <v>1369803</v>
          </cell>
          <cell r="P33">
            <v>977640</v>
          </cell>
          <cell r="T33">
            <v>12201999</v>
          </cell>
          <cell r="V33">
            <v>8515355</v>
          </cell>
        </row>
        <row r="34">
          <cell r="I34">
            <v>-6.0108248085955052E-2</v>
          </cell>
          <cell r="K34">
            <v>0.13624500670097284</v>
          </cell>
          <cell r="L34">
            <v>-8.8484137670283847E-3</v>
          </cell>
          <cell r="O34">
            <v>-2.7298497563635893E-2</v>
          </cell>
          <cell r="P34">
            <v>8.7967522560269185E-2</v>
          </cell>
          <cell r="T34">
            <v>-4.6878848230871184E-2</v>
          </cell>
          <cell r="V34">
            <v>-0.67797274081515546</v>
          </cell>
        </row>
        <row r="35">
          <cell r="V35">
            <v>0</v>
          </cell>
        </row>
        <row r="36">
          <cell r="I36">
            <v>21054358</v>
          </cell>
          <cell r="K36">
            <v>23171233</v>
          </cell>
          <cell r="L36">
            <v>26980713</v>
          </cell>
          <cell r="O36">
            <v>24472078</v>
          </cell>
          <cell r="P36">
            <v>14671687</v>
          </cell>
          <cell r="T36">
            <v>228902021</v>
          </cell>
          <cell r="V36">
            <v>164828435</v>
          </cell>
        </row>
        <row r="37">
          <cell r="I37">
            <v>1168699</v>
          </cell>
          <cell r="K37">
            <v>1401448</v>
          </cell>
          <cell r="L37">
            <v>1541433</v>
          </cell>
          <cell r="O37">
            <v>1369803</v>
          </cell>
          <cell r="P37">
            <v>977640</v>
          </cell>
          <cell r="T37">
            <v>12201999</v>
          </cell>
          <cell r="V37">
            <v>8515355</v>
          </cell>
        </row>
        <row r="38">
          <cell r="I38">
            <v>22223057</v>
          </cell>
          <cell r="K38">
            <v>24572681</v>
          </cell>
          <cell r="L38">
            <v>28522146</v>
          </cell>
          <cell r="O38">
            <v>25841881</v>
          </cell>
          <cell r="P38">
            <v>15649327</v>
          </cell>
          <cell r="T38">
            <v>241104020</v>
          </cell>
          <cell r="V38">
            <v>173343790</v>
          </cell>
        </row>
        <row r="39">
          <cell r="V39">
            <v>0</v>
          </cell>
        </row>
        <row r="40">
          <cell r="I40">
            <v>384585</v>
          </cell>
          <cell r="K40">
            <v>403807</v>
          </cell>
          <cell r="L40">
            <v>437758</v>
          </cell>
          <cell r="O40">
            <v>384597</v>
          </cell>
          <cell r="P40">
            <v>337478</v>
          </cell>
          <cell r="T40">
            <v>4100009</v>
          </cell>
          <cell r="V40">
            <v>2749760</v>
          </cell>
        </row>
        <row r="41">
          <cell r="I41">
            <v>532000</v>
          </cell>
          <cell r="K41">
            <v>588000</v>
          </cell>
          <cell r="L41">
            <v>599000</v>
          </cell>
          <cell r="O41">
            <v>492000</v>
          </cell>
          <cell r="P41">
            <v>431000</v>
          </cell>
          <cell r="T41">
            <v>5600000</v>
          </cell>
          <cell r="V41">
            <v>3955000</v>
          </cell>
        </row>
        <row r="42">
          <cell r="I42">
            <v>916585</v>
          </cell>
          <cell r="K42">
            <v>991807</v>
          </cell>
          <cell r="L42">
            <v>1036758</v>
          </cell>
          <cell r="O42">
            <v>876597</v>
          </cell>
          <cell r="P42">
            <v>768478</v>
          </cell>
          <cell r="T42">
            <v>9700009</v>
          </cell>
          <cell r="V42">
            <v>6704760</v>
          </cell>
        </row>
        <row r="43">
          <cell r="I43">
            <v>0.10118554186760087</v>
          </cell>
          <cell r="K43">
            <v>3.5810292861335302E-2</v>
          </cell>
          <cell r="L43">
            <v>0.14464414455692376</v>
          </cell>
          <cell r="O43">
            <v>0.17883495850664266</v>
          </cell>
          <cell r="P43">
            <v>7.6681232985917891E-2</v>
          </cell>
          <cell r="T43">
            <v>6.1817536568086195E-2</v>
          </cell>
          <cell r="V43">
            <v>0.43054829078987467</v>
          </cell>
        </row>
        <row r="44">
          <cell r="I44">
            <v>23139642</v>
          </cell>
          <cell r="K44">
            <v>25564488</v>
          </cell>
          <cell r="L44">
            <v>29558904</v>
          </cell>
          <cell r="O44">
            <v>26718478</v>
          </cell>
          <cell r="P44">
            <v>16417805</v>
          </cell>
          <cell r="T44">
            <v>250804029</v>
          </cell>
          <cell r="V44">
            <v>180048550</v>
          </cell>
        </row>
        <row r="45">
          <cell r="I45">
            <v>0.15453157210226576</v>
          </cell>
          <cell r="K45">
            <v>0.18091194188494231</v>
          </cell>
          <cell r="L45">
            <v>0.12723796589765168</v>
          </cell>
          <cell r="O45">
            <v>0.1180808321405622</v>
          </cell>
          <cell r="P45">
            <v>0.1520803409098006</v>
          </cell>
          <cell r="T45">
            <v>0.14299082441120814</v>
          </cell>
          <cell r="V45">
            <v>1.1268194600986314</v>
          </cell>
        </row>
        <row r="46">
          <cell r="V46">
            <v>0</v>
          </cell>
        </row>
        <row r="47">
          <cell r="V47">
            <v>0</v>
          </cell>
        </row>
        <row r="48">
          <cell r="V48">
            <v>0</v>
          </cell>
        </row>
        <row r="49">
          <cell r="I49">
            <v>35840.701773999986</v>
          </cell>
          <cell r="K49">
            <v>37782.967147999996</v>
          </cell>
          <cell r="L49">
            <v>41980.864247999991</v>
          </cell>
          <cell r="O49">
            <v>48983.418089999992</v>
          </cell>
          <cell r="P49">
            <v>33741.076810439998</v>
          </cell>
          <cell r="T49">
            <v>448291.15958043997</v>
          </cell>
          <cell r="V49">
            <v>289862.7975474</v>
          </cell>
        </row>
        <row r="50">
          <cell r="I50">
            <v>65532</v>
          </cell>
          <cell r="K50">
            <v>78264</v>
          </cell>
          <cell r="L50">
            <v>85618</v>
          </cell>
          <cell r="O50">
            <v>84595</v>
          </cell>
          <cell r="P50">
            <v>61065</v>
          </cell>
          <cell r="T50">
            <v>876543</v>
          </cell>
          <cell r="V50">
            <v>584973</v>
          </cell>
        </row>
        <row r="51">
          <cell r="V51">
            <v>0</v>
          </cell>
        </row>
        <row r="52">
          <cell r="I52">
            <v>14212.442419464882</v>
          </cell>
          <cell r="K52">
            <v>17789.796494792085</v>
          </cell>
          <cell r="L52">
            <v>19532.670462125981</v>
          </cell>
          <cell r="O52">
            <v>21345.01289978316</v>
          </cell>
          <cell r="P52">
            <v>19225.456545704375</v>
          </cell>
          <cell r="T52">
            <v>178029.55142233014</v>
          </cell>
          <cell r="V52">
            <v>110400.86880731903</v>
          </cell>
        </row>
        <row r="53">
          <cell r="I53">
            <v>12044.449589898722</v>
          </cell>
          <cell r="K53">
            <v>15983.955191021083</v>
          </cell>
          <cell r="L53">
            <v>17764.202390459901</v>
          </cell>
          <cell r="O53">
            <v>17544.449589898719</v>
          </cell>
          <cell r="P53">
            <v>13044.449589898721</v>
          </cell>
          <cell r="T53">
            <v>158049.43988776355</v>
          </cell>
          <cell r="V53">
            <v>103932.13592704631</v>
          </cell>
        </row>
        <row r="54">
          <cell r="I54">
            <v>26256.892009363604</v>
          </cell>
          <cell r="K54">
            <v>33773.751685813171</v>
          </cell>
          <cell r="L54">
            <v>37296.872852585882</v>
          </cell>
          <cell r="O54">
            <v>38889.462489681879</v>
          </cell>
          <cell r="P54">
            <v>32269.906135603094</v>
          </cell>
          <cell r="T54">
            <v>336078.99131009367</v>
          </cell>
          <cell r="V54">
            <v>214333.00473436533</v>
          </cell>
        </row>
        <row r="55">
          <cell r="V55">
            <v>0</v>
          </cell>
        </row>
        <row r="56">
          <cell r="I56">
            <v>127632</v>
          </cell>
          <cell r="K56">
            <v>149823</v>
          </cell>
          <cell r="L56">
            <v>164896</v>
          </cell>
          <cell r="O56">
            <v>172471</v>
          </cell>
          <cell r="P56">
            <v>127079</v>
          </cell>
          <cell r="T56">
            <v>1660922</v>
          </cell>
          <cell r="V56">
            <v>1089174</v>
          </cell>
        </row>
        <row r="57">
          <cell r="V57">
            <v>0</v>
          </cell>
        </row>
        <row r="58">
          <cell r="I58">
            <v>41115</v>
          </cell>
          <cell r="K58">
            <v>42595</v>
          </cell>
          <cell r="L58">
            <v>52873</v>
          </cell>
          <cell r="O58">
            <v>53526</v>
          </cell>
          <cell r="P58">
            <v>40918</v>
          </cell>
          <cell r="T58">
            <v>500064</v>
          </cell>
          <cell r="V58">
            <v>321385</v>
          </cell>
        </row>
        <row r="59">
          <cell r="I59">
            <v>58408</v>
          </cell>
          <cell r="K59">
            <v>65399</v>
          </cell>
          <cell r="L59">
            <v>76334</v>
          </cell>
          <cell r="O59">
            <v>42679</v>
          </cell>
          <cell r="P59">
            <v>28815</v>
          </cell>
          <cell r="T59">
            <v>500000</v>
          </cell>
          <cell r="V59">
            <v>382721</v>
          </cell>
        </row>
        <row r="60">
          <cell r="I60">
            <v>99523</v>
          </cell>
          <cell r="K60">
            <v>107994</v>
          </cell>
          <cell r="L60">
            <v>129207</v>
          </cell>
          <cell r="O60">
            <v>96205</v>
          </cell>
          <cell r="P60">
            <v>69733</v>
          </cell>
          <cell r="T60">
            <v>1000064</v>
          </cell>
          <cell r="V60">
            <v>704106</v>
          </cell>
        </row>
        <row r="61">
          <cell r="V61">
            <v>0</v>
          </cell>
        </row>
        <row r="62">
          <cell r="I62">
            <v>54308</v>
          </cell>
          <cell r="K62">
            <v>58905</v>
          </cell>
          <cell r="L62">
            <v>58433</v>
          </cell>
          <cell r="O62">
            <v>53486</v>
          </cell>
          <cell r="P62">
            <v>50708</v>
          </cell>
          <cell r="T62">
            <v>606307</v>
          </cell>
          <cell r="V62">
            <v>405913</v>
          </cell>
        </row>
        <row r="63">
          <cell r="I63">
            <v>153831</v>
          </cell>
          <cell r="K63">
            <v>166899</v>
          </cell>
          <cell r="L63">
            <v>187640</v>
          </cell>
          <cell r="O63">
            <v>149691</v>
          </cell>
          <cell r="P63">
            <v>120441</v>
          </cell>
          <cell r="T63">
            <v>1606371</v>
          </cell>
          <cell r="V63">
            <v>1110019</v>
          </cell>
        </row>
        <row r="64">
          <cell r="V64">
            <v>0</v>
          </cell>
        </row>
        <row r="65">
          <cell r="I65">
            <v>281463</v>
          </cell>
          <cell r="K65">
            <v>316722</v>
          </cell>
          <cell r="L65">
            <v>352536</v>
          </cell>
          <cell r="O65">
            <v>322162</v>
          </cell>
          <cell r="P65">
            <v>247520</v>
          </cell>
          <cell r="T65">
            <v>3267293</v>
          </cell>
          <cell r="V65">
            <v>2199193</v>
          </cell>
        </row>
        <row r="66">
          <cell r="I66">
            <v>0.18929484562731402</v>
          </cell>
          <cell r="K66">
            <v>-0.11191966761823835</v>
          </cell>
          <cell r="L66">
            <v>0.39913383028817861</v>
          </cell>
          <cell r="O66">
            <v>0.40379322587616429</v>
          </cell>
          <cell r="P66">
            <v>0.88257185753278478</v>
          </cell>
          <cell r="T66">
            <v>0.23227858820557157</v>
          </cell>
          <cell r="V66">
            <v>1.1854214141889226</v>
          </cell>
        </row>
        <row r="67">
          <cell r="V67">
            <v>0</v>
          </cell>
        </row>
        <row r="68">
          <cell r="V68">
            <v>0</v>
          </cell>
        </row>
        <row r="69">
          <cell r="I69">
            <v>22350689</v>
          </cell>
          <cell r="K69">
            <v>24722504</v>
          </cell>
          <cell r="L69">
            <v>28687042</v>
          </cell>
          <cell r="O69">
            <v>26014352</v>
          </cell>
          <cell r="P69">
            <v>15776406</v>
          </cell>
          <cell r="T69">
            <v>242764942</v>
          </cell>
          <cell r="V69">
            <v>174432964</v>
          </cell>
        </row>
        <row r="70">
          <cell r="I70">
            <v>484108</v>
          </cell>
          <cell r="K70">
            <v>511801</v>
          </cell>
          <cell r="L70">
            <v>566965</v>
          </cell>
          <cell r="O70">
            <v>480802</v>
          </cell>
          <cell r="P70">
            <v>407211</v>
          </cell>
          <cell r="T70">
            <v>5100073</v>
          </cell>
          <cell r="V70">
            <v>3453866</v>
          </cell>
        </row>
        <row r="71">
          <cell r="I71">
            <v>586308</v>
          </cell>
          <cell r="K71">
            <v>646905</v>
          </cell>
          <cell r="L71">
            <v>657433</v>
          </cell>
          <cell r="O71">
            <v>545486</v>
          </cell>
          <cell r="P71">
            <v>481708</v>
          </cell>
          <cell r="T71">
            <v>6206307</v>
          </cell>
          <cell r="V71">
            <v>4360913</v>
          </cell>
        </row>
        <row r="72">
          <cell r="I72">
            <v>23421105</v>
          </cell>
          <cell r="K72">
            <v>25881210</v>
          </cell>
          <cell r="L72">
            <v>29911440</v>
          </cell>
          <cell r="O72">
            <v>27040640</v>
          </cell>
          <cell r="P72">
            <v>16665325</v>
          </cell>
          <cell r="T72">
            <v>254071322</v>
          </cell>
          <cell r="V72">
            <v>182247743</v>
          </cell>
        </row>
        <row r="73">
          <cell r="I73">
            <v>0.15493727065337826</v>
          </cell>
          <cell r="K73">
            <v>0.17616593946387438</v>
          </cell>
          <cell r="L73">
            <v>0.12982570773690449</v>
          </cell>
          <cell r="O73">
            <v>0.12079859062366949</v>
          </cell>
          <cell r="P73">
            <v>0.15875844270624695</v>
          </cell>
          <cell r="T73">
            <v>0.14405683883353482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8">
          <cell r="K8">
            <v>5</v>
          </cell>
        </row>
      </sheetData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AFS Input"/>
      <sheetName val="AFS Link"/>
      <sheetName val="AFS Report"/>
      <sheetName val="Forex Rates"/>
      <sheetName val="Accounts"/>
      <sheetName val="Beverage Entities"/>
      <sheetName val="Snacks Entities"/>
      <sheetName val="Reference"/>
      <sheetName val="2002P-BU"/>
      <sheetName val="ASP"/>
      <sheetName val="Control_Panel"/>
      <sheetName val="AFS_Input"/>
      <sheetName val="AFS_Link"/>
      <sheetName val="AFS_Report"/>
      <sheetName val="Forex_Rates"/>
      <sheetName val="Beverage_Entities"/>
      <sheetName val="Snacks_Entities"/>
      <sheetName val="Control_Panel1"/>
      <sheetName val="AFS_Input1"/>
      <sheetName val="AFS_Link1"/>
      <sheetName val="AFS_Report1"/>
      <sheetName val="Forex_Rates1"/>
      <sheetName val="Beverage_Entities1"/>
      <sheetName val="Snacks_Entities1"/>
      <sheetName val="Control_Panel2"/>
      <sheetName val="AFS_Input2"/>
      <sheetName val="AFS_Link2"/>
      <sheetName val="AFS_Report2"/>
      <sheetName val="Forex_Rates2"/>
      <sheetName val="Beverage_Entities2"/>
      <sheetName val="Snacks_Entitie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9">
          <cell r="C9" t="str">
            <v>Beverage Volume</v>
          </cell>
        </row>
        <row r="11">
          <cell r="C11" t="str">
            <v>VOB1000</v>
          </cell>
          <cell r="D11" t="str">
            <v>BOTTLER CASE SALES - 8 OZ. EQUIV - CSD</v>
          </cell>
        </row>
        <row r="12">
          <cell r="C12" t="str">
            <v>VOB1100</v>
          </cell>
          <cell r="D12" t="str">
            <v>BOTTLER CASE SALES - 8 OZ. EQUIV - NON CSD</v>
          </cell>
        </row>
        <row r="13">
          <cell r="C13" t="str">
            <v>VOB1100.10</v>
          </cell>
          <cell r="D13" t="str">
            <v>GATORADE</v>
          </cell>
        </row>
        <row r="14">
          <cell r="C14" t="str">
            <v>VOB1100.20</v>
          </cell>
          <cell r="D14" t="str">
            <v>WATER</v>
          </cell>
        </row>
        <row r="15">
          <cell r="C15" t="str">
            <v>VOB1100.30</v>
          </cell>
          <cell r="D15" t="str">
            <v>JUICE/JUICE DRINKS</v>
          </cell>
        </row>
        <row r="16">
          <cell r="C16" t="str">
            <v>VOB1100.35</v>
          </cell>
          <cell r="D16" t="str">
            <v>LIPTON</v>
          </cell>
        </row>
        <row r="17">
          <cell r="C17" t="str">
            <v>VOB1100.40</v>
          </cell>
          <cell r="D17" t="str">
            <v>ALL OTHER NON CSD</v>
          </cell>
        </row>
        <row r="20">
          <cell r="C20" t="str">
            <v>Snacks Volume</v>
          </cell>
        </row>
        <row r="22">
          <cell r="C22" t="str">
            <v>VOS1000OS</v>
          </cell>
          <cell r="D22" t="str">
            <v>Brand - Gross Kilos - Outside</v>
          </cell>
        </row>
        <row r="23">
          <cell r="C23" t="str">
            <v>VOS1000OS.20</v>
          </cell>
          <cell r="D23" t="str">
            <v>Salty Sales</v>
          </cell>
        </row>
        <row r="24">
          <cell r="C24" t="str">
            <v>VOS1000OS.30</v>
          </cell>
          <cell r="D24" t="str">
            <v>Sweet Sales</v>
          </cell>
        </row>
        <row r="25">
          <cell r="C25" t="str">
            <v>VOS1000OS.35</v>
          </cell>
          <cell r="D25" t="str">
            <v>Snack Sales (Salty &amp; Sweet)</v>
          </cell>
        </row>
        <row r="26">
          <cell r="C26" t="str">
            <v>VOS1000OS.50</v>
          </cell>
          <cell r="D26" t="str">
            <v>*Other Foods</v>
          </cell>
        </row>
        <row r="27">
          <cell r="C27" t="str">
            <v>VOS1000OS.65</v>
          </cell>
          <cell r="D27" t="str">
            <v>*Total Sales - Snacks &amp; Food</v>
          </cell>
        </row>
        <row r="28">
          <cell r="C28" t="str">
            <v>VOS1000OS.90.110</v>
          </cell>
          <cell r="D28" t="str">
            <v>Noncarb Beverage Sales - Chocolate</v>
          </cell>
        </row>
        <row r="29">
          <cell r="C29" t="str">
            <v>VOS1000OS.90.130</v>
          </cell>
          <cell r="D29" t="str">
            <v>Other Liquids</v>
          </cell>
        </row>
        <row r="30">
          <cell r="C30" t="str">
            <v>VOS1000OS.90.310</v>
          </cell>
          <cell r="D30" t="str">
            <v>Powder (Sabritas)</v>
          </cell>
        </row>
        <row r="33">
          <cell r="C33" t="str">
            <v>Profit and Loss</v>
          </cell>
        </row>
        <row r="35">
          <cell r="C35" t="str">
            <v>PL1000</v>
          </cell>
          <cell r="D35" t="str">
            <v>GROSS SALES</v>
          </cell>
        </row>
        <row r="36">
          <cell r="C36" t="str">
            <v>PL1400</v>
          </cell>
          <cell r="D36" t="str">
            <v>TRADE SPENDING DISCOUNTS &amp; ALLOWANCES</v>
          </cell>
        </row>
        <row r="37">
          <cell r="C37" t="str">
            <v>PL1500</v>
          </cell>
          <cell r="D37" t="str">
            <v>D&amp;A - Obsolete Do Not Use</v>
          </cell>
        </row>
        <row r="38">
          <cell r="C38" t="str">
            <v>PL1550</v>
          </cell>
          <cell r="D38" t="str">
            <v>PROMO SPENDING - Obsolete Do Not Use</v>
          </cell>
        </row>
        <row r="39">
          <cell r="C39" t="str">
            <v>PL1600</v>
          </cell>
          <cell r="D39" t="str">
            <v>NET SALES - OUTSIDE</v>
          </cell>
        </row>
        <row r="40">
          <cell r="C40" t="str">
            <v>PL1800</v>
          </cell>
          <cell r="D40" t="str">
            <v>NET SALES - INTERCOMPANY</v>
          </cell>
        </row>
        <row r="41">
          <cell r="C41" t="str">
            <v>PL1820</v>
          </cell>
          <cell r="D41" t="str">
            <v>NET SALES - INTRACOMPANY (SUBACCOUNT TAB</v>
          </cell>
        </row>
        <row r="42">
          <cell r="C42" t="str">
            <v>PL2000</v>
          </cell>
          <cell r="D42" t="str">
            <v>TOTAL NET REVENUES</v>
          </cell>
        </row>
        <row r="43">
          <cell r="C43" t="str">
            <v>PL3100</v>
          </cell>
          <cell r="D43" t="str">
            <v>TOTAL COST OF SALES</v>
          </cell>
        </row>
        <row r="44">
          <cell r="C44" t="str">
            <v>PL4000</v>
          </cell>
          <cell r="D44" t="str">
            <v>GROSS PROFIT</v>
          </cell>
        </row>
        <row r="45">
          <cell r="C45" t="str">
            <v>PL4100</v>
          </cell>
          <cell r="D45" t="str">
            <v>SELLING AND DISTRIBUTION</v>
          </cell>
        </row>
        <row r="46">
          <cell r="C46" t="str">
            <v>PL4400</v>
          </cell>
          <cell r="D46" t="str">
            <v>ADVERTISING AND MARKETING</v>
          </cell>
        </row>
        <row r="47">
          <cell r="C47" t="str">
            <v>PL4700</v>
          </cell>
          <cell r="D47" t="str">
            <v>GENERAL &amp; ADMINISTRATIVE</v>
          </cell>
        </row>
        <row r="48">
          <cell r="C48" t="str">
            <v>PL4710</v>
          </cell>
          <cell r="D48" t="str">
            <v>G&amp;A - STOCK OPTIONS EXPENSE</v>
          </cell>
        </row>
        <row r="49">
          <cell r="C49" t="str">
            <v>PL4800</v>
          </cell>
          <cell r="D49" t="str">
            <v>TOTAL OPERATING EXPENSE</v>
          </cell>
        </row>
        <row r="50">
          <cell r="C50" t="str">
            <v>PL5000</v>
          </cell>
          <cell r="D50" t="str">
            <v>OPERATING PROFIT (LOSS)</v>
          </cell>
        </row>
        <row r="51">
          <cell r="C51" t="str">
            <v>PL5100</v>
          </cell>
          <cell r="D51" t="str">
            <v>TOTAL OTHER INCOME</v>
          </cell>
        </row>
        <row r="52">
          <cell r="C52" t="str">
            <v>PL5100.05</v>
          </cell>
          <cell r="D52" t="str">
            <v>*Other Income</v>
          </cell>
        </row>
        <row r="53">
          <cell r="C53" t="str">
            <v>PL5100.20</v>
          </cell>
          <cell r="D53" t="str">
            <v>Equity in Unconsol Affil / LOB - Snacks</v>
          </cell>
        </row>
        <row r="54">
          <cell r="C54" t="str">
            <v>PL5100.24</v>
          </cell>
          <cell r="D54" t="str">
            <v>Equity in Bott Ops - LOB</v>
          </cell>
        </row>
        <row r="55">
          <cell r="C55" t="str">
            <v>PL5500</v>
          </cell>
          <cell r="D55" t="str">
            <v>TOTAL OTHER EXPENSES</v>
          </cell>
        </row>
        <row r="56">
          <cell r="C56" t="str">
            <v>PL5500.05</v>
          </cell>
          <cell r="D56" t="str">
            <v>*Other Expense</v>
          </cell>
        </row>
        <row r="57">
          <cell r="C57" t="str">
            <v>PL5500.55.10</v>
          </cell>
          <cell r="D57" t="str">
            <v>JV Profit In Inventory (PII)</v>
          </cell>
        </row>
        <row r="58">
          <cell r="C58" t="str">
            <v>PL5501</v>
          </cell>
          <cell r="D58" t="str">
            <v>LOB Restructuring  (Q4, 2003+)</v>
          </cell>
        </row>
        <row r="59">
          <cell r="C59" t="str">
            <v>PL5502</v>
          </cell>
          <cell r="D59" t="str">
            <v>LOB Asset Impairment (Q4, 2003+)</v>
          </cell>
        </row>
        <row r="60">
          <cell r="C60" t="str">
            <v>PL6000</v>
          </cell>
          <cell r="D60" t="str">
            <v>NOPBT</v>
          </cell>
        </row>
        <row r="61">
          <cell r="C61" t="str">
            <v>OF1250</v>
          </cell>
          <cell r="D61" t="str">
            <v>NOPBT Calc. - LOB</v>
          </cell>
        </row>
        <row r="64">
          <cell r="C64" t="str">
            <v>Cash Flow</v>
          </cell>
        </row>
        <row r="66">
          <cell r="C66" t="str">
            <v>CFT101001</v>
          </cell>
          <cell r="D66" t="str">
            <v>NOPBT(excl NonMerg,Restruc,Trans&amp;Impair)</v>
          </cell>
        </row>
        <row r="67">
          <cell r="C67" t="str">
            <v>CFT102001</v>
          </cell>
          <cell r="D67" t="str">
            <v>PP&amp;E Depreciation</v>
          </cell>
        </row>
        <row r="68">
          <cell r="C68" t="str">
            <v>CFT102003/CFT102004/CFT102005</v>
          </cell>
          <cell r="D68" t="str">
            <v>Amortization</v>
          </cell>
        </row>
        <row r="69">
          <cell r="C69" t="str">
            <v>CFT102003</v>
          </cell>
          <cell r="D69" t="str">
            <v>Goodwill &amp; Other Intangible Amortiz.</v>
          </cell>
        </row>
        <row r="70">
          <cell r="C70" t="str">
            <v>CFT102004</v>
          </cell>
          <cell r="D70" t="str">
            <v>Other Asset Amortization</v>
          </cell>
        </row>
        <row r="71">
          <cell r="C71" t="str">
            <v>CFT102005</v>
          </cell>
          <cell r="D71" t="str">
            <v>NCL - Other Amortization</v>
          </cell>
        </row>
        <row r="72">
          <cell r="C72" t="str">
            <v>CFT1035</v>
          </cell>
          <cell r="D72" t="str">
            <v>Stock Option Expense</v>
          </cell>
        </row>
        <row r="73">
          <cell r="C73" t="str">
            <v>CFT1056/CFT1059</v>
          </cell>
          <cell r="D73" t="str">
            <v>Pension/Post-Retirement Expense</v>
          </cell>
        </row>
        <row r="74">
          <cell r="C74" t="str">
            <v>CFT1056</v>
          </cell>
          <cell r="D74" t="str">
            <v>Pension Expense</v>
          </cell>
        </row>
        <row r="75">
          <cell r="C75" t="str">
            <v>CFT1059</v>
          </cell>
          <cell r="D75" t="str">
            <v>Post Retirement Expense</v>
          </cell>
        </row>
        <row r="76">
          <cell r="C76" t="str">
            <v>ICF1060</v>
          </cell>
          <cell r="D76" t="str">
            <v>ICF-Total Oth Non-Cash Items</v>
          </cell>
        </row>
        <row r="77">
          <cell r="C77" t="str">
            <v>ICF1100</v>
          </cell>
          <cell r="D77" t="str">
            <v>ICF-NOPBT Cash Flow</v>
          </cell>
        </row>
        <row r="78">
          <cell r="C78" t="str">
            <v>ICF1300</v>
          </cell>
          <cell r="D78" t="str">
            <v>ICF-Total Working Capital</v>
          </cell>
        </row>
        <row r="79">
          <cell r="C79" t="str">
            <v>ICF2010</v>
          </cell>
          <cell r="D79" t="str">
            <v>ICF-Total Capital Spending</v>
          </cell>
        </row>
        <row r="80">
          <cell r="C80" t="str">
            <v>ICF2200</v>
          </cell>
          <cell r="D80" t="str">
            <v>ICF-Other Balance Sheet Changes</v>
          </cell>
        </row>
        <row r="81">
          <cell r="C81" t="str">
            <v>ICF2250</v>
          </cell>
          <cell r="D81" t="str">
            <v>ICF-Total Pre-Tax Operating Cash Flow</v>
          </cell>
        </row>
        <row r="82">
          <cell r="C82" t="str">
            <v>ICF2300</v>
          </cell>
          <cell r="D82" t="str">
            <v>ICF-Total Taxes on Operating Cash Flow</v>
          </cell>
        </row>
        <row r="83">
          <cell r="C83" t="str">
            <v>ICF2350</v>
          </cell>
          <cell r="D83" t="str">
            <v>ICF-Operating Cash Flow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 x chan (2)"/>
      <sheetName val="gallons per cs"/>
      <sheetName val="gal x chan"/>
      <sheetName val="cs x chan"/>
      <sheetName val="svdc x chan"/>
      <sheetName val="gs x chan"/>
      <sheetName val="case pr  x chan"/>
      <sheetName val="actual cost"/>
      <sheetName val="control sheet"/>
      <sheetName val="CAGRs"/>
      <sheetName val="Sheet1"/>
      <sheetName val="Cost Sheet"/>
      <sheetName val="BENEPLA.XLS"/>
      <sheetName val="Benefits"/>
      <sheetName val="fawsVariables"/>
      <sheetName val="gal_x_chan_(2)"/>
      <sheetName val="gallons_per_cs"/>
      <sheetName val="gal_x_chan"/>
      <sheetName val="cs_x_chan"/>
      <sheetName val="svdc_x_chan"/>
      <sheetName val="gs_x_chan"/>
      <sheetName val="case_pr__x_chan"/>
      <sheetName val="actual_cost"/>
      <sheetName val="control_sheet"/>
      <sheetName val="Cost_Sheet"/>
      <sheetName val="BENEPLA_XLS"/>
      <sheetName val="HR_MTX"/>
      <sheetName val="QBR Facility"/>
      <sheetName val="QBR DC"/>
      <sheetName val="QBR Plant"/>
      <sheetName val="PP Bag"/>
      <sheetName val="Accounts"/>
      <sheetName val="Entities"/>
      <sheetName val="gal_x_chan_(2)1"/>
      <sheetName val="gallons_per_cs1"/>
      <sheetName val="gal_x_chan1"/>
      <sheetName val="cs_x_chan1"/>
      <sheetName val="svdc_x_chan1"/>
      <sheetName val="gs_x_chan1"/>
      <sheetName val="case_pr__x_chan1"/>
      <sheetName val="actual_cost1"/>
      <sheetName val="control_sheet1"/>
      <sheetName val="Cost_Sheet1"/>
      <sheetName val="BENEPLA_XLS1"/>
      <sheetName val="QBR_Facility"/>
      <sheetName val="QBR_DC"/>
      <sheetName val="QBR_Plant"/>
      <sheetName val="PP_Bag"/>
      <sheetName val="gal_x_chan_(2)2"/>
      <sheetName val="gallons_per_cs2"/>
      <sheetName val="gal_x_chan2"/>
      <sheetName val="cs_x_chan2"/>
      <sheetName val="svdc_x_chan2"/>
      <sheetName val="gs_x_chan2"/>
      <sheetName val="case_pr__x_chan2"/>
      <sheetName val="actual_cost2"/>
      <sheetName val="control_sheet2"/>
      <sheetName val="Cost_Sheet2"/>
      <sheetName val="BENEPLA_XLS2"/>
      <sheetName val="QBR_Facility1"/>
      <sheetName val="QBR_DC1"/>
      <sheetName val="QBR_Plant1"/>
      <sheetName val="PP_Bag1"/>
      <sheetName val="gal_x_chan_(2)3"/>
      <sheetName val="gallons_per_cs3"/>
      <sheetName val="gal_x_chan3"/>
      <sheetName val="cs_x_chan3"/>
      <sheetName val="svdc_x_chan3"/>
      <sheetName val="gs_x_chan3"/>
      <sheetName val="case_pr__x_chan3"/>
      <sheetName val="actual_cost3"/>
      <sheetName val="control_sheet3"/>
      <sheetName val="Cost_Sheet3"/>
      <sheetName val="BENEPLA_XLS3"/>
      <sheetName val="QBR_Facility2"/>
      <sheetName val="QBR_DC2"/>
      <sheetName val="QBR_Plant2"/>
      <sheetName val="PP_Bag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genda"/>
      <sheetName val="Ex_Sum"/>
      <sheetName val="Quality"/>
      <sheetName val="Vol_1"/>
      <sheetName val="EC Sens Unit sales"/>
      <sheetName val="EC Sens turkey"/>
      <sheetName val="Vol_2"/>
      <sheetName val="Vol_Brand"/>
      <sheetName val="Profit"/>
      <sheetName val="Innov_1"/>
      <sheetName val="Innov_2"/>
      <sheetName val="Value"/>
      <sheetName val="Value_2"/>
      <sheetName val="SOM"/>
      <sheetName val="Sales"/>
      <sheetName val="HR"/>
      <sheetName val="P&amp;L_LC"/>
      <sheetName val="P&amp;L_US"/>
      <sheetName val="Total"/>
      <sheetName val="Outlook"/>
      <sheetName val="BOY"/>
      <sheetName val="MKT_Cal_1 "/>
      <sheetName val="MKT_Cal_2"/>
      <sheetName val="Capex_OCF"/>
      <sheetName val="Key_ Initiatives"/>
      <sheetName val="INPUT"/>
      <sheetName val="Data LC"/>
      <sheetName val="Data US"/>
      <sheetName val="Brand"/>
      <sheetName val="Menu"/>
      <sheetName val="Large Bags and Others"/>
      <sheetName val="Medium Size"/>
      <sheetName val="COSTO IMPORTADO"/>
      <sheetName val="Junior Traga"/>
      <sheetName val="Sweets Cookies"/>
      <sheetName val="TROP TRIAL BAL"/>
      <sheetName val="TROP FINANCIALS"/>
      <sheetName val="control sheet"/>
      <sheetName val="Prev RFE"/>
      <sheetName val="Var_ Rm_Pm_07_08"/>
      <sheetName val="START"/>
      <sheetName val="RG-A"/>
      <sheetName val="ReportsTo"/>
      <sheetName val="G0581 2005"/>
      <sheetName val="Coûts controlables"/>
      <sheetName val="Direct Summary"/>
      <sheetName val="EC_Sens_Unit_sales"/>
      <sheetName val="EC_Sens_turkey"/>
      <sheetName val="MKT_Cal_1_"/>
      <sheetName val="Key__Initiatives"/>
      <sheetName val="Data_LC"/>
      <sheetName val="Data_US"/>
      <sheetName val="Large_Bags_and_Others"/>
      <sheetName val="Medium_Size"/>
      <sheetName val="COSTO_IMPORTADO"/>
      <sheetName val="Junior_Traga"/>
      <sheetName val="Sweets_Cookies"/>
      <sheetName val="TROP_TRIAL_BAL"/>
      <sheetName val="TROP_FINANCIALS"/>
      <sheetName val="control_sheet"/>
      <sheetName val="Prev_RFE"/>
      <sheetName val="Var__Rm_Pm_07_08"/>
      <sheetName val="G0581_2005"/>
      <sheetName val="Coûts_controlables"/>
      <sheetName val="Direct_Summary"/>
      <sheetName val="EC_Sens_Unit_sales1"/>
      <sheetName val="EC_Sens_turkey1"/>
      <sheetName val="MKT_Cal_1_1"/>
      <sheetName val="Key__Initiatives1"/>
      <sheetName val="Data_LC1"/>
      <sheetName val="Data_US1"/>
      <sheetName val="Large_Bags_and_Others1"/>
      <sheetName val="Medium_Size1"/>
      <sheetName val="COSTO_IMPORTADO1"/>
      <sheetName val="Junior_Traga1"/>
      <sheetName val="Sweets_Cookies1"/>
      <sheetName val="TROP_TRIAL_BAL1"/>
      <sheetName val="TROP_FINANCIALS1"/>
      <sheetName val="control_sheet1"/>
      <sheetName val="Prev_RFE1"/>
      <sheetName val="Var__Rm_Pm_07_081"/>
      <sheetName val="G0581_20051"/>
      <sheetName val="Coûts_controlables1"/>
      <sheetName val="Direct_Summary1"/>
      <sheetName val="EC_Sens_Unit_sales2"/>
      <sheetName val="EC_Sens_turkey2"/>
      <sheetName val="MKT_Cal_1_2"/>
      <sheetName val="Key__Initiatives2"/>
      <sheetName val="Data_LC2"/>
      <sheetName val="Data_US2"/>
      <sheetName val="Large_Bags_and_Others2"/>
      <sheetName val="Medium_Size2"/>
      <sheetName val="COSTO_IMPORTADO2"/>
      <sheetName val="Junior_Traga2"/>
      <sheetName val="Sweets_Cookies2"/>
      <sheetName val="TROP_TRIAL_BAL2"/>
      <sheetName val="TROP_FINANCIALS2"/>
      <sheetName val="control_sheet2"/>
      <sheetName val="Prev_RFE2"/>
      <sheetName val="Var__Rm_Pm_07_082"/>
      <sheetName val="G0581_20052"/>
      <sheetName val="Coûts_controlables2"/>
      <sheetName val="Direct_Summary2"/>
      <sheetName val="Orig Target"/>
      <sheetName val="BENEPLA.XLS"/>
      <sheetName val="Hyperion"/>
      <sheetName val="Flags &amp; v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17">
          <cell r="F17" t="str">
            <v>Strat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enses"/>
      <sheetName val="Finance"/>
      <sheetName val="oversea"/>
      <sheetName val="domestic"/>
      <sheetName val="Local"/>
      <sheetName val="Det-Local Trav"/>
      <sheetName val="R&amp;M"/>
      <sheetName val="Rent"/>
      <sheetName val="SVCS"/>
      <sheetName val="Others"/>
      <sheetName val="B-Charge1"/>
      <sheetName val="B-Charge2"/>
      <sheetName val="Printing"/>
      <sheetName val="Stationery"/>
      <sheetName val="Insurance"/>
      <sheetName val="Bad Debt"/>
      <sheetName val="Planning"/>
      <sheetName val="oversea (2)"/>
      <sheetName val="domestic (2)"/>
      <sheetName val="Local (2)"/>
      <sheetName val="DO weight"/>
      <sheetName val="Seed"/>
      <sheetName val="control sheet"/>
      <sheetName val="graph"/>
      <sheetName val="Det-Local_Trav"/>
      <sheetName val="Bad_Debt"/>
      <sheetName val="oversea_(2)"/>
      <sheetName val="domestic_(2)"/>
      <sheetName val="Local_(2)"/>
      <sheetName val="DO_weight"/>
      <sheetName val="control_sheet"/>
      <sheetName val="Det-Local_Trav1"/>
      <sheetName val="Bad_Debt1"/>
      <sheetName val="oversea_(2)1"/>
      <sheetName val="domestic_(2)1"/>
      <sheetName val="Local_(2)1"/>
      <sheetName val="DO_weight1"/>
      <sheetName val="control_sheet1"/>
      <sheetName val="Det-Local_Trav2"/>
      <sheetName val="Bad_Debt2"/>
      <sheetName val="oversea_(2)2"/>
      <sheetName val="domestic_(2)2"/>
      <sheetName val="Local_(2)2"/>
      <sheetName val="DO_weight2"/>
      <sheetName val="control_sheet2"/>
    </sheetNames>
    <sheetDataSet>
      <sheetData sheetId="0"/>
      <sheetData sheetId="1" refreshError="1">
        <row r="18">
          <cell r="A18">
            <v>50000000</v>
          </cell>
          <cell r="B18" t="str">
            <v>Bonus</v>
          </cell>
          <cell r="D18">
            <v>0</v>
          </cell>
          <cell r="F18">
            <v>0</v>
          </cell>
          <cell r="G18">
            <v>0</v>
          </cell>
          <cell r="T18">
            <v>0</v>
          </cell>
          <cell r="U18" t="str">
            <v>n/a</v>
          </cell>
          <cell r="V18">
            <v>0</v>
          </cell>
          <cell r="W18">
            <v>0</v>
          </cell>
          <cell r="X18">
            <v>0</v>
          </cell>
          <cell r="AL18">
            <v>0</v>
          </cell>
          <cell r="AN18">
            <v>933708</v>
          </cell>
        </row>
        <row r="19">
          <cell r="A19">
            <v>50060000</v>
          </cell>
          <cell r="B19" t="str">
            <v>Salary</v>
          </cell>
          <cell r="D19">
            <v>0</v>
          </cell>
          <cell r="F19">
            <v>0</v>
          </cell>
          <cell r="G19">
            <v>0</v>
          </cell>
          <cell r="T19">
            <v>0</v>
          </cell>
          <cell r="U19" t="str">
            <v>n/a</v>
          </cell>
          <cell r="V19">
            <v>0</v>
          </cell>
          <cell r="W19">
            <v>0</v>
          </cell>
          <cell r="X19">
            <v>0</v>
          </cell>
          <cell r="AL19">
            <v>0</v>
          </cell>
          <cell r="AN19">
            <v>15335931</v>
          </cell>
        </row>
        <row r="20">
          <cell r="A20">
            <v>50080000</v>
          </cell>
          <cell r="B20" t="str">
            <v>Overtime-Staff</v>
          </cell>
          <cell r="D20">
            <v>0</v>
          </cell>
          <cell r="F20">
            <v>0</v>
          </cell>
          <cell r="G20">
            <v>0</v>
          </cell>
          <cell r="H20">
            <v>27370</v>
          </cell>
          <cell r="I20">
            <v>27370</v>
          </cell>
          <cell r="J20">
            <v>29012.2</v>
          </cell>
          <cell r="K20">
            <v>29012.2</v>
          </cell>
          <cell r="L20">
            <v>29012.2</v>
          </cell>
          <cell r="M20">
            <v>29012.2</v>
          </cell>
          <cell r="N20">
            <v>29012.2</v>
          </cell>
          <cell r="O20">
            <v>29012.2</v>
          </cell>
          <cell r="P20">
            <v>29012.2</v>
          </cell>
          <cell r="Q20">
            <v>29012.2</v>
          </cell>
          <cell r="R20">
            <v>29012.2</v>
          </cell>
          <cell r="S20">
            <v>29012.2</v>
          </cell>
          <cell r="T20">
            <v>344862.00000000006</v>
          </cell>
          <cell r="U20" t="str">
            <v>n/a</v>
          </cell>
          <cell r="V20">
            <v>-344862.00000000006</v>
          </cell>
          <cell r="W20">
            <v>28738.500000000004</v>
          </cell>
          <cell r="X20">
            <v>-28738.500000000004</v>
          </cell>
          <cell r="AL20">
            <v>0</v>
          </cell>
          <cell r="AN20">
            <v>174385</v>
          </cell>
        </row>
        <row r="21">
          <cell r="A21">
            <v>50540000</v>
          </cell>
          <cell r="B21" t="str">
            <v>Overtime-Worker</v>
          </cell>
          <cell r="D21">
            <v>0</v>
          </cell>
          <cell r="F21">
            <v>0</v>
          </cell>
          <cell r="G21">
            <v>0</v>
          </cell>
          <cell r="T21">
            <v>0</v>
          </cell>
          <cell r="U21" t="str">
            <v>n/a</v>
          </cell>
          <cell r="V21">
            <v>0</v>
          </cell>
          <cell r="W21">
            <v>0</v>
          </cell>
          <cell r="X21">
            <v>0</v>
          </cell>
          <cell r="AL21">
            <v>0</v>
          </cell>
          <cell r="AN21">
            <v>0</v>
          </cell>
        </row>
        <row r="22">
          <cell r="A22">
            <v>50810001</v>
          </cell>
          <cell r="B22" t="str">
            <v>Housing Allowance</v>
          </cell>
          <cell r="D22">
            <v>0</v>
          </cell>
          <cell r="F22">
            <v>0</v>
          </cell>
          <cell r="G22">
            <v>0</v>
          </cell>
          <cell r="T22">
            <v>0</v>
          </cell>
          <cell r="U22" t="str">
            <v>n/a</v>
          </cell>
          <cell r="V22">
            <v>0</v>
          </cell>
          <cell r="W22">
            <v>0</v>
          </cell>
          <cell r="X22">
            <v>0</v>
          </cell>
          <cell r="AL22">
            <v>0</v>
          </cell>
          <cell r="AN22">
            <v>9688</v>
          </cell>
        </row>
        <row r="23">
          <cell r="A23">
            <v>50810002</v>
          </cell>
          <cell r="B23" t="str">
            <v>Shift Premium</v>
          </cell>
          <cell r="D23">
            <v>0</v>
          </cell>
          <cell r="F23">
            <v>0</v>
          </cell>
          <cell r="G23">
            <v>0</v>
          </cell>
          <cell r="T23">
            <v>0</v>
          </cell>
          <cell r="U23" t="str">
            <v>n/a</v>
          </cell>
          <cell r="V23">
            <v>0</v>
          </cell>
          <cell r="W23">
            <v>0</v>
          </cell>
          <cell r="X23">
            <v>0</v>
          </cell>
          <cell r="AL23">
            <v>0</v>
          </cell>
          <cell r="AN23">
            <v>0</v>
          </cell>
        </row>
        <row r="24">
          <cell r="A24">
            <v>51210000</v>
          </cell>
          <cell r="B24" t="str">
            <v>Social Security Taxes</v>
          </cell>
          <cell r="D24">
            <v>0</v>
          </cell>
          <cell r="F24">
            <v>0</v>
          </cell>
          <cell r="G24">
            <v>0</v>
          </cell>
          <cell r="T24">
            <v>0</v>
          </cell>
          <cell r="U24" t="str">
            <v>n/a</v>
          </cell>
          <cell r="V24">
            <v>0</v>
          </cell>
          <cell r="W24">
            <v>0</v>
          </cell>
          <cell r="X24">
            <v>0</v>
          </cell>
          <cell r="AL24">
            <v>0</v>
          </cell>
          <cell r="AN24">
            <v>154884</v>
          </cell>
        </row>
        <row r="25">
          <cell r="A25">
            <v>51220000</v>
          </cell>
          <cell r="B25" t="str">
            <v>Workmen's Compensation</v>
          </cell>
          <cell r="D25">
            <v>0</v>
          </cell>
          <cell r="F25">
            <v>0</v>
          </cell>
          <cell r="G25">
            <v>0</v>
          </cell>
          <cell r="T25">
            <v>0</v>
          </cell>
          <cell r="U25" t="str">
            <v>n/a</v>
          </cell>
          <cell r="V25">
            <v>0</v>
          </cell>
          <cell r="W25">
            <v>0</v>
          </cell>
          <cell r="X25">
            <v>0</v>
          </cell>
          <cell r="AL25">
            <v>0</v>
          </cell>
          <cell r="AN25">
            <v>0</v>
          </cell>
        </row>
        <row r="26">
          <cell r="A26">
            <v>51230000</v>
          </cell>
          <cell r="B26" t="str">
            <v>Group Insurance</v>
          </cell>
          <cell r="D26">
            <v>0</v>
          </cell>
          <cell r="F26">
            <v>0</v>
          </cell>
          <cell r="G26">
            <v>0</v>
          </cell>
          <cell r="T26">
            <v>0</v>
          </cell>
          <cell r="U26" t="str">
            <v>n/a</v>
          </cell>
          <cell r="V26">
            <v>0</v>
          </cell>
          <cell r="W26">
            <v>0</v>
          </cell>
          <cell r="X26">
            <v>0</v>
          </cell>
          <cell r="AL26">
            <v>0</v>
          </cell>
          <cell r="AN26">
            <v>161435</v>
          </cell>
        </row>
        <row r="27">
          <cell r="A27">
            <v>51250000</v>
          </cell>
          <cell r="B27" t="str">
            <v>Medical Fee</v>
          </cell>
          <cell r="D27">
            <v>0</v>
          </cell>
          <cell r="F27">
            <v>0</v>
          </cell>
          <cell r="G27">
            <v>0</v>
          </cell>
          <cell r="T27">
            <v>0</v>
          </cell>
          <cell r="U27" t="str">
            <v>n/a</v>
          </cell>
          <cell r="V27">
            <v>0</v>
          </cell>
          <cell r="W27">
            <v>0</v>
          </cell>
          <cell r="X27">
            <v>0</v>
          </cell>
          <cell r="AL27">
            <v>0</v>
          </cell>
          <cell r="AN27">
            <v>246702</v>
          </cell>
        </row>
        <row r="28">
          <cell r="A28">
            <v>51600001</v>
          </cell>
          <cell r="B28" t="str">
            <v>Termination Pay</v>
          </cell>
          <cell r="D28">
            <v>0</v>
          </cell>
          <cell r="F28">
            <v>0</v>
          </cell>
          <cell r="G28">
            <v>0</v>
          </cell>
          <cell r="T28">
            <v>0</v>
          </cell>
          <cell r="U28" t="str">
            <v>n/a</v>
          </cell>
          <cell r="V28">
            <v>0</v>
          </cell>
          <cell r="W28">
            <v>0</v>
          </cell>
          <cell r="X28">
            <v>0</v>
          </cell>
          <cell r="AL28">
            <v>0</v>
          </cell>
          <cell r="AN28">
            <v>0</v>
          </cell>
        </row>
        <row r="29">
          <cell r="A29">
            <v>51600002</v>
          </cell>
          <cell r="B29" t="str">
            <v>Provident Fund</v>
          </cell>
          <cell r="D29">
            <v>0</v>
          </cell>
          <cell r="F29">
            <v>0</v>
          </cell>
          <cell r="G29">
            <v>0</v>
          </cell>
          <cell r="T29">
            <v>0</v>
          </cell>
          <cell r="U29" t="str">
            <v>n/a</v>
          </cell>
          <cell r="V29">
            <v>0</v>
          </cell>
          <cell r="W29">
            <v>0</v>
          </cell>
          <cell r="X29">
            <v>0</v>
          </cell>
          <cell r="AL29">
            <v>0</v>
          </cell>
          <cell r="AN29">
            <v>768105</v>
          </cell>
        </row>
        <row r="30">
          <cell r="A30">
            <v>52250001</v>
          </cell>
          <cell r="B30" t="str">
            <v>Daily Temporary Wage - Fixed</v>
          </cell>
          <cell r="D30">
            <v>0</v>
          </cell>
          <cell r="F30">
            <v>0</v>
          </cell>
          <cell r="G30">
            <v>0</v>
          </cell>
          <cell r="T30">
            <v>0</v>
          </cell>
          <cell r="U30" t="str">
            <v>n/a</v>
          </cell>
          <cell r="V30">
            <v>0</v>
          </cell>
          <cell r="W30">
            <v>0</v>
          </cell>
          <cell r="X30">
            <v>0</v>
          </cell>
          <cell r="AL30">
            <v>0</v>
          </cell>
          <cell r="AN30">
            <v>0</v>
          </cell>
        </row>
        <row r="31">
          <cell r="B31" t="str">
            <v>Total ERC - Compensation and Benefits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27370</v>
          </cell>
          <cell r="I31">
            <v>27370</v>
          </cell>
          <cell r="J31">
            <v>29012.2</v>
          </cell>
          <cell r="K31">
            <v>29012.2</v>
          </cell>
          <cell r="L31">
            <v>29012.2</v>
          </cell>
          <cell r="M31">
            <v>29012.2</v>
          </cell>
          <cell r="N31">
            <v>29012.2</v>
          </cell>
          <cell r="O31">
            <v>29012.2</v>
          </cell>
          <cell r="P31">
            <v>29012.2</v>
          </cell>
          <cell r="Q31">
            <v>29012.2</v>
          </cell>
          <cell r="R31">
            <v>29012.2</v>
          </cell>
          <cell r="S31">
            <v>29012.2</v>
          </cell>
          <cell r="T31">
            <v>344862.00000000006</v>
          </cell>
          <cell r="U31" t="str">
            <v>n/a</v>
          </cell>
          <cell r="V31">
            <v>-344862.00000000006</v>
          </cell>
          <cell r="W31">
            <v>28738.500000000004</v>
          </cell>
          <cell r="X31">
            <v>-28738.500000000004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N31">
            <v>17784838</v>
          </cell>
        </row>
        <row r="32">
          <cell r="A32" t="str">
            <v>ERC - Indirect Benefits</v>
          </cell>
        </row>
        <row r="33">
          <cell r="A33">
            <v>51000000</v>
          </cell>
          <cell r="B33" t="str">
            <v>Vacation Allowance</v>
          </cell>
          <cell r="D33">
            <v>0</v>
          </cell>
          <cell r="F33">
            <v>0</v>
          </cell>
          <cell r="G33">
            <v>0</v>
          </cell>
          <cell r="T33">
            <v>0</v>
          </cell>
          <cell r="U33" t="str">
            <v>n/a</v>
          </cell>
          <cell r="V33">
            <v>0</v>
          </cell>
          <cell r="W33">
            <v>0</v>
          </cell>
          <cell r="X33">
            <v>0</v>
          </cell>
          <cell r="AL33">
            <v>0</v>
          </cell>
          <cell r="AN33">
            <v>0</v>
          </cell>
        </row>
        <row r="34">
          <cell r="A34">
            <v>51400000</v>
          </cell>
          <cell r="B34" t="str">
            <v>Uniforms</v>
          </cell>
          <cell r="D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 t="str">
            <v>n/a</v>
          </cell>
          <cell r="V34">
            <v>0</v>
          </cell>
          <cell r="W34">
            <v>0</v>
          </cell>
          <cell r="X34">
            <v>0</v>
          </cell>
          <cell r="AL34">
            <v>0</v>
          </cell>
          <cell r="AN34">
            <v>0</v>
          </cell>
        </row>
        <row r="35">
          <cell r="A35">
            <v>51410001</v>
          </cell>
          <cell r="B35" t="str">
            <v>Staff Meal</v>
          </cell>
          <cell r="D35">
            <v>0</v>
          </cell>
          <cell r="F35">
            <v>0</v>
          </cell>
          <cell r="G35">
            <v>0</v>
          </cell>
          <cell r="H35">
            <v>2240</v>
          </cell>
          <cell r="I35">
            <v>2520</v>
          </cell>
          <cell r="J35">
            <v>3150</v>
          </cell>
          <cell r="K35">
            <v>3080</v>
          </cell>
          <cell r="L35">
            <v>3430</v>
          </cell>
          <cell r="M35">
            <v>3150</v>
          </cell>
          <cell r="N35">
            <v>3150</v>
          </cell>
          <cell r="O35">
            <v>2520</v>
          </cell>
          <cell r="P35">
            <v>1610</v>
          </cell>
          <cell r="Q35">
            <v>1960</v>
          </cell>
          <cell r="R35">
            <v>1960</v>
          </cell>
          <cell r="S35">
            <v>2310</v>
          </cell>
          <cell r="T35">
            <v>31080</v>
          </cell>
          <cell r="U35" t="str">
            <v>n/a</v>
          </cell>
          <cell r="V35">
            <v>-31080</v>
          </cell>
          <cell r="W35">
            <v>2590</v>
          </cell>
          <cell r="X35">
            <v>-2590</v>
          </cell>
          <cell r="AL35">
            <v>0</v>
          </cell>
          <cell r="AN35">
            <v>27092</v>
          </cell>
        </row>
        <row r="36">
          <cell r="A36">
            <v>51410002</v>
          </cell>
          <cell r="B36" t="str">
            <v>Cafeteria Expense</v>
          </cell>
          <cell r="D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 t="str">
            <v>n/a</v>
          </cell>
          <cell r="V36">
            <v>0</v>
          </cell>
          <cell r="W36">
            <v>0</v>
          </cell>
          <cell r="X36">
            <v>0</v>
          </cell>
          <cell r="AL36">
            <v>0</v>
          </cell>
          <cell r="AN36">
            <v>1004</v>
          </cell>
        </row>
        <row r="37">
          <cell r="A37">
            <v>51440000</v>
          </cell>
          <cell r="B37" t="str">
            <v>Company Parties &amp; Gifts</v>
          </cell>
          <cell r="D37">
            <v>0</v>
          </cell>
          <cell r="F37">
            <v>0</v>
          </cell>
          <cell r="G37">
            <v>0</v>
          </cell>
          <cell r="T37">
            <v>0</v>
          </cell>
          <cell r="U37" t="str">
            <v>n/a</v>
          </cell>
          <cell r="V37">
            <v>0</v>
          </cell>
          <cell r="W37">
            <v>0</v>
          </cell>
          <cell r="X37">
            <v>0</v>
          </cell>
          <cell r="AL37">
            <v>0</v>
          </cell>
          <cell r="AN37">
            <v>0</v>
          </cell>
        </row>
        <row r="38">
          <cell r="A38">
            <v>51600003</v>
          </cell>
          <cell r="B38" t="str">
            <v>Other Benefits</v>
          </cell>
          <cell r="D38">
            <v>0</v>
          </cell>
          <cell r="F38">
            <v>0</v>
          </cell>
          <cell r="G38">
            <v>0</v>
          </cell>
          <cell r="T38">
            <v>0</v>
          </cell>
          <cell r="U38" t="str">
            <v>n/a</v>
          </cell>
          <cell r="V38">
            <v>0</v>
          </cell>
          <cell r="W38">
            <v>0</v>
          </cell>
          <cell r="X38">
            <v>0</v>
          </cell>
          <cell r="AL38">
            <v>0</v>
          </cell>
          <cell r="AN38">
            <v>318463</v>
          </cell>
        </row>
        <row r="39">
          <cell r="B39" t="str">
            <v>Total Indirect Benefits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2240</v>
          </cell>
          <cell r="I39">
            <v>2520</v>
          </cell>
          <cell r="J39">
            <v>3150</v>
          </cell>
          <cell r="K39">
            <v>3080</v>
          </cell>
          <cell r="L39">
            <v>3430</v>
          </cell>
          <cell r="M39">
            <v>3150</v>
          </cell>
          <cell r="N39">
            <v>3150</v>
          </cell>
          <cell r="O39">
            <v>2520</v>
          </cell>
          <cell r="P39">
            <v>1610</v>
          </cell>
          <cell r="Q39">
            <v>1960</v>
          </cell>
          <cell r="R39">
            <v>1960</v>
          </cell>
          <cell r="S39">
            <v>2310</v>
          </cell>
          <cell r="T39">
            <v>31080</v>
          </cell>
          <cell r="U39" t="str">
            <v>n/a</v>
          </cell>
          <cell r="V39">
            <v>-31080</v>
          </cell>
          <cell r="W39">
            <v>2590</v>
          </cell>
          <cell r="X39">
            <v>-2590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N39">
            <v>346559</v>
          </cell>
        </row>
        <row r="40">
          <cell r="A40" t="str">
            <v>Recruitment &amp; Training</v>
          </cell>
        </row>
        <row r="41">
          <cell r="A41">
            <v>51420000</v>
          </cell>
          <cell r="B41" t="str">
            <v>Employee Recruitment</v>
          </cell>
          <cell r="D41">
            <v>0</v>
          </cell>
          <cell r="F41">
            <v>0</v>
          </cell>
          <cell r="G41">
            <v>0</v>
          </cell>
          <cell r="T41">
            <v>0</v>
          </cell>
          <cell r="U41" t="str">
            <v>n/a</v>
          </cell>
          <cell r="V41">
            <v>0</v>
          </cell>
          <cell r="W41">
            <v>0</v>
          </cell>
          <cell r="X41">
            <v>0</v>
          </cell>
          <cell r="AL41">
            <v>0</v>
          </cell>
          <cell r="AN41">
            <v>0</v>
          </cell>
        </row>
        <row r="42">
          <cell r="A42">
            <v>51430001</v>
          </cell>
          <cell r="B42" t="str">
            <v>Training and Development</v>
          </cell>
          <cell r="D42">
            <v>0</v>
          </cell>
          <cell r="F42">
            <v>0</v>
          </cell>
          <cell r="G42">
            <v>0</v>
          </cell>
          <cell r="T42">
            <v>0</v>
          </cell>
          <cell r="U42" t="str">
            <v>n/a</v>
          </cell>
          <cell r="V42">
            <v>0</v>
          </cell>
          <cell r="W42">
            <v>0</v>
          </cell>
          <cell r="X42">
            <v>0</v>
          </cell>
          <cell r="AL42">
            <v>0</v>
          </cell>
          <cell r="AN42">
            <v>108385</v>
          </cell>
        </row>
        <row r="43">
          <cell r="B43" t="str">
            <v>Total Recruitment &amp; Training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 t="str">
            <v>n/a</v>
          </cell>
          <cell r="V43">
            <v>0</v>
          </cell>
          <cell r="W43">
            <v>0</v>
          </cell>
          <cell r="X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N43">
            <v>108385</v>
          </cell>
        </row>
        <row r="44">
          <cell r="A44" t="str">
            <v>Travel, Entertainment</v>
          </cell>
        </row>
        <row r="45">
          <cell r="A45">
            <v>52000002</v>
          </cell>
          <cell r="B45" t="str">
            <v>Domestic Travel</v>
          </cell>
          <cell r="D45">
            <v>0</v>
          </cell>
          <cell r="F45">
            <v>0</v>
          </cell>
          <cell r="G45">
            <v>0</v>
          </cell>
          <cell r="H45">
            <v>9340</v>
          </cell>
          <cell r="I45">
            <v>21220</v>
          </cell>
          <cell r="J45">
            <v>20120</v>
          </cell>
          <cell r="K45">
            <v>26590</v>
          </cell>
          <cell r="L45">
            <v>12740</v>
          </cell>
          <cell r="M45">
            <v>15280</v>
          </cell>
          <cell r="N45">
            <v>9850</v>
          </cell>
          <cell r="O45">
            <v>27160</v>
          </cell>
          <cell r="P45">
            <v>17780</v>
          </cell>
          <cell r="Q45">
            <v>21220</v>
          </cell>
          <cell r="R45">
            <v>9340</v>
          </cell>
          <cell r="S45">
            <v>15280</v>
          </cell>
          <cell r="T45">
            <v>205920</v>
          </cell>
          <cell r="U45" t="str">
            <v>n/a</v>
          </cell>
          <cell r="V45">
            <v>-205920</v>
          </cell>
          <cell r="W45">
            <v>17160</v>
          </cell>
          <cell r="X45">
            <v>-17160</v>
          </cell>
          <cell r="AL45">
            <v>0</v>
          </cell>
          <cell r="AN45">
            <v>730903</v>
          </cell>
        </row>
        <row r="46">
          <cell r="A46">
            <v>52000003</v>
          </cell>
          <cell r="B46" t="str">
            <v>Overseas Travel</v>
          </cell>
          <cell r="D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174800</v>
          </cell>
          <cell r="R46">
            <v>0</v>
          </cell>
          <cell r="S46">
            <v>0</v>
          </cell>
          <cell r="T46">
            <v>174800</v>
          </cell>
          <cell r="U46" t="str">
            <v>n/a</v>
          </cell>
          <cell r="V46">
            <v>-174800</v>
          </cell>
          <cell r="W46">
            <v>14566.666666666666</v>
          </cell>
          <cell r="X46">
            <v>-14566.666666666666</v>
          </cell>
          <cell r="AL46">
            <v>0</v>
          </cell>
          <cell r="AN46">
            <v>94179</v>
          </cell>
        </row>
        <row r="47">
          <cell r="A47">
            <v>52000005</v>
          </cell>
          <cell r="B47" t="str">
            <v>Local Travel</v>
          </cell>
          <cell r="D47">
            <v>0</v>
          </cell>
          <cell r="F47">
            <v>0</v>
          </cell>
          <cell r="G47">
            <v>0</v>
          </cell>
          <cell r="H47">
            <v>12120</v>
          </cell>
          <cell r="I47">
            <v>11000</v>
          </cell>
          <cell r="J47">
            <v>12850</v>
          </cell>
          <cell r="K47">
            <v>11840</v>
          </cell>
          <cell r="L47">
            <v>13270</v>
          </cell>
          <cell r="M47">
            <v>12400</v>
          </cell>
          <cell r="N47">
            <v>12400</v>
          </cell>
          <cell r="O47">
            <v>11450</v>
          </cell>
          <cell r="P47">
            <v>9180</v>
          </cell>
          <cell r="Q47">
            <v>10160</v>
          </cell>
          <cell r="R47">
            <v>10610</v>
          </cell>
          <cell r="S47">
            <v>11140</v>
          </cell>
          <cell r="T47">
            <v>138420</v>
          </cell>
          <cell r="U47" t="str">
            <v>n/a</v>
          </cell>
          <cell r="V47">
            <v>-138420</v>
          </cell>
          <cell r="W47">
            <v>11535</v>
          </cell>
          <cell r="X47">
            <v>-11535</v>
          </cell>
          <cell r="AL47">
            <v>0</v>
          </cell>
          <cell r="AN47">
            <v>172330</v>
          </cell>
        </row>
        <row r="48">
          <cell r="A48">
            <v>52000010</v>
          </cell>
          <cell r="B48" t="str">
            <v>Vehicle - Running Expenses</v>
          </cell>
          <cell r="D48">
            <v>0</v>
          </cell>
          <cell r="F48">
            <v>0</v>
          </cell>
          <cell r="G48">
            <v>0</v>
          </cell>
          <cell r="H48">
            <v>7000</v>
          </cell>
          <cell r="I48">
            <v>22000</v>
          </cell>
          <cell r="J48">
            <v>7000</v>
          </cell>
          <cell r="K48">
            <v>7000</v>
          </cell>
          <cell r="L48">
            <v>7000</v>
          </cell>
          <cell r="M48">
            <v>17000</v>
          </cell>
          <cell r="N48">
            <v>7000</v>
          </cell>
          <cell r="O48">
            <v>7000</v>
          </cell>
          <cell r="P48">
            <v>7000</v>
          </cell>
          <cell r="Q48">
            <v>7000</v>
          </cell>
          <cell r="R48">
            <v>7000</v>
          </cell>
          <cell r="S48">
            <v>17000</v>
          </cell>
          <cell r="T48">
            <v>119000</v>
          </cell>
          <cell r="U48" t="str">
            <v>n/a</v>
          </cell>
          <cell r="V48">
            <v>-119000</v>
          </cell>
          <cell r="W48">
            <v>9916.6666666666661</v>
          </cell>
          <cell r="X48">
            <v>-9916.6666666666661</v>
          </cell>
          <cell r="AL48">
            <v>0</v>
          </cell>
          <cell r="AN48">
            <v>407940</v>
          </cell>
        </row>
        <row r="49">
          <cell r="A49">
            <v>52000035</v>
          </cell>
          <cell r="B49" t="str">
            <v>Vehicle - Rental Expense</v>
          </cell>
          <cell r="D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 t="str">
            <v>n/a</v>
          </cell>
          <cell r="V49">
            <v>0</v>
          </cell>
          <cell r="W49">
            <v>0</v>
          </cell>
          <cell r="X49">
            <v>0</v>
          </cell>
          <cell r="AL49">
            <v>0</v>
          </cell>
          <cell r="AN49">
            <v>44898</v>
          </cell>
        </row>
        <row r="50">
          <cell r="A50">
            <v>52030000</v>
          </cell>
          <cell r="B50" t="str">
            <v>Entertainment</v>
          </cell>
          <cell r="D50">
            <v>0</v>
          </cell>
          <cell r="F50">
            <v>0</v>
          </cell>
          <cell r="G50">
            <v>0</v>
          </cell>
          <cell r="H50">
            <v>2000</v>
          </cell>
          <cell r="I50">
            <v>2000</v>
          </cell>
          <cell r="J50">
            <v>2000</v>
          </cell>
          <cell r="K50">
            <v>2000</v>
          </cell>
          <cell r="L50">
            <v>2000</v>
          </cell>
          <cell r="M50">
            <v>2000</v>
          </cell>
          <cell r="N50">
            <v>2000</v>
          </cell>
          <cell r="O50">
            <v>2000</v>
          </cell>
          <cell r="P50">
            <v>2000</v>
          </cell>
          <cell r="Q50">
            <v>2000</v>
          </cell>
          <cell r="R50">
            <v>2000</v>
          </cell>
          <cell r="S50">
            <v>2000</v>
          </cell>
          <cell r="T50">
            <v>24000</v>
          </cell>
          <cell r="U50" t="str">
            <v>n/a</v>
          </cell>
          <cell r="V50">
            <v>-24000</v>
          </cell>
          <cell r="W50">
            <v>2000</v>
          </cell>
          <cell r="X50">
            <v>-2000</v>
          </cell>
          <cell r="AL50">
            <v>0</v>
          </cell>
          <cell r="AN50">
            <v>769</v>
          </cell>
        </row>
        <row r="51">
          <cell r="A51">
            <v>52200000</v>
          </cell>
          <cell r="B51" t="str">
            <v>Business Meeting</v>
          </cell>
          <cell r="D51">
            <v>0</v>
          </cell>
          <cell r="F51">
            <v>0</v>
          </cell>
          <cell r="G51">
            <v>0</v>
          </cell>
          <cell r="H51">
            <v>2000</v>
          </cell>
          <cell r="I51">
            <v>2000</v>
          </cell>
          <cell r="J51">
            <v>2000</v>
          </cell>
          <cell r="K51">
            <v>2000</v>
          </cell>
          <cell r="L51">
            <v>2000</v>
          </cell>
          <cell r="M51">
            <v>2000</v>
          </cell>
          <cell r="N51">
            <v>2000</v>
          </cell>
          <cell r="O51">
            <v>2000</v>
          </cell>
          <cell r="P51">
            <v>2000</v>
          </cell>
          <cell r="Q51">
            <v>2000</v>
          </cell>
          <cell r="R51">
            <v>2000</v>
          </cell>
          <cell r="S51">
            <v>2000</v>
          </cell>
          <cell r="T51">
            <v>24000</v>
          </cell>
          <cell r="U51" t="str">
            <v>n/a</v>
          </cell>
          <cell r="V51">
            <v>-24000</v>
          </cell>
          <cell r="W51">
            <v>2000</v>
          </cell>
          <cell r="X51">
            <v>-2000</v>
          </cell>
          <cell r="AL51">
            <v>0</v>
          </cell>
          <cell r="AN51">
            <v>103594</v>
          </cell>
        </row>
        <row r="52">
          <cell r="A52">
            <v>52350000</v>
          </cell>
          <cell r="B52" t="str">
            <v>Moving / Relocation Expenses</v>
          </cell>
          <cell r="D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 t="str">
            <v>n/a</v>
          </cell>
          <cell r="V52">
            <v>0</v>
          </cell>
          <cell r="W52">
            <v>0</v>
          </cell>
          <cell r="X52">
            <v>0</v>
          </cell>
          <cell r="AL52">
            <v>0</v>
          </cell>
          <cell r="AN52">
            <v>0</v>
          </cell>
        </row>
        <row r="53">
          <cell r="B53" t="str">
            <v>Total Travel, Entertainment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32460</v>
          </cell>
          <cell r="I53">
            <v>58220</v>
          </cell>
          <cell r="J53">
            <v>43970</v>
          </cell>
          <cell r="K53">
            <v>49430</v>
          </cell>
          <cell r="L53">
            <v>37010</v>
          </cell>
          <cell r="M53">
            <v>48680</v>
          </cell>
          <cell r="N53">
            <v>33250</v>
          </cell>
          <cell r="O53">
            <v>49610</v>
          </cell>
          <cell r="P53">
            <v>37960</v>
          </cell>
          <cell r="Q53">
            <v>217180</v>
          </cell>
          <cell r="R53">
            <v>30950</v>
          </cell>
          <cell r="S53">
            <v>47420</v>
          </cell>
          <cell r="T53">
            <v>686140</v>
          </cell>
          <cell r="U53" t="str">
            <v>n/a</v>
          </cell>
          <cell r="V53">
            <v>-686140</v>
          </cell>
          <cell r="W53">
            <v>57178.333333333336</v>
          </cell>
          <cell r="X53">
            <v>-57178.333333333336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N53">
            <v>1554613</v>
          </cell>
        </row>
        <row r="54">
          <cell r="A54" t="str">
            <v>Repair and Maintenance</v>
          </cell>
        </row>
        <row r="55">
          <cell r="A55">
            <v>53000001</v>
          </cell>
          <cell r="B55" t="str">
            <v>R&amp;M - Equipment and Furniture</v>
          </cell>
          <cell r="D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600</v>
          </cell>
          <cell r="K55">
            <v>0</v>
          </cell>
          <cell r="L55">
            <v>0</v>
          </cell>
          <cell r="M55">
            <v>600</v>
          </cell>
          <cell r="N55">
            <v>0</v>
          </cell>
          <cell r="O55">
            <v>0</v>
          </cell>
          <cell r="P55">
            <v>600</v>
          </cell>
          <cell r="Q55">
            <v>0</v>
          </cell>
          <cell r="R55">
            <v>0</v>
          </cell>
          <cell r="S55">
            <v>600</v>
          </cell>
          <cell r="T55">
            <v>2400</v>
          </cell>
          <cell r="U55" t="str">
            <v>n/a</v>
          </cell>
          <cell r="V55">
            <v>-2400</v>
          </cell>
          <cell r="W55">
            <v>200</v>
          </cell>
          <cell r="X55">
            <v>-200</v>
          </cell>
          <cell r="AL55">
            <v>0</v>
          </cell>
          <cell r="AN55">
            <v>3066</v>
          </cell>
        </row>
        <row r="56">
          <cell r="A56">
            <v>53000002</v>
          </cell>
          <cell r="B56" t="str">
            <v>R&amp;M - Machinery - Plant Machinery</v>
          </cell>
          <cell r="D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 t="str">
            <v>n/a</v>
          </cell>
          <cell r="V56">
            <v>0</v>
          </cell>
          <cell r="W56">
            <v>0</v>
          </cell>
          <cell r="X56">
            <v>0</v>
          </cell>
          <cell r="AL56">
            <v>0</v>
          </cell>
          <cell r="AN56">
            <v>2175</v>
          </cell>
        </row>
        <row r="57">
          <cell r="A57">
            <v>53000004</v>
          </cell>
          <cell r="B57" t="str">
            <v>R&amp;M - Computer and Printer</v>
          </cell>
          <cell r="D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 t="str">
            <v>n/a</v>
          </cell>
          <cell r="V57">
            <v>0</v>
          </cell>
          <cell r="W57">
            <v>0</v>
          </cell>
          <cell r="X57">
            <v>0</v>
          </cell>
          <cell r="AL57">
            <v>0</v>
          </cell>
          <cell r="AN57">
            <v>1300</v>
          </cell>
        </row>
        <row r="58">
          <cell r="A58">
            <v>53000009</v>
          </cell>
          <cell r="B58" t="str">
            <v>R&amp;M - Others</v>
          </cell>
          <cell r="D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 t="str">
            <v>n/a</v>
          </cell>
          <cell r="V58">
            <v>0</v>
          </cell>
          <cell r="W58">
            <v>0</v>
          </cell>
          <cell r="X58">
            <v>0</v>
          </cell>
          <cell r="AL58">
            <v>0</v>
          </cell>
          <cell r="AN58">
            <v>3800</v>
          </cell>
        </row>
        <row r="59">
          <cell r="A59">
            <v>53050000</v>
          </cell>
          <cell r="B59" t="str">
            <v>R&amp;M - Land and Building</v>
          </cell>
          <cell r="D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 t="str">
            <v>n/a</v>
          </cell>
          <cell r="V59">
            <v>0</v>
          </cell>
          <cell r="W59">
            <v>0</v>
          </cell>
          <cell r="X59">
            <v>0</v>
          </cell>
          <cell r="AL59">
            <v>0</v>
          </cell>
          <cell r="AN59">
            <v>0</v>
          </cell>
        </row>
        <row r="60">
          <cell r="B60" t="str">
            <v>Total Repair and Maintenance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600</v>
          </cell>
          <cell r="K60">
            <v>0</v>
          </cell>
          <cell r="L60">
            <v>0</v>
          </cell>
          <cell r="M60">
            <v>600</v>
          </cell>
          <cell r="N60">
            <v>0</v>
          </cell>
          <cell r="O60">
            <v>0</v>
          </cell>
          <cell r="P60">
            <v>600</v>
          </cell>
          <cell r="Q60">
            <v>0</v>
          </cell>
          <cell r="R60">
            <v>0</v>
          </cell>
          <cell r="S60">
            <v>600</v>
          </cell>
          <cell r="T60">
            <v>2400</v>
          </cell>
          <cell r="U60" t="str">
            <v>n/a</v>
          </cell>
          <cell r="V60">
            <v>-2400</v>
          </cell>
          <cell r="W60">
            <v>200</v>
          </cell>
          <cell r="X60">
            <v>-200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N60">
            <v>10341</v>
          </cell>
        </row>
        <row r="61">
          <cell r="A61" t="str">
            <v>Depreciation Expense</v>
          </cell>
        </row>
        <row r="62">
          <cell r="A62">
            <v>53410000</v>
          </cell>
          <cell r="B62" t="str">
            <v>Depreciation Building</v>
          </cell>
          <cell r="D62">
            <v>0</v>
          </cell>
          <cell r="F62">
            <v>0</v>
          </cell>
          <cell r="G62">
            <v>0</v>
          </cell>
          <cell r="T62">
            <v>0</v>
          </cell>
          <cell r="U62" t="str">
            <v>n/a</v>
          </cell>
          <cell r="V62">
            <v>0</v>
          </cell>
          <cell r="W62">
            <v>0</v>
          </cell>
          <cell r="X62">
            <v>0</v>
          </cell>
          <cell r="AL62">
            <v>0</v>
          </cell>
          <cell r="AN62">
            <v>0</v>
          </cell>
        </row>
        <row r="63">
          <cell r="A63">
            <v>53430000</v>
          </cell>
          <cell r="B63" t="str">
            <v>Depreciation Machinery</v>
          </cell>
          <cell r="D63">
            <v>0</v>
          </cell>
          <cell r="F63">
            <v>0</v>
          </cell>
          <cell r="G63">
            <v>0</v>
          </cell>
          <cell r="T63">
            <v>0</v>
          </cell>
          <cell r="U63" t="str">
            <v>n/a</v>
          </cell>
          <cell r="V63">
            <v>0</v>
          </cell>
          <cell r="W63">
            <v>0</v>
          </cell>
          <cell r="X63">
            <v>0</v>
          </cell>
          <cell r="AL63">
            <v>0</v>
          </cell>
          <cell r="AN63">
            <v>140610</v>
          </cell>
        </row>
        <row r="64">
          <cell r="A64">
            <v>53440000</v>
          </cell>
          <cell r="B64" t="str">
            <v>Depreciation Furniture and Fixture</v>
          </cell>
          <cell r="D64">
            <v>0</v>
          </cell>
          <cell r="F64">
            <v>0</v>
          </cell>
          <cell r="G64">
            <v>0</v>
          </cell>
          <cell r="T64">
            <v>0</v>
          </cell>
          <cell r="U64" t="str">
            <v>n/a</v>
          </cell>
          <cell r="V64">
            <v>0</v>
          </cell>
          <cell r="W64">
            <v>0</v>
          </cell>
          <cell r="X64">
            <v>0</v>
          </cell>
          <cell r="AL64">
            <v>0</v>
          </cell>
          <cell r="AN64">
            <v>61829</v>
          </cell>
        </row>
        <row r="65">
          <cell r="A65">
            <v>53450000</v>
          </cell>
          <cell r="B65" t="str">
            <v>Depreciation Office Equipment</v>
          </cell>
          <cell r="D65">
            <v>0</v>
          </cell>
          <cell r="F65">
            <v>0</v>
          </cell>
          <cell r="G65">
            <v>0</v>
          </cell>
          <cell r="T65">
            <v>0</v>
          </cell>
          <cell r="U65" t="str">
            <v>n/a</v>
          </cell>
          <cell r="V65">
            <v>0</v>
          </cell>
          <cell r="W65">
            <v>0</v>
          </cell>
          <cell r="X65">
            <v>0</v>
          </cell>
          <cell r="AL65">
            <v>0</v>
          </cell>
          <cell r="AN65">
            <v>40999</v>
          </cell>
        </row>
        <row r="66">
          <cell r="A66">
            <v>53460000</v>
          </cell>
          <cell r="B66" t="str">
            <v>Depreciation Computer Hardware</v>
          </cell>
          <cell r="D66">
            <v>0</v>
          </cell>
          <cell r="F66">
            <v>0</v>
          </cell>
          <cell r="G66">
            <v>0</v>
          </cell>
          <cell r="T66">
            <v>0</v>
          </cell>
          <cell r="U66" t="str">
            <v>n/a</v>
          </cell>
          <cell r="V66">
            <v>0</v>
          </cell>
          <cell r="W66">
            <v>0</v>
          </cell>
          <cell r="X66">
            <v>0</v>
          </cell>
          <cell r="AL66">
            <v>0</v>
          </cell>
          <cell r="AN66">
            <v>344493</v>
          </cell>
        </row>
        <row r="67">
          <cell r="A67">
            <v>53550000</v>
          </cell>
          <cell r="B67" t="str">
            <v>Depreciation Leasehold Improvement</v>
          </cell>
          <cell r="D67">
            <v>0</v>
          </cell>
          <cell r="F67">
            <v>0</v>
          </cell>
          <cell r="G67">
            <v>0</v>
          </cell>
          <cell r="T67">
            <v>0</v>
          </cell>
          <cell r="U67" t="str">
            <v>n/a</v>
          </cell>
          <cell r="V67">
            <v>0</v>
          </cell>
          <cell r="W67">
            <v>0</v>
          </cell>
          <cell r="X67">
            <v>0</v>
          </cell>
          <cell r="AL67">
            <v>0</v>
          </cell>
          <cell r="AN67">
            <v>10972</v>
          </cell>
        </row>
        <row r="68">
          <cell r="A68">
            <v>54400000</v>
          </cell>
          <cell r="B68" t="str">
            <v>Depreciation Vehicle - Non Passenger Vehicles</v>
          </cell>
          <cell r="D68">
            <v>0</v>
          </cell>
          <cell r="F68">
            <v>0</v>
          </cell>
          <cell r="G68">
            <v>0</v>
          </cell>
          <cell r="T68">
            <v>0</v>
          </cell>
          <cell r="U68" t="str">
            <v>n/a</v>
          </cell>
          <cell r="V68">
            <v>0</v>
          </cell>
          <cell r="W68">
            <v>0</v>
          </cell>
          <cell r="X68">
            <v>0</v>
          </cell>
          <cell r="AL68">
            <v>0</v>
          </cell>
          <cell r="AN68">
            <v>0</v>
          </cell>
        </row>
        <row r="69">
          <cell r="A69">
            <v>54450000</v>
          </cell>
          <cell r="B69" t="str">
            <v>Depreciation Vehicle - Passenger Vehicles</v>
          </cell>
          <cell r="D69">
            <v>0</v>
          </cell>
          <cell r="F69">
            <v>0</v>
          </cell>
          <cell r="G69">
            <v>0</v>
          </cell>
          <cell r="T69">
            <v>0</v>
          </cell>
          <cell r="U69" t="str">
            <v>n/a</v>
          </cell>
          <cell r="V69">
            <v>0</v>
          </cell>
          <cell r="W69">
            <v>0</v>
          </cell>
          <cell r="X69">
            <v>0</v>
          </cell>
          <cell r="AL69">
            <v>0</v>
          </cell>
          <cell r="AN69">
            <v>1092173</v>
          </cell>
        </row>
        <row r="70">
          <cell r="B70" t="str">
            <v>Total Depreciation Expense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 t="str">
            <v>n/a</v>
          </cell>
          <cell r="V70">
            <v>0</v>
          </cell>
          <cell r="W70">
            <v>0</v>
          </cell>
          <cell r="X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N70">
            <v>1691076</v>
          </cell>
        </row>
        <row r="71">
          <cell r="A71" t="str">
            <v>Insurance and Rent</v>
          </cell>
        </row>
        <row r="72">
          <cell r="A72">
            <v>53630009</v>
          </cell>
          <cell r="B72" t="str">
            <v>Insurance Expense</v>
          </cell>
          <cell r="D72">
            <v>0</v>
          </cell>
          <cell r="F72">
            <v>0</v>
          </cell>
          <cell r="G72">
            <v>0</v>
          </cell>
          <cell r="H72">
            <v>211129</v>
          </cell>
          <cell r="I72">
            <v>211129</v>
          </cell>
          <cell r="J72">
            <v>211129</v>
          </cell>
          <cell r="K72">
            <v>211129</v>
          </cell>
          <cell r="L72">
            <v>211129</v>
          </cell>
          <cell r="M72">
            <v>211129</v>
          </cell>
          <cell r="N72">
            <v>211129</v>
          </cell>
          <cell r="O72">
            <v>211129</v>
          </cell>
          <cell r="P72">
            <v>211130</v>
          </cell>
          <cell r="Q72">
            <v>211130</v>
          </cell>
          <cell r="R72">
            <v>211130</v>
          </cell>
          <cell r="S72">
            <v>211130</v>
          </cell>
          <cell r="T72">
            <v>2533552</v>
          </cell>
          <cell r="U72" t="str">
            <v>n/a</v>
          </cell>
          <cell r="V72">
            <v>-2533552</v>
          </cell>
          <cell r="W72">
            <v>211129.33333333334</v>
          </cell>
          <cell r="X72">
            <v>-211129.33333333334</v>
          </cell>
          <cell r="AL72">
            <v>0</v>
          </cell>
          <cell r="AN72">
            <v>2886167</v>
          </cell>
        </row>
        <row r="73">
          <cell r="A73">
            <v>53700000</v>
          </cell>
          <cell r="B73" t="str">
            <v>Rental - Building &amp; Office</v>
          </cell>
          <cell r="D73">
            <v>0</v>
          </cell>
          <cell r="F73">
            <v>0</v>
          </cell>
          <cell r="G73">
            <v>0</v>
          </cell>
          <cell r="T73">
            <v>0</v>
          </cell>
          <cell r="U73" t="str">
            <v>n/a</v>
          </cell>
          <cell r="V73">
            <v>0</v>
          </cell>
          <cell r="W73">
            <v>0</v>
          </cell>
          <cell r="X73">
            <v>0</v>
          </cell>
          <cell r="AL73">
            <v>0</v>
          </cell>
          <cell r="AN73">
            <v>0</v>
          </cell>
        </row>
        <row r="74">
          <cell r="A74">
            <v>53730000</v>
          </cell>
          <cell r="B74" t="str">
            <v>Rental - House and Store Room</v>
          </cell>
          <cell r="D74">
            <v>0</v>
          </cell>
          <cell r="F74">
            <v>0</v>
          </cell>
          <cell r="G74">
            <v>0</v>
          </cell>
          <cell r="T74">
            <v>0</v>
          </cell>
          <cell r="U74" t="str">
            <v>n/a</v>
          </cell>
          <cell r="V74">
            <v>0</v>
          </cell>
          <cell r="W74">
            <v>0</v>
          </cell>
          <cell r="X74">
            <v>0</v>
          </cell>
          <cell r="AL74">
            <v>0</v>
          </cell>
          <cell r="AN74">
            <v>0</v>
          </cell>
        </row>
        <row r="75">
          <cell r="A75">
            <v>53730010</v>
          </cell>
          <cell r="B75" t="str">
            <v>Rental - Machinery &amp; Equipment</v>
          </cell>
          <cell r="D75">
            <v>0</v>
          </cell>
          <cell r="F75">
            <v>0</v>
          </cell>
          <cell r="G75">
            <v>0</v>
          </cell>
          <cell r="T75">
            <v>0</v>
          </cell>
          <cell r="U75" t="str">
            <v>n/a</v>
          </cell>
          <cell r="V75">
            <v>0</v>
          </cell>
          <cell r="W75">
            <v>0</v>
          </cell>
          <cell r="X75">
            <v>0</v>
          </cell>
          <cell r="AL75">
            <v>0</v>
          </cell>
          <cell r="AN75">
            <v>0</v>
          </cell>
        </row>
        <row r="76">
          <cell r="B76" t="str">
            <v>Total Insurance and Rent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211129</v>
          </cell>
          <cell r="I76">
            <v>211129</v>
          </cell>
          <cell r="J76">
            <v>211129</v>
          </cell>
          <cell r="K76">
            <v>211129</v>
          </cell>
          <cell r="L76">
            <v>211129</v>
          </cell>
          <cell r="M76">
            <v>211129</v>
          </cell>
          <cell r="N76">
            <v>211129</v>
          </cell>
          <cell r="O76">
            <v>211129</v>
          </cell>
          <cell r="P76">
            <v>211130</v>
          </cell>
          <cell r="Q76">
            <v>211130</v>
          </cell>
          <cell r="R76">
            <v>211130</v>
          </cell>
          <cell r="S76">
            <v>211130</v>
          </cell>
          <cell r="T76">
            <v>2533552</v>
          </cell>
          <cell r="U76" t="str">
            <v>n/a</v>
          </cell>
          <cell r="V76">
            <v>-2533552</v>
          </cell>
          <cell r="W76">
            <v>211129.33333333334</v>
          </cell>
          <cell r="X76">
            <v>-211129.33333333334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N76">
            <v>2886167</v>
          </cell>
        </row>
        <row r="77">
          <cell r="A77" t="str">
            <v>Communication Expenses</v>
          </cell>
        </row>
        <row r="78">
          <cell r="A78">
            <v>56010001</v>
          </cell>
          <cell r="B78" t="str">
            <v>Telephone and Fax</v>
          </cell>
          <cell r="D78">
            <v>0</v>
          </cell>
          <cell r="F78">
            <v>0</v>
          </cell>
          <cell r="G78">
            <v>0</v>
          </cell>
          <cell r="H78">
            <v>2500</v>
          </cell>
          <cell r="I78">
            <v>2500</v>
          </cell>
          <cell r="J78">
            <v>2500</v>
          </cell>
          <cell r="K78">
            <v>2500</v>
          </cell>
          <cell r="L78">
            <v>2500</v>
          </cell>
          <cell r="M78">
            <v>2500</v>
          </cell>
          <cell r="N78">
            <v>2500</v>
          </cell>
          <cell r="O78">
            <v>2500</v>
          </cell>
          <cell r="P78">
            <v>2500</v>
          </cell>
          <cell r="Q78">
            <v>2500</v>
          </cell>
          <cell r="R78">
            <v>2500</v>
          </cell>
          <cell r="S78">
            <v>2500</v>
          </cell>
          <cell r="T78">
            <v>30000</v>
          </cell>
          <cell r="U78" t="str">
            <v>n/a</v>
          </cell>
          <cell r="V78">
            <v>-30000</v>
          </cell>
          <cell r="W78">
            <v>2500</v>
          </cell>
          <cell r="X78">
            <v>-2500</v>
          </cell>
          <cell r="AL78">
            <v>0</v>
          </cell>
          <cell r="AN78">
            <v>556810</v>
          </cell>
        </row>
        <row r="79">
          <cell r="A79">
            <v>56010009</v>
          </cell>
          <cell r="B79" t="str">
            <v>Other Communication</v>
          </cell>
          <cell r="D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 t="str">
            <v>n/a</v>
          </cell>
          <cell r="V79">
            <v>0</v>
          </cell>
          <cell r="W79">
            <v>0</v>
          </cell>
          <cell r="X79">
            <v>0</v>
          </cell>
          <cell r="AL79">
            <v>0</v>
          </cell>
          <cell r="AN79">
            <v>0</v>
          </cell>
        </row>
        <row r="80">
          <cell r="A80">
            <v>56160002</v>
          </cell>
          <cell r="B80" t="str">
            <v>Postage &amp; Courier Expense</v>
          </cell>
          <cell r="D80">
            <v>0</v>
          </cell>
          <cell r="F80">
            <v>0</v>
          </cell>
          <cell r="G80">
            <v>0</v>
          </cell>
          <cell r="H80">
            <v>13000</v>
          </cell>
          <cell r="I80">
            <v>3000</v>
          </cell>
          <cell r="J80">
            <v>3000</v>
          </cell>
          <cell r="K80">
            <v>3000</v>
          </cell>
          <cell r="L80">
            <v>3000</v>
          </cell>
          <cell r="M80">
            <v>3000</v>
          </cell>
          <cell r="N80">
            <v>13000</v>
          </cell>
          <cell r="O80">
            <v>3000</v>
          </cell>
          <cell r="P80">
            <v>3000</v>
          </cell>
          <cell r="Q80">
            <v>3000</v>
          </cell>
          <cell r="R80">
            <v>3000</v>
          </cell>
          <cell r="S80">
            <v>3000</v>
          </cell>
          <cell r="T80">
            <v>56000</v>
          </cell>
          <cell r="U80" t="str">
            <v>n/a</v>
          </cell>
          <cell r="V80">
            <v>-56000</v>
          </cell>
          <cell r="W80">
            <v>4666.666666666667</v>
          </cell>
          <cell r="X80">
            <v>-4666.666666666667</v>
          </cell>
          <cell r="AL80">
            <v>0</v>
          </cell>
          <cell r="AN80">
            <v>47976</v>
          </cell>
        </row>
        <row r="81">
          <cell r="B81" t="str">
            <v>Total Communication Expenses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15500</v>
          </cell>
          <cell r="I81">
            <v>5500</v>
          </cell>
          <cell r="J81">
            <v>5500</v>
          </cell>
          <cell r="K81">
            <v>5500</v>
          </cell>
          <cell r="L81">
            <v>5500</v>
          </cell>
          <cell r="M81">
            <v>5500</v>
          </cell>
          <cell r="N81">
            <v>15500</v>
          </cell>
          <cell r="O81">
            <v>5500</v>
          </cell>
          <cell r="P81">
            <v>5500</v>
          </cell>
          <cell r="Q81">
            <v>5500</v>
          </cell>
          <cell r="R81">
            <v>5500</v>
          </cell>
          <cell r="S81">
            <v>5500</v>
          </cell>
          <cell r="T81">
            <v>86000</v>
          </cell>
          <cell r="U81" t="str">
            <v>n/a</v>
          </cell>
          <cell r="V81">
            <v>-86000</v>
          </cell>
          <cell r="W81">
            <v>7166.666666666667</v>
          </cell>
          <cell r="X81">
            <v>-7166.666666666667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N81">
            <v>604786</v>
          </cell>
        </row>
        <row r="82">
          <cell r="A82" t="str">
            <v>Printing and Stationeries Expenses</v>
          </cell>
        </row>
        <row r="83">
          <cell r="A83">
            <v>56220002</v>
          </cell>
          <cell r="B83" t="str">
            <v>Stationeries Expense</v>
          </cell>
          <cell r="D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123431.44</v>
          </cell>
          <cell r="K83">
            <v>0</v>
          </cell>
          <cell r="L83">
            <v>0</v>
          </cell>
          <cell r="M83">
            <v>0</v>
          </cell>
          <cell r="N83">
            <v>125801.68</v>
          </cell>
          <cell r="O83">
            <v>0</v>
          </cell>
          <cell r="P83">
            <v>0</v>
          </cell>
          <cell r="Q83">
            <v>0</v>
          </cell>
          <cell r="R83">
            <v>123431.44</v>
          </cell>
          <cell r="S83">
            <v>0</v>
          </cell>
          <cell r="T83">
            <v>372664.56</v>
          </cell>
          <cell r="U83" t="str">
            <v>n/a</v>
          </cell>
          <cell r="V83">
            <v>-372664.56</v>
          </cell>
          <cell r="W83">
            <v>31055.38</v>
          </cell>
          <cell r="X83">
            <v>-31055.38</v>
          </cell>
          <cell r="AL83">
            <v>0</v>
          </cell>
          <cell r="AN83">
            <v>4120</v>
          </cell>
        </row>
        <row r="84">
          <cell r="A84">
            <v>56220003</v>
          </cell>
          <cell r="B84" t="str">
            <v>Printing Form Expense</v>
          </cell>
          <cell r="D84">
            <v>0</v>
          </cell>
          <cell r="F84">
            <v>0</v>
          </cell>
          <cell r="G84">
            <v>0</v>
          </cell>
          <cell r="H84">
            <v>0</v>
          </cell>
          <cell r="I84">
            <v>55250</v>
          </cell>
          <cell r="J84">
            <v>0</v>
          </cell>
          <cell r="K84">
            <v>0</v>
          </cell>
          <cell r="L84">
            <v>0</v>
          </cell>
          <cell r="M84">
            <v>52450</v>
          </cell>
          <cell r="N84">
            <v>0</v>
          </cell>
          <cell r="O84">
            <v>0</v>
          </cell>
          <cell r="P84">
            <v>0</v>
          </cell>
          <cell r="Q84">
            <v>54850</v>
          </cell>
          <cell r="R84">
            <v>0</v>
          </cell>
          <cell r="S84">
            <v>0</v>
          </cell>
          <cell r="T84">
            <v>162550</v>
          </cell>
          <cell r="U84" t="str">
            <v>n/a</v>
          </cell>
          <cell r="V84">
            <v>-162550</v>
          </cell>
          <cell r="W84">
            <v>13545.833333333334</v>
          </cell>
          <cell r="X84">
            <v>-13545.833333333334</v>
          </cell>
          <cell r="AL84">
            <v>0</v>
          </cell>
          <cell r="AN84">
            <v>76520</v>
          </cell>
        </row>
        <row r="85">
          <cell r="B85" t="str">
            <v>Total Printing and Stationeries Expenses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55250</v>
          </cell>
          <cell r="J85">
            <v>123431.44</v>
          </cell>
          <cell r="K85">
            <v>0</v>
          </cell>
          <cell r="L85">
            <v>0</v>
          </cell>
          <cell r="M85">
            <v>52450</v>
          </cell>
          <cell r="N85">
            <v>125801.68</v>
          </cell>
          <cell r="O85">
            <v>0</v>
          </cell>
          <cell r="P85">
            <v>0</v>
          </cell>
          <cell r="Q85">
            <v>54850</v>
          </cell>
          <cell r="R85">
            <v>123431.44</v>
          </cell>
          <cell r="S85">
            <v>0</v>
          </cell>
          <cell r="T85">
            <v>535214.56000000006</v>
          </cell>
          <cell r="U85" t="str">
            <v>n/a</v>
          </cell>
          <cell r="V85">
            <v>-535214.56000000006</v>
          </cell>
          <cell r="W85">
            <v>44601.21333333334</v>
          </cell>
          <cell r="X85">
            <v>-44601.21333333334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N85">
            <v>80640</v>
          </cell>
        </row>
        <row r="86">
          <cell r="A86" t="str">
            <v>Outside Service, Legal and Professional Fee</v>
          </cell>
        </row>
        <row r="87">
          <cell r="A87">
            <v>56330003</v>
          </cell>
          <cell r="B87" t="str">
            <v>Outside Service - Cleaning and Waste removal</v>
          </cell>
          <cell r="D87">
            <v>0</v>
          </cell>
          <cell r="F87">
            <v>0</v>
          </cell>
          <cell r="G87">
            <v>0</v>
          </cell>
          <cell r="T87">
            <v>0</v>
          </cell>
          <cell r="U87" t="str">
            <v>n/a</v>
          </cell>
          <cell r="V87">
            <v>0</v>
          </cell>
          <cell r="W87">
            <v>0</v>
          </cell>
          <cell r="X87">
            <v>0</v>
          </cell>
          <cell r="AL87">
            <v>0</v>
          </cell>
          <cell r="AN87">
            <v>0</v>
          </cell>
        </row>
        <row r="88">
          <cell r="A88">
            <v>56330005</v>
          </cell>
          <cell r="B88" t="str">
            <v>Outside Service - Security expense</v>
          </cell>
          <cell r="D88">
            <v>0</v>
          </cell>
          <cell r="F88">
            <v>0</v>
          </cell>
          <cell r="G88">
            <v>0</v>
          </cell>
          <cell r="T88">
            <v>0</v>
          </cell>
          <cell r="U88" t="str">
            <v>n/a</v>
          </cell>
          <cell r="V88">
            <v>0</v>
          </cell>
          <cell r="W88">
            <v>0</v>
          </cell>
          <cell r="X88">
            <v>0</v>
          </cell>
          <cell r="AL88">
            <v>0</v>
          </cell>
          <cell r="AN88">
            <v>0</v>
          </cell>
        </row>
        <row r="89">
          <cell r="A89">
            <v>56330006</v>
          </cell>
          <cell r="B89" t="str">
            <v>Outside Service - PC Girls</v>
          </cell>
          <cell r="D89">
            <v>0</v>
          </cell>
          <cell r="F89">
            <v>0</v>
          </cell>
          <cell r="G89">
            <v>0</v>
          </cell>
          <cell r="T89">
            <v>0</v>
          </cell>
          <cell r="U89" t="str">
            <v>n/a</v>
          </cell>
          <cell r="V89">
            <v>0</v>
          </cell>
          <cell r="W89">
            <v>0</v>
          </cell>
          <cell r="X89">
            <v>0</v>
          </cell>
          <cell r="AL89">
            <v>0</v>
          </cell>
          <cell r="AN89">
            <v>0</v>
          </cell>
        </row>
        <row r="90">
          <cell r="A90">
            <v>56330007</v>
          </cell>
          <cell r="B90" t="str">
            <v>Outside Service - WH Management Fee - Fixed</v>
          </cell>
          <cell r="D90">
            <v>0</v>
          </cell>
          <cell r="F90">
            <v>0</v>
          </cell>
          <cell r="G90">
            <v>0</v>
          </cell>
          <cell r="T90">
            <v>0</v>
          </cell>
          <cell r="U90" t="str">
            <v>n/a</v>
          </cell>
          <cell r="V90">
            <v>0</v>
          </cell>
          <cell r="W90">
            <v>0</v>
          </cell>
          <cell r="X90">
            <v>0</v>
          </cell>
          <cell r="AL90">
            <v>0</v>
          </cell>
          <cell r="AN90">
            <v>0</v>
          </cell>
        </row>
        <row r="91">
          <cell r="A91">
            <v>56330009</v>
          </cell>
          <cell r="B91" t="str">
            <v>Outside Service - Others</v>
          </cell>
          <cell r="D91">
            <v>0</v>
          </cell>
          <cell r="F91">
            <v>0</v>
          </cell>
          <cell r="G91">
            <v>0</v>
          </cell>
          <cell r="H91">
            <v>101700</v>
          </cell>
          <cell r="I91">
            <v>101700</v>
          </cell>
          <cell r="J91">
            <v>101700</v>
          </cell>
          <cell r="K91">
            <v>103550</v>
          </cell>
          <cell r="L91">
            <v>103550</v>
          </cell>
          <cell r="M91">
            <v>103550</v>
          </cell>
          <cell r="N91">
            <v>104050</v>
          </cell>
          <cell r="O91">
            <v>104050</v>
          </cell>
          <cell r="P91">
            <v>104050</v>
          </cell>
          <cell r="Q91">
            <v>106400</v>
          </cell>
          <cell r="R91">
            <v>106400</v>
          </cell>
          <cell r="S91">
            <v>106400</v>
          </cell>
          <cell r="T91">
            <v>1247100</v>
          </cell>
          <cell r="U91" t="str">
            <v>n/a</v>
          </cell>
          <cell r="V91">
            <v>-1247100</v>
          </cell>
          <cell r="W91">
            <v>103925</v>
          </cell>
          <cell r="X91">
            <v>-103925</v>
          </cell>
          <cell r="AL91">
            <v>0</v>
          </cell>
          <cell r="AN91">
            <v>138547</v>
          </cell>
        </row>
        <row r="92">
          <cell r="A92">
            <v>56350000</v>
          </cell>
          <cell r="B92" t="str">
            <v>Legal and Professional Fee</v>
          </cell>
          <cell r="D92">
            <v>0</v>
          </cell>
          <cell r="F92">
            <v>0</v>
          </cell>
          <cell r="G92">
            <v>0</v>
          </cell>
          <cell r="H92">
            <v>10500</v>
          </cell>
          <cell r="I92">
            <v>10500</v>
          </cell>
          <cell r="J92">
            <v>10500</v>
          </cell>
          <cell r="K92">
            <v>10500</v>
          </cell>
          <cell r="L92">
            <v>10500</v>
          </cell>
          <cell r="M92">
            <v>10500</v>
          </cell>
          <cell r="N92">
            <v>10500</v>
          </cell>
          <cell r="O92">
            <v>10500</v>
          </cell>
          <cell r="P92">
            <v>10500</v>
          </cell>
          <cell r="Q92">
            <v>10500</v>
          </cell>
          <cell r="R92">
            <v>10500</v>
          </cell>
          <cell r="S92">
            <v>10500</v>
          </cell>
          <cell r="T92">
            <v>126000</v>
          </cell>
          <cell r="U92" t="str">
            <v>n/a</v>
          </cell>
          <cell r="V92">
            <v>-126000</v>
          </cell>
          <cell r="W92">
            <v>10500</v>
          </cell>
          <cell r="X92">
            <v>-10500</v>
          </cell>
          <cell r="AL92">
            <v>0</v>
          </cell>
          <cell r="AN92">
            <v>1691436</v>
          </cell>
        </row>
        <row r="93">
          <cell r="A93">
            <v>56380001</v>
          </cell>
          <cell r="B93" t="str">
            <v>Audit Fee</v>
          </cell>
          <cell r="D93">
            <v>0</v>
          </cell>
          <cell r="F93">
            <v>0</v>
          </cell>
          <cell r="G93">
            <v>0</v>
          </cell>
          <cell r="H93">
            <v>65000</v>
          </cell>
          <cell r="I93">
            <v>65000</v>
          </cell>
          <cell r="J93">
            <v>65000</v>
          </cell>
          <cell r="K93">
            <v>65000</v>
          </cell>
          <cell r="L93">
            <v>65000</v>
          </cell>
          <cell r="M93">
            <v>65000</v>
          </cell>
          <cell r="N93">
            <v>65000</v>
          </cell>
          <cell r="O93">
            <v>65000</v>
          </cell>
          <cell r="P93">
            <v>65000</v>
          </cell>
          <cell r="Q93">
            <v>65000</v>
          </cell>
          <cell r="R93">
            <v>65000</v>
          </cell>
          <cell r="S93">
            <v>65000</v>
          </cell>
          <cell r="T93">
            <v>780000</v>
          </cell>
          <cell r="U93" t="str">
            <v>n/a</v>
          </cell>
          <cell r="V93">
            <v>-780000</v>
          </cell>
          <cell r="W93">
            <v>65000</v>
          </cell>
          <cell r="X93">
            <v>-65000</v>
          </cell>
          <cell r="AL93">
            <v>0</v>
          </cell>
          <cell r="AN93">
            <v>0</v>
          </cell>
        </row>
        <row r="94">
          <cell r="A94">
            <v>56380002</v>
          </cell>
          <cell r="B94" t="str">
            <v xml:space="preserve">Bank Charge </v>
          </cell>
          <cell r="D94">
            <v>0</v>
          </cell>
          <cell r="F94">
            <v>0</v>
          </cell>
          <cell r="G94">
            <v>0</v>
          </cell>
          <cell r="H94">
            <v>255299.79541002674</v>
          </cell>
          <cell r="I94">
            <v>215474.7150518008</v>
          </cell>
          <cell r="J94">
            <v>267908.85174159659</v>
          </cell>
          <cell r="K94">
            <v>378971.66255529685</v>
          </cell>
          <cell r="L94">
            <v>417558.30337271834</v>
          </cell>
          <cell r="M94">
            <v>440574.6923157539</v>
          </cell>
          <cell r="N94">
            <v>408462.66924547864</v>
          </cell>
          <cell r="O94">
            <v>349898.85635147395</v>
          </cell>
          <cell r="P94">
            <v>283149.65190565586</v>
          </cell>
          <cell r="Q94">
            <v>285573.55502155132</v>
          </cell>
          <cell r="R94">
            <v>293452.28703420784</v>
          </cell>
          <cell r="S94">
            <v>282660.82678629179</v>
          </cell>
          <cell r="T94">
            <v>3878985.8667918527</v>
          </cell>
          <cell r="U94" t="str">
            <v>n/a</v>
          </cell>
          <cell r="V94">
            <v>-3878985.8667918527</v>
          </cell>
          <cell r="W94">
            <v>323248.82223265438</v>
          </cell>
          <cell r="X94">
            <v>-323248.82223265438</v>
          </cell>
          <cell r="AL94">
            <v>0</v>
          </cell>
          <cell r="AN94">
            <v>605</v>
          </cell>
        </row>
        <row r="95">
          <cell r="B95" t="str">
            <v>Total Outside Service, Legal and Professional Fee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432499.79541002674</v>
          </cell>
          <cell r="I95">
            <v>392674.71505180083</v>
          </cell>
          <cell r="J95">
            <v>445108.85174159659</v>
          </cell>
          <cell r="K95">
            <v>558021.66255529691</v>
          </cell>
          <cell r="L95">
            <v>596608.30337271839</v>
          </cell>
          <cell r="M95">
            <v>619624.6923157539</v>
          </cell>
          <cell r="N95">
            <v>588012.6692454787</v>
          </cell>
          <cell r="O95">
            <v>529448.85635147395</v>
          </cell>
          <cell r="P95">
            <v>462699.65190565586</v>
          </cell>
          <cell r="Q95">
            <v>467473.55502155132</v>
          </cell>
          <cell r="R95">
            <v>475352.28703420784</v>
          </cell>
          <cell r="S95">
            <v>464560.82678629179</v>
          </cell>
          <cell r="T95">
            <v>6032085.8667918527</v>
          </cell>
          <cell r="U95" t="str">
            <v>n/a</v>
          </cell>
          <cell r="V95">
            <v>-6032085.8667918527</v>
          </cell>
          <cell r="W95">
            <v>502673.82223265438</v>
          </cell>
          <cell r="X95">
            <v>-502673.82223265438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N95">
            <v>1830588</v>
          </cell>
        </row>
        <row r="96">
          <cell r="A96" t="str">
            <v>Others Operating Expense</v>
          </cell>
        </row>
        <row r="97">
          <cell r="A97">
            <v>52150000</v>
          </cell>
          <cell r="B97" t="str">
            <v>Dues, Memberships &amp; Subscription</v>
          </cell>
          <cell r="D97">
            <v>0</v>
          </cell>
          <cell r="F97">
            <v>0</v>
          </cell>
          <cell r="G97">
            <v>0</v>
          </cell>
          <cell r="K97">
            <v>1731</v>
          </cell>
          <cell r="N97">
            <v>1700</v>
          </cell>
          <cell r="T97">
            <v>3431</v>
          </cell>
          <cell r="U97" t="str">
            <v>n/a</v>
          </cell>
          <cell r="V97">
            <v>-3431</v>
          </cell>
          <cell r="W97">
            <v>285.91666666666669</v>
          </cell>
          <cell r="X97">
            <v>-285.91666666666669</v>
          </cell>
          <cell r="AL97">
            <v>0</v>
          </cell>
          <cell r="AN97">
            <v>66140</v>
          </cell>
        </row>
        <row r="98">
          <cell r="A98">
            <v>53610000</v>
          </cell>
          <cell r="B98" t="str">
            <v>Real Estate Property Tax and Other Taxes</v>
          </cell>
          <cell r="D98">
            <v>0</v>
          </cell>
          <cell r="F98">
            <v>0</v>
          </cell>
          <cell r="G98">
            <v>0</v>
          </cell>
          <cell r="T98">
            <v>0</v>
          </cell>
          <cell r="U98" t="str">
            <v>n/a</v>
          </cell>
          <cell r="V98">
            <v>0</v>
          </cell>
          <cell r="W98">
            <v>0</v>
          </cell>
          <cell r="X98">
            <v>0</v>
          </cell>
          <cell r="AL98">
            <v>0</v>
          </cell>
          <cell r="AN98">
            <v>0</v>
          </cell>
        </row>
        <row r="99">
          <cell r="A99">
            <v>56200001</v>
          </cell>
          <cell r="B99" t="str">
            <v>Operating Supplies - Slicer Blades</v>
          </cell>
          <cell r="D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 t="str">
            <v>n/a</v>
          </cell>
          <cell r="V99">
            <v>0</v>
          </cell>
          <cell r="W99">
            <v>0</v>
          </cell>
          <cell r="X99">
            <v>0</v>
          </cell>
          <cell r="AL99">
            <v>0</v>
          </cell>
          <cell r="AN99">
            <v>29325</v>
          </cell>
        </row>
        <row r="100">
          <cell r="A100">
            <v>56200003</v>
          </cell>
          <cell r="B100" t="str">
            <v>Operating Supplies - Cleanning and WWT Supplies</v>
          </cell>
          <cell r="D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 t="str">
            <v>n/a</v>
          </cell>
          <cell r="V100">
            <v>0</v>
          </cell>
          <cell r="W100">
            <v>0</v>
          </cell>
          <cell r="X100">
            <v>0</v>
          </cell>
          <cell r="AL100">
            <v>0</v>
          </cell>
          <cell r="AN100">
            <v>0</v>
          </cell>
        </row>
        <row r="101">
          <cell r="A101">
            <v>56200005</v>
          </cell>
          <cell r="B101" t="str">
            <v>Operating Supplies - Safety Supplies</v>
          </cell>
          <cell r="D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 t="str">
            <v>n/a</v>
          </cell>
          <cell r="V101">
            <v>0</v>
          </cell>
          <cell r="W101">
            <v>0</v>
          </cell>
          <cell r="X101">
            <v>0</v>
          </cell>
          <cell r="AL101">
            <v>0</v>
          </cell>
          <cell r="AN101">
            <v>0</v>
          </cell>
        </row>
        <row r="102">
          <cell r="A102">
            <v>56200006</v>
          </cell>
          <cell r="B102" t="str">
            <v>Operating Supplies - Laboratory</v>
          </cell>
          <cell r="D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 t="str">
            <v>n/a</v>
          </cell>
          <cell r="V102">
            <v>0</v>
          </cell>
          <cell r="W102">
            <v>0</v>
          </cell>
          <cell r="X102">
            <v>0</v>
          </cell>
          <cell r="AL102">
            <v>0</v>
          </cell>
          <cell r="AN102">
            <v>0</v>
          </cell>
        </row>
        <row r="103">
          <cell r="A103">
            <v>56200007</v>
          </cell>
          <cell r="B103" t="str">
            <v>Operating Supplies - Office Supplies</v>
          </cell>
          <cell r="D103">
            <v>0</v>
          </cell>
          <cell r="F103">
            <v>0</v>
          </cell>
          <cell r="G103">
            <v>0</v>
          </cell>
          <cell r="T103">
            <v>0</v>
          </cell>
          <cell r="U103" t="str">
            <v>n/a</v>
          </cell>
          <cell r="V103">
            <v>0</v>
          </cell>
          <cell r="W103">
            <v>0</v>
          </cell>
          <cell r="X103">
            <v>0</v>
          </cell>
          <cell r="AL103">
            <v>0</v>
          </cell>
          <cell r="AN103">
            <v>0</v>
          </cell>
        </row>
        <row r="104">
          <cell r="A104">
            <v>56200009</v>
          </cell>
          <cell r="B104" t="str">
            <v>Operating Supplies - Other / Farm Supplies</v>
          </cell>
          <cell r="D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 t="str">
            <v>n/a</v>
          </cell>
          <cell r="V104">
            <v>0</v>
          </cell>
          <cell r="W104">
            <v>0</v>
          </cell>
          <cell r="X104">
            <v>0</v>
          </cell>
          <cell r="AL104">
            <v>0</v>
          </cell>
          <cell r="AN104">
            <v>38763</v>
          </cell>
        </row>
        <row r="105">
          <cell r="A105">
            <v>56250000</v>
          </cell>
          <cell r="B105" t="str">
            <v>Computer Software Expense</v>
          </cell>
          <cell r="D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 t="str">
            <v>n/a</v>
          </cell>
          <cell r="V105">
            <v>0</v>
          </cell>
          <cell r="W105">
            <v>0</v>
          </cell>
          <cell r="X105">
            <v>0</v>
          </cell>
          <cell r="AL105">
            <v>0</v>
          </cell>
          <cell r="AN105">
            <v>0</v>
          </cell>
        </row>
        <row r="106">
          <cell r="A106">
            <v>56400002</v>
          </cell>
          <cell r="B106" t="str">
            <v>Provision for Bad Debt</v>
          </cell>
          <cell r="D106">
            <v>0</v>
          </cell>
          <cell r="F106">
            <v>0</v>
          </cell>
          <cell r="G106">
            <v>0</v>
          </cell>
          <cell r="H106">
            <v>174273.38280027453</v>
          </cell>
          <cell r="I106">
            <v>-1159207.9359660409</v>
          </cell>
          <cell r="J106">
            <v>-100976.17469040165</v>
          </cell>
          <cell r="K106">
            <v>2046163.7582973656</v>
          </cell>
          <cell r="L106">
            <v>1256987.6141891209</v>
          </cell>
          <cell r="M106">
            <v>1123160.1274427082</v>
          </cell>
          <cell r="N106">
            <v>315379.39079400618</v>
          </cell>
          <cell r="O106">
            <v>-1905356.5589208426</v>
          </cell>
          <cell r="P106">
            <v>-1295854.3696498033</v>
          </cell>
          <cell r="Q106">
            <v>-220177.27411659248</v>
          </cell>
          <cell r="R106">
            <v>315087.66403804254</v>
          </cell>
          <cell r="S106">
            <v>-549480.00760244392</v>
          </cell>
          <cell r="T106">
            <v>-0.38338460680097342</v>
          </cell>
          <cell r="U106" t="str">
            <v>n/a</v>
          </cell>
          <cell r="V106">
            <v>0.38338460680097342</v>
          </cell>
          <cell r="W106">
            <v>-3.1948717233414449E-2</v>
          </cell>
          <cell r="X106">
            <v>3.1948717233414449E-2</v>
          </cell>
          <cell r="AL106">
            <v>0</v>
          </cell>
          <cell r="AN106">
            <v>8969267</v>
          </cell>
        </row>
        <row r="107">
          <cell r="A107">
            <v>56020007</v>
          </cell>
          <cell r="B107" t="str">
            <v>Electricity - Fixed</v>
          </cell>
          <cell r="D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 t="str">
            <v>n/a</v>
          </cell>
          <cell r="V107">
            <v>0</v>
          </cell>
          <cell r="W107">
            <v>0</v>
          </cell>
          <cell r="X107">
            <v>0</v>
          </cell>
          <cell r="AL107">
            <v>0</v>
          </cell>
          <cell r="AN107">
            <v>0</v>
          </cell>
        </row>
        <row r="108">
          <cell r="A108">
            <v>56040007</v>
          </cell>
          <cell r="B108" t="str">
            <v>Water - Fixed</v>
          </cell>
          <cell r="D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 t="str">
            <v>n/a</v>
          </cell>
          <cell r="V108">
            <v>0</v>
          </cell>
          <cell r="W108">
            <v>0</v>
          </cell>
          <cell r="X108">
            <v>0</v>
          </cell>
          <cell r="AL108">
            <v>0</v>
          </cell>
          <cell r="AN108">
            <v>0</v>
          </cell>
        </row>
        <row r="109">
          <cell r="A109">
            <v>56500000</v>
          </cell>
          <cell r="B109" t="str">
            <v>Rack Expenses</v>
          </cell>
          <cell r="D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 t="str">
            <v>n/a</v>
          </cell>
          <cell r="V109">
            <v>0</v>
          </cell>
          <cell r="W109">
            <v>0</v>
          </cell>
          <cell r="X109">
            <v>0</v>
          </cell>
          <cell r="AL109">
            <v>0</v>
          </cell>
          <cell r="AN109">
            <v>0</v>
          </cell>
        </row>
        <row r="110">
          <cell r="A110">
            <v>56560000</v>
          </cell>
          <cell r="B110" t="str">
            <v>Trade / Public Relations</v>
          </cell>
          <cell r="D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 t="str">
            <v>n/a</v>
          </cell>
          <cell r="V110">
            <v>0</v>
          </cell>
          <cell r="W110">
            <v>0</v>
          </cell>
          <cell r="X110">
            <v>0</v>
          </cell>
          <cell r="AL110">
            <v>0</v>
          </cell>
          <cell r="AN110">
            <v>0</v>
          </cell>
        </row>
        <row r="111">
          <cell r="A111">
            <v>56570000</v>
          </cell>
          <cell r="B111" t="str">
            <v>Contribution &amp; Donation</v>
          </cell>
          <cell r="D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 t="str">
            <v>n/a</v>
          </cell>
          <cell r="V111">
            <v>0</v>
          </cell>
          <cell r="W111">
            <v>0</v>
          </cell>
          <cell r="X111">
            <v>0</v>
          </cell>
          <cell r="AL111">
            <v>0</v>
          </cell>
          <cell r="AN111">
            <v>0</v>
          </cell>
        </row>
        <row r="112">
          <cell r="A112">
            <v>56750001</v>
          </cell>
          <cell r="B112" t="str">
            <v>GPS/GMP Expenses</v>
          </cell>
          <cell r="D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 t="str">
            <v>n/a</v>
          </cell>
          <cell r="V112">
            <v>0</v>
          </cell>
          <cell r="W112">
            <v>0</v>
          </cell>
          <cell r="X112">
            <v>0</v>
          </cell>
          <cell r="AL112">
            <v>0</v>
          </cell>
          <cell r="AN112">
            <v>0</v>
          </cell>
        </row>
        <row r="113">
          <cell r="A113">
            <v>56750002</v>
          </cell>
          <cell r="B113" t="str">
            <v>Purchase of Competitive Products</v>
          </cell>
          <cell r="D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 t="str">
            <v>n/a</v>
          </cell>
          <cell r="V113">
            <v>0</v>
          </cell>
          <cell r="W113">
            <v>0</v>
          </cell>
          <cell r="X113">
            <v>0</v>
          </cell>
          <cell r="AL113">
            <v>0</v>
          </cell>
          <cell r="AN113">
            <v>0</v>
          </cell>
        </row>
        <row r="114">
          <cell r="A114">
            <v>56750003</v>
          </cell>
          <cell r="B114" t="str">
            <v>Film and Development</v>
          </cell>
          <cell r="D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 t="str">
            <v>n/a</v>
          </cell>
          <cell r="V114">
            <v>0</v>
          </cell>
          <cell r="W114">
            <v>0</v>
          </cell>
          <cell r="X114">
            <v>0</v>
          </cell>
          <cell r="AL114">
            <v>0</v>
          </cell>
          <cell r="AN114">
            <v>0</v>
          </cell>
        </row>
        <row r="115">
          <cell r="A115">
            <v>57110001</v>
          </cell>
          <cell r="B115" t="str">
            <v>Research and Development</v>
          </cell>
          <cell r="D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 t="str">
            <v>n/a</v>
          </cell>
          <cell r="V115">
            <v>0</v>
          </cell>
          <cell r="W115">
            <v>0</v>
          </cell>
          <cell r="X115">
            <v>0</v>
          </cell>
          <cell r="AL115">
            <v>0</v>
          </cell>
          <cell r="AN115">
            <v>0</v>
          </cell>
        </row>
        <row r="116">
          <cell r="A116">
            <v>57110002</v>
          </cell>
          <cell r="B116" t="str">
            <v>Sensory Test</v>
          </cell>
          <cell r="D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 t="str">
            <v>n/a</v>
          </cell>
          <cell r="V116">
            <v>0</v>
          </cell>
          <cell r="W116">
            <v>0</v>
          </cell>
          <cell r="X116">
            <v>0</v>
          </cell>
          <cell r="AL116">
            <v>0</v>
          </cell>
          <cell r="AN116">
            <v>0</v>
          </cell>
        </row>
        <row r="117">
          <cell r="A117">
            <v>57110003</v>
          </cell>
          <cell r="B117" t="str">
            <v>Sample for Testing</v>
          </cell>
          <cell r="D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 t="str">
            <v>n/a</v>
          </cell>
          <cell r="V117">
            <v>0</v>
          </cell>
          <cell r="W117">
            <v>0</v>
          </cell>
          <cell r="X117">
            <v>0</v>
          </cell>
          <cell r="AL117">
            <v>0</v>
          </cell>
          <cell r="AN117">
            <v>0</v>
          </cell>
        </row>
        <row r="118">
          <cell r="A118">
            <v>57110004</v>
          </cell>
          <cell r="B118" t="str">
            <v>Lab Analysis</v>
          </cell>
          <cell r="D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 t="str">
            <v>n/a</v>
          </cell>
          <cell r="V118">
            <v>0</v>
          </cell>
          <cell r="W118">
            <v>0</v>
          </cell>
          <cell r="X118">
            <v>0</v>
          </cell>
          <cell r="AL118">
            <v>0</v>
          </cell>
          <cell r="AN118">
            <v>0</v>
          </cell>
        </row>
        <row r="119">
          <cell r="A119">
            <v>56750099</v>
          </cell>
          <cell r="B119" t="str">
            <v>Sundry Expense</v>
          </cell>
          <cell r="D119">
            <v>0</v>
          </cell>
          <cell r="F119">
            <v>0</v>
          </cell>
          <cell r="G119">
            <v>0</v>
          </cell>
          <cell r="T119">
            <v>0</v>
          </cell>
          <cell r="U119" t="str">
            <v>n/a</v>
          </cell>
          <cell r="V119">
            <v>0</v>
          </cell>
          <cell r="W119">
            <v>0</v>
          </cell>
          <cell r="X119">
            <v>0</v>
          </cell>
          <cell r="AL119">
            <v>0</v>
          </cell>
          <cell r="AN119">
            <v>202655</v>
          </cell>
        </row>
        <row r="120">
          <cell r="B120" t="str">
            <v>Total Others Operating Expenses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174273.38280027453</v>
          </cell>
          <cell r="I120">
            <v>-1159207.9359660409</v>
          </cell>
          <cell r="J120">
            <v>-100976.17469040165</v>
          </cell>
          <cell r="K120">
            <v>2047894.7582973656</v>
          </cell>
          <cell r="L120">
            <v>1256987.6141891209</v>
          </cell>
          <cell r="M120">
            <v>1123160.1274427082</v>
          </cell>
          <cell r="N120">
            <v>317079.39079400618</v>
          </cell>
          <cell r="O120">
            <v>-1905356.5589208426</v>
          </cell>
          <cell r="P120">
            <v>-1295854.3696498033</v>
          </cell>
          <cell r="Q120">
            <v>-220177.27411659248</v>
          </cell>
          <cell r="R120">
            <v>315087.66403804254</v>
          </cell>
          <cell r="S120">
            <v>-549480.00760244392</v>
          </cell>
          <cell r="T120">
            <v>3430.616615393199</v>
          </cell>
          <cell r="U120" t="str">
            <v>n/a</v>
          </cell>
          <cell r="V120">
            <v>-3430.616615393199</v>
          </cell>
          <cell r="W120">
            <v>285.88471794943325</v>
          </cell>
          <cell r="X120">
            <v>-285.88471794943325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N120">
            <v>9306150</v>
          </cell>
        </row>
        <row r="121">
          <cell r="A121" t="str">
            <v>TOTAL FIXED EXPENSES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895472.17821030132</v>
          </cell>
          <cell r="I121">
            <v>-406544.22091424011</v>
          </cell>
          <cell r="J121">
            <v>760925.31705119496</v>
          </cell>
          <cell r="K121">
            <v>2904067.6208526623</v>
          </cell>
          <cell r="L121">
            <v>2139677.1175618395</v>
          </cell>
          <cell r="M121">
            <v>2093306.0197584622</v>
          </cell>
          <cell r="N121">
            <v>1322934.9400394848</v>
          </cell>
          <cell r="O121">
            <v>-1078136.5025693686</v>
          </cell>
          <cell r="P121">
            <v>-547342.51774414745</v>
          </cell>
          <cell r="Q121">
            <v>766928.48090495891</v>
          </cell>
          <cell r="R121">
            <v>1192423.5910722504</v>
          </cell>
          <cell r="S121">
            <v>211053.01918384782</v>
          </cell>
          <cell r="T121">
            <v>10254765.043407246</v>
          </cell>
          <cell r="U121" t="str">
            <v>n/a</v>
          </cell>
          <cell r="V121">
            <v>-10254765.043407246</v>
          </cell>
          <cell r="W121">
            <v>854563.7536172705</v>
          </cell>
          <cell r="X121">
            <v>-854563.7536172705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N121">
            <v>36204143</v>
          </cell>
        </row>
        <row r="123">
          <cell r="A123" t="str">
            <v>Variable Expenses :</v>
          </cell>
        </row>
        <row r="124">
          <cell r="A124">
            <v>52250012</v>
          </cell>
          <cell r="B124" t="str">
            <v>Daily / Temporary Wage - Variable</v>
          </cell>
          <cell r="D124">
            <v>0</v>
          </cell>
          <cell r="F124">
            <v>0</v>
          </cell>
          <cell r="G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 t="str">
            <v>n/a</v>
          </cell>
          <cell r="V124">
            <v>0</v>
          </cell>
          <cell r="W124">
            <v>0</v>
          </cell>
          <cell r="X124">
            <v>0</v>
          </cell>
          <cell r="AL124">
            <v>0</v>
          </cell>
          <cell r="AN124">
            <v>0</v>
          </cell>
        </row>
        <row r="125">
          <cell r="A125">
            <v>50100000</v>
          </cell>
          <cell r="B125" t="str">
            <v>Sales Incentive</v>
          </cell>
          <cell r="D125">
            <v>0</v>
          </cell>
          <cell r="F125">
            <v>0</v>
          </cell>
          <cell r="G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 t="str">
            <v>n/a</v>
          </cell>
          <cell r="V125">
            <v>0</v>
          </cell>
          <cell r="W125">
            <v>0</v>
          </cell>
          <cell r="X125">
            <v>0</v>
          </cell>
          <cell r="AL125">
            <v>0</v>
          </cell>
          <cell r="AN125">
            <v>0</v>
          </cell>
        </row>
        <row r="126">
          <cell r="A126">
            <v>56330008</v>
          </cell>
          <cell r="B126" t="str">
            <v>Outside Service - WH Management fee - Variable</v>
          </cell>
          <cell r="D126">
            <v>0</v>
          </cell>
          <cell r="F126">
            <v>0</v>
          </cell>
          <cell r="G126">
            <v>0</v>
          </cell>
          <cell r="T126">
            <v>0</v>
          </cell>
          <cell r="U126" t="str">
            <v>n/a</v>
          </cell>
          <cell r="V126">
            <v>0</v>
          </cell>
          <cell r="W126">
            <v>0</v>
          </cell>
          <cell r="X126">
            <v>0</v>
          </cell>
          <cell r="AL126">
            <v>0</v>
          </cell>
          <cell r="AN126">
            <v>0</v>
          </cell>
        </row>
        <row r="127">
          <cell r="A127">
            <v>56700000</v>
          </cell>
          <cell r="B127" t="str">
            <v>Freight and Distribution Expense</v>
          </cell>
          <cell r="D127">
            <v>0</v>
          </cell>
          <cell r="F127">
            <v>0</v>
          </cell>
          <cell r="G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 t="str">
            <v>n/a</v>
          </cell>
          <cell r="V127">
            <v>0</v>
          </cell>
          <cell r="W127">
            <v>0</v>
          </cell>
          <cell r="X127">
            <v>0</v>
          </cell>
          <cell r="AL127">
            <v>0</v>
          </cell>
          <cell r="AN127">
            <v>28</v>
          </cell>
        </row>
        <row r="128">
          <cell r="A128">
            <v>56020000</v>
          </cell>
          <cell r="B128" t="str">
            <v>Electricity - Variable</v>
          </cell>
          <cell r="D128">
            <v>0</v>
          </cell>
          <cell r="F128">
            <v>0</v>
          </cell>
          <cell r="G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 t="str">
            <v>n/a</v>
          </cell>
          <cell r="V128">
            <v>0</v>
          </cell>
          <cell r="W128">
            <v>0</v>
          </cell>
          <cell r="X128">
            <v>0</v>
          </cell>
          <cell r="AL128">
            <v>0</v>
          </cell>
          <cell r="AN128">
            <v>77621</v>
          </cell>
        </row>
        <row r="129">
          <cell r="A129">
            <v>56030000</v>
          </cell>
          <cell r="B129" t="str">
            <v>Natural Gas</v>
          </cell>
          <cell r="D129">
            <v>0</v>
          </cell>
          <cell r="F129">
            <v>0</v>
          </cell>
          <cell r="G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 t="str">
            <v>n/a</v>
          </cell>
          <cell r="V129">
            <v>0</v>
          </cell>
          <cell r="W129">
            <v>0</v>
          </cell>
          <cell r="X129">
            <v>0</v>
          </cell>
          <cell r="AL129">
            <v>0</v>
          </cell>
          <cell r="AN129">
            <v>0</v>
          </cell>
        </row>
        <row r="130">
          <cell r="A130">
            <v>56040000</v>
          </cell>
          <cell r="B130" t="str">
            <v>Water - Variable</v>
          </cell>
          <cell r="D130">
            <v>0</v>
          </cell>
          <cell r="F130">
            <v>0</v>
          </cell>
          <cell r="G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 t="str">
            <v>n/a</v>
          </cell>
          <cell r="V130">
            <v>0</v>
          </cell>
          <cell r="W130">
            <v>0</v>
          </cell>
          <cell r="X130">
            <v>0</v>
          </cell>
          <cell r="AL130">
            <v>0</v>
          </cell>
          <cell r="AN130">
            <v>0</v>
          </cell>
        </row>
        <row r="131">
          <cell r="A131">
            <v>56050000</v>
          </cell>
          <cell r="B131" t="str">
            <v>Fuel Oil &amp; Deisel Oil</v>
          </cell>
          <cell r="D131">
            <v>0</v>
          </cell>
          <cell r="F131">
            <v>0</v>
          </cell>
          <cell r="G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 t="str">
            <v>n/a</v>
          </cell>
          <cell r="V131">
            <v>0</v>
          </cell>
          <cell r="W131">
            <v>0</v>
          </cell>
          <cell r="X131">
            <v>0</v>
          </cell>
          <cell r="AL131">
            <v>0</v>
          </cell>
          <cell r="AN131">
            <v>0</v>
          </cell>
        </row>
        <row r="132">
          <cell r="A132">
            <v>56090000</v>
          </cell>
          <cell r="B132" t="str">
            <v>Liquid Nitrogen</v>
          </cell>
          <cell r="D132">
            <v>0</v>
          </cell>
          <cell r="F132">
            <v>0</v>
          </cell>
          <cell r="G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 t="str">
            <v>n/a</v>
          </cell>
          <cell r="V132">
            <v>0</v>
          </cell>
          <cell r="W132">
            <v>0</v>
          </cell>
          <cell r="X132">
            <v>0</v>
          </cell>
          <cell r="AL132">
            <v>0</v>
          </cell>
          <cell r="AN132">
            <v>0</v>
          </cell>
        </row>
        <row r="133">
          <cell r="A133">
            <v>56200002</v>
          </cell>
          <cell r="B133" t="str">
            <v>Hot Foil Expenses</v>
          </cell>
          <cell r="D133">
            <v>0</v>
          </cell>
          <cell r="F133">
            <v>0</v>
          </cell>
          <cell r="G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 t="str">
            <v>n/a</v>
          </cell>
          <cell r="V133">
            <v>0</v>
          </cell>
          <cell r="W133">
            <v>0</v>
          </cell>
          <cell r="X133">
            <v>0</v>
          </cell>
          <cell r="AL133">
            <v>0</v>
          </cell>
          <cell r="AN133">
            <v>0</v>
          </cell>
        </row>
        <row r="134">
          <cell r="A134" t="str">
            <v>TOTAL VARIABLE EXPENSES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 t="str">
            <v>n/a</v>
          </cell>
          <cell r="V134">
            <v>0</v>
          </cell>
          <cell r="W134">
            <v>0</v>
          </cell>
          <cell r="X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N134">
            <v>77649</v>
          </cell>
        </row>
        <row r="136">
          <cell r="A136" t="str">
            <v>Grand Total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895472.17821030132</v>
          </cell>
          <cell r="I136">
            <v>-406544.22091424011</v>
          </cell>
          <cell r="J136">
            <v>760925.31705119496</v>
          </cell>
          <cell r="K136">
            <v>2904067.6208526623</v>
          </cell>
          <cell r="L136">
            <v>2139677.1175618395</v>
          </cell>
          <cell r="M136">
            <v>2093306.0197584622</v>
          </cell>
          <cell r="N136">
            <v>1322934.9400394848</v>
          </cell>
          <cell r="O136">
            <v>-1078136.5025693686</v>
          </cell>
          <cell r="P136">
            <v>-547342.51774414745</v>
          </cell>
          <cell r="Q136">
            <v>766928.48090495891</v>
          </cell>
          <cell r="R136">
            <v>1192423.5910722504</v>
          </cell>
          <cell r="S136">
            <v>211053.01918384782</v>
          </cell>
          <cell r="T136">
            <v>10254765.043407246</v>
          </cell>
          <cell r="U136" t="str">
            <v>n/a</v>
          </cell>
          <cell r="V136">
            <v>-10254765.043407246</v>
          </cell>
          <cell r="W136">
            <v>854563.7536172705</v>
          </cell>
          <cell r="X136">
            <v>-854563.7536172705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N136">
            <v>36281792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18">
          <cell r="A18">
            <v>50000000</v>
          </cell>
          <cell r="B18" t="str">
            <v>Bonus</v>
          </cell>
          <cell r="D18">
            <v>0</v>
          </cell>
          <cell r="F18">
            <v>0</v>
          </cell>
          <cell r="G18">
            <v>0</v>
          </cell>
          <cell r="T18">
            <v>0</v>
          </cell>
          <cell r="U18" t="str">
            <v>n/a</v>
          </cell>
          <cell r="V18">
            <v>0</v>
          </cell>
          <cell r="W18">
            <v>0</v>
          </cell>
          <cell r="X18">
            <v>0</v>
          </cell>
          <cell r="AL18">
            <v>0</v>
          </cell>
          <cell r="AN18">
            <v>933708</v>
          </cell>
        </row>
        <row r="19">
          <cell r="A19">
            <v>50060000</v>
          </cell>
          <cell r="B19" t="str">
            <v>Salary</v>
          </cell>
          <cell r="D19">
            <v>0</v>
          </cell>
          <cell r="F19">
            <v>0</v>
          </cell>
          <cell r="G19">
            <v>0</v>
          </cell>
          <cell r="T19">
            <v>0</v>
          </cell>
          <cell r="U19" t="str">
            <v>n/a</v>
          </cell>
          <cell r="V19">
            <v>0</v>
          </cell>
          <cell r="W19">
            <v>0</v>
          </cell>
          <cell r="X19">
            <v>0</v>
          </cell>
          <cell r="AL19">
            <v>0</v>
          </cell>
          <cell r="AN19">
            <v>15335931</v>
          </cell>
        </row>
        <row r="20">
          <cell r="A20">
            <v>50080000</v>
          </cell>
          <cell r="B20" t="str">
            <v>Overtime-Staff</v>
          </cell>
          <cell r="D20">
            <v>0</v>
          </cell>
          <cell r="F20">
            <v>0</v>
          </cell>
          <cell r="G20">
            <v>0</v>
          </cell>
          <cell r="T20">
            <v>0</v>
          </cell>
          <cell r="U20" t="str">
            <v>n/a</v>
          </cell>
          <cell r="V20">
            <v>0</v>
          </cell>
          <cell r="W20">
            <v>0</v>
          </cell>
          <cell r="X20">
            <v>0</v>
          </cell>
          <cell r="AL20">
            <v>0</v>
          </cell>
          <cell r="AN20">
            <v>174385</v>
          </cell>
        </row>
        <row r="21">
          <cell r="A21">
            <v>50540000</v>
          </cell>
          <cell r="B21" t="str">
            <v>Overtime-Worker</v>
          </cell>
          <cell r="D21">
            <v>0</v>
          </cell>
          <cell r="F21">
            <v>0</v>
          </cell>
          <cell r="G21">
            <v>0</v>
          </cell>
          <cell r="T21">
            <v>0</v>
          </cell>
          <cell r="U21" t="str">
            <v>n/a</v>
          </cell>
          <cell r="V21">
            <v>0</v>
          </cell>
          <cell r="W21">
            <v>0</v>
          </cell>
          <cell r="X21">
            <v>0</v>
          </cell>
          <cell r="AL21">
            <v>0</v>
          </cell>
          <cell r="AN21">
            <v>0</v>
          </cell>
        </row>
        <row r="22">
          <cell r="A22">
            <v>50810001</v>
          </cell>
          <cell r="B22" t="str">
            <v>Housing Allowance</v>
          </cell>
          <cell r="D22">
            <v>0</v>
          </cell>
          <cell r="F22">
            <v>0</v>
          </cell>
          <cell r="G22">
            <v>0</v>
          </cell>
          <cell r="T22">
            <v>0</v>
          </cell>
          <cell r="U22" t="str">
            <v>n/a</v>
          </cell>
          <cell r="V22">
            <v>0</v>
          </cell>
          <cell r="W22">
            <v>0</v>
          </cell>
          <cell r="X22">
            <v>0</v>
          </cell>
          <cell r="AL22">
            <v>0</v>
          </cell>
          <cell r="AN22">
            <v>9688</v>
          </cell>
        </row>
        <row r="23">
          <cell r="A23">
            <v>50810002</v>
          </cell>
          <cell r="B23" t="str">
            <v>Shift Premium</v>
          </cell>
          <cell r="D23">
            <v>0</v>
          </cell>
          <cell r="F23">
            <v>0</v>
          </cell>
          <cell r="G23">
            <v>0</v>
          </cell>
          <cell r="T23">
            <v>0</v>
          </cell>
          <cell r="U23" t="str">
            <v>n/a</v>
          </cell>
          <cell r="V23">
            <v>0</v>
          </cell>
          <cell r="W23">
            <v>0</v>
          </cell>
          <cell r="X23">
            <v>0</v>
          </cell>
          <cell r="AL23">
            <v>0</v>
          </cell>
          <cell r="AN23">
            <v>0</v>
          </cell>
        </row>
        <row r="24">
          <cell r="A24">
            <v>51210000</v>
          </cell>
          <cell r="B24" t="str">
            <v>Social Security Taxes</v>
          </cell>
          <cell r="D24">
            <v>0</v>
          </cell>
          <cell r="F24">
            <v>0</v>
          </cell>
          <cell r="G24">
            <v>0</v>
          </cell>
          <cell r="T24">
            <v>0</v>
          </cell>
          <cell r="U24" t="str">
            <v>n/a</v>
          </cell>
          <cell r="V24">
            <v>0</v>
          </cell>
          <cell r="W24">
            <v>0</v>
          </cell>
          <cell r="X24">
            <v>0</v>
          </cell>
          <cell r="AL24">
            <v>0</v>
          </cell>
          <cell r="AN24">
            <v>154884</v>
          </cell>
        </row>
        <row r="25">
          <cell r="A25">
            <v>51220000</v>
          </cell>
          <cell r="B25" t="str">
            <v>Workmen's Compensation</v>
          </cell>
          <cell r="D25">
            <v>0</v>
          </cell>
          <cell r="F25">
            <v>0</v>
          </cell>
          <cell r="G25">
            <v>0</v>
          </cell>
          <cell r="T25">
            <v>0</v>
          </cell>
          <cell r="U25" t="str">
            <v>n/a</v>
          </cell>
          <cell r="V25">
            <v>0</v>
          </cell>
          <cell r="W25">
            <v>0</v>
          </cell>
          <cell r="X25">
            <v>0</v>
          </cell>
          <cell r="AL25">
            <v>0</v>
          </cell>
          <cell r="AN25">
            <v>0</v>
          </cell>
        </row>
        <row r="26">
          <cell r="A26">
            <v>51230000</v>
          </cell>
          <cell r="B26" t="str">
            <v>Group Insurance</v>
          </cell>
          <cell r="D26">
            <v>0</v>
          </cell>
          <cell r="F26">
            <v>0</v>
          </cell>
          <cell r="G26">
            <v>0</v>
          </cell>
          <cell r="T26">
            <v>0</v>
          </cell>
          <cell r="U26" t="str">
            <v>n/a</v>
          </cell>
          <cell r="V26">
            <v>0</v>
          </cell>
          <cell r="W26">
            <v>0</v>
          </cell>
          <cell r="X26">
            <v>0</v>
          </cell>
          <cell r="AL26">
            <v>0</v>
          </cell>
          <cell r="AN26">
            <v>161435</v>
          </cell>
        </row>
        <row r="27">
          <cell r="A27">
            <v>51250000</v>
          </cell>
          <cell r="B27" t="str">
            <v>Medical Fee</v>
          </cell>
          <cell r="D27">
            <v>0</v>
          </cell>
          <cell r="F27">
            <v>0</v>
          </cell>
          <cell r="G27">
            <v>0</v>
          </cell>
          <cell r="T27">
            <v>0</v>
          </cell>
          <cell r="U27" t="str">
            <v>n/a</v>
          </cell>
          <cell r="V27">
            <v>0</v>
          </cell>
          <cell r="W27">
            <v>0</v>
          </cell>
          <cell r="X27">
            <v>0</v>
          </cell>
          <cell r="AL27">
            <v>0</v>
          </cell>
          <cell r="AN27">
            <v>246702</v>
          </cell>
        </row>
        <row r="28">
          <cell r="A28">
            <v>51600001</v>
          </cell>
          <cell r="B28" t="str">
            <v>Termination Pay</v>
          </cell>
          <cell r="D28">
            <v>0</v>
          </cell>
          <cell r="F28">
            <v>0</v>
          </cell>
          <cell r="G28">
            <v>0</v>
          </cell>
          <cell r="T28">
            <v>0</v>
          </cell>
          <cell r="U28" t="str">
            <v>n/a</v>
          </cell>
          <cell r="V28">
            <v>0</v>
          </cell>
          <cell r="W28">
            <v>0</v>
          </cell>
          <cell r="X28">
            <v>0</v>
          </cell>
          <cell r="AL28">
            <v>0</v>
          </cell>
          <cell r="AN28">
            <v>0</v>
          </cell>
        </row>
        <row r="29">
          <cell r="A29">
            <v>51600002</v>
          </cell>
          <cell r="B29" t="str">
            <v>Provident Fund</v>
          </cell>
          <cell r="D29">
            <v>0</v>
          </cell>
          <cell r="F29">
            <v>0</v>
          </cell>
          <cell r="G29">
            <v>0</v>
          </cell>
          <cell r="T29">
            <v>0</v>
          </cell>
          <cell r="U29" t="str">
            <v>n/a</v>
          </cell>
          <cell r="V29">
            <v>0</v>
          </cell>
          <cell r="W29">
            <v>0</v>
          </cell>
          <cell r="X29">
            <v>0</v>
          </cell>
          <cell r="AL29">
            <v>0</v>
          </cell>
          <cell r="AN29">
            <v>768105</v>
          </cell>
        </row>
        <row r="30">
          <cell r="A30">
            <v>52250001</v>
          </cell>
          <cell r="B30" t="str">
            <v>Daily Temporary Wage - Fixed</v>
          </cell>
          <cell r="D30">
            <v>0</v>
          </cell>
          <cell r="F30">
            <v>0</v>
          </cell>
          <cell r="G30">
            <v>0</v>
          </cell>
          <cell r="T30">
            <v>0</v>
          </cell>
          <cell r="U30" t="str">
            <v>n/a</v>
          </cell>
          <cell r="V30">
            <v>0</v>
          </cell>
          <cell r="W30">
            <v>0</v>
          </cell>
          <cell r="X30">
            <v>0</v>
          </cell>
          <cell r="AL30">
            <v>0</v>
          </cell>
          <cell r="AN30">
            <v>0</v>
          </cell>
        </row>
        <row r="31">
          <cell r="B31" t="str">
            <v>Total ERC - Compensation and Benefits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 t="str">
            <v>n/a</v>
          </cell>
          <cell r="V31">
            <v>0</v>
          </cell>
          <cell r="W31">
            <v>0</v>
          </cell>
          <cell r="X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N31">
            <v>17784838</v>
          </cell>
        </row>
        <row r="32">
          <cell r="A32" t="str">
            <v>ERC - Indirect Benefits</v>
          </cell>
          <cell r="F32">
            <v>0</v>
          </cell>
        </row>
        <row r="33">
          <cell r="A33">
            <v>51000000</v>
          </cell>
          <cell r="B33" t="str">
            <v>Vacation Allowance</v>
          </cell>
          <cell r="D33">
            <v>0</v>
          </cell>
          <cell r="F33">
            <v>0</v>
          </cell>
          <cell r="G33">
            <v>0</v>
          </cell>
          <cell r="T33">
            <v>0</v>
          </cell>
          <cell r="U33" t="str">
            <v>n/a</v>
          </cell>
          <cell r="V33">
            <v>0</v>
          </cell>
          <cell r="W33">
            <v>0</v>
          </cell>
          <cell r="X33">
            <v>0</v>
          </cell>
          <cell r="AL33">
            <v>0</v>
          </cell>
          <cell r="AN33">
            <v>0</v>
          </cell>
        </row>
        <row r="34">
          <cell r="A34">
            <v>51400000</v>
          </cell>
          <cell r="B34" t="str">
            <v>Uniforms</v>
          </cell>
          <cell r="D34">
            <v>0</v>
          </cell>
          <cell r="F34">
            <v>0</v>
          </cell>
          <cell r="G34">
            <v>0</v>
          </cell>
          <cell r="T34">
            <v>0</v>
          </cell>
          <cell r="U34" t="str">
            <v>n/a</v>
          </cell>
          <cell r="V34">
            <v>0</v>
          </cell>
          <cell r="W34">
            <v>0</v>
          </cell>
          <cell r="X34">
            <v>0</v>
          </cell>
          <cell r="AL34">
            <v>0</v>
          </cell>
          <cell r="AN34">
            <v>0</v>
          </cell>
        </row>
        <row r="35">
          <cell r="A35">
            <v>51410001</v>
          </cell>
          <cell r="B35" t="str">
            <v>Staff Meal</v>
          </cell>
          <cell r="D35">
            <v>0</v>
          </cell>
          <cell r="F35">
            <v>0</v>
          </cell>
          <cell r="G35">
            <v>0</v>
          </cell>
          <cell r="J35">
            <v>1000</v>
          </cell>
          <cell r="K35">
            <v>1000</v>
          </cell>
          <cell r="M35">
            <v>1000</v>
          </cell>
          <cell r="O35">
            <v>1000</v>
          </cell>
          <cell r="P35">
            <v>2000</v>
          </cell>
          <cell r="Q35">
            <v>2000</v>
          </cell>
          <cell r="T35">
            <v>8000</v>
          </cell>
          <cell r="U35" t="str">
            <v>n/a</v>
          </cell>
          <cell r="V35">
            <v>-8000</v>
          </cell>
          <cell r="W35">
            <v>666.66666666666663</v>
          </cell>
          <cell r="X35">
            <v>-666.66666666666663</v>
          </cell>
          <cell r="AL35">
            <v>0</v>
          </cell>
          <cell r="AN35">
            <v>27092</v>
          </cell>
        </row>
        <row r="36">
          <cell r="A36">
            <v>51410002</v>
          </cell>
          <cell r="B36" t="str">
            <v>Cafeteria Expense</v>
          </cell>
          <cell r="D36">
            <v>0</v>
          </cell>
          <cell r="F36">
            <v>0</v>
          </cell>
          <cell r="G36">
            <v>0</v>
          </cell>
          <cell r="T36">
            <v>0</v>
          </cell>
          <cell r="U36" t="str">
            <v>n/a</v>
          </cell>
          <cell r="V36">
            <v>0</v>
          </cell>
          <cell r="W36">
            <v>0</v>
          </cell>
          <cell r="X36">
            <v>0</v>
          </cell>
          <cell r="AL36">
            <v>0</v>
          </cell>
          <cell r="AN36">
            <v>1004</v>
          </cell>
        </row>
        <row r="37">
          <cell r="A37">
            <v>51440000</v>
          </cell>
          <cell r="B37" t="str">
            <v>Company Parties &amp; Gifts</v>
          </cell>
          <cell r="D37">
            <v>0</v>
          </cell>
          <cell r="F37">
            <v>0</v>
          </cell>
          <cell r="G37">
            <v>0</v>
          </cell>
          <cell r="T37">
            <v>0</v>
          </cell>
          <cell r="U37" t="str">
            <v>n/a</v>
          </cell>
          <cell r="V37">
            <v>0</v>
          </cell>
          <cell r="W37">
            <v>0</v>
          </cell>
          <cell r="X37">
            <v>0</v>
          </cell>
          <cell r="AL37">
            <v>0</v>
          </cell>
          <cell r="AN37">
            <v>0</v>
          </cell>
        </row>
        <row r="38">
          <cell r="A38">
            <v>51600003</v>
          </cell>
          <cell r="B38" t="str">
            <v>Other Benefits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T38">
            <v>0</v>
          </cell>
          <cell r="U38" t="str">
            <v>n/a</v>
          </cell>
          <cell r="V38">
            <v>0</v>
          </cell>
          <cell r="W38">
            <v>0</v>
          </cell>
          <cell r="X38">
            <v>0</v>
          </cell>
          <cell r="AL38">
            <v>0</v>
          </cell>
          <cell r="AN38">
            <v>318463</v>
          </cell>
        </row>
        <row r="39">
          <cell r="B39" t="str">
            <v>Total Indirect Benefits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1000</v>
          </cell>
          <cell r="K39">
            <v>1000</v>
          </cell>
          <cell r="L39">
            <v>0</v>
          </cell>
          <cell r="M39">
            <v>1000</v>
          </cell>
          <cell r="N39">
            <v>0</v>
          </cell>
          <cell r="O39">
            <v>1000</v>
          </cell>
          <cell r="P39">
            <v>2000</v>
          </cell>
          <cell r="Q39">
            <v>2000</v>
          </cell>
          <cell r="R39">
            <v>0</v>
          </cell>
          <cell r="S39">
            <v>0</v>
          </cell>
          <cell r="T39">
            <v>8000</v>
          </cell>
          <cell r="U39" t="str">
            <v>n/a</v>
          </cell>
          <cell r="V39">
            <v>-8000</v>
          </cell>
          <cell r="W39">
            <v>666.66666666666663</v>
          </cell>
          <cell r="X39">
            <v>-666.66666666666663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N39">
            <v>346559</v>
          </cell>
        </row>
        <row r="40">
          <cell r="A40" t="str">
            <v>Recruitment &amp; Training</v>
          </cell>
          <cell r="F40">
            <v>0</v>
          </cell>
        </row>
        <row r="41">
          <cell r="A41">
            <v>51420000</v>
          </cell>
          <cell r="B41" t="str">
            <v>Employee Recruitment</v>
          </cell>
          <cell r="D41">
            <v>0</v>
          </cell>
          <cell r="F41">
            <v>0</v>
          </cell>
          <cell r="G41">
            <v>0</v>
          </cell>
          <cell r="T41">
            <v>0</v>
          </cell>
          <cell r="U41" t="str">
            <v>n/a</v>
          </cell>
          <cell r="V41">
            <v>0</v>
          </cell>
          <cell r="W41">
            <v>0</v>
          </cell>
          <cell r="X41">
            <v>0</v>
          </cell>
          <cell r="AL41">
            <v>0</v>
          </cell>
          <cell r="AN41">
            <v>0</v>
          </cell>
        </row>
        <row r="42">
          <cell r="A42">
            <v>51430001</v>
          </cell>
          <cell r="B42" t="str">
            <v>Training and Development</v>
          </cell>
          <cell r="D42">
            <v>0</v>
          </cell>
          <cell r="F42">
            <v>0</v>
          </cell>
          <cell r="G42">
            <v>0</v>
          </cell>
          <cell r="T42">
            <v>0</v>
          </cell>
          <cell r="U42" t="str">
            <v>n/a</v>
          </cell>
          <cell r="V42">
            <v>0</v>
          </cell>
          <cell r="W42">
            <v>0</v>
          </cell>
          <cell r="X42">
            <v>0</v>
          </cell>
          <cell r="AL42">
            <v>0</v>
          </cell>
          <cell r="AN42">
            <v>108385</v>
          </cell>
        </row>
        <row r="43">
          <cell r="B43" t="str">
            <v>Total Recruitment &amp; Training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 t="str">
            <v>n/a</v>
          </cell>
          <cell r="V43">
            <v>0</v>
          </cell>
          <cell r="W43">
            <v>0</v>
          </cell>
          <cell r="X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N43">
            <v>108385</v>
          </cell>
        </row>
        <row r="44">
          <cell r="A44" t="str">
            <v>Travel, Entertainment</v>
          </cell>
          <cell r="F44">
            <v>0</v>
          </cell>
        </row>
        <row r="45">
          <cell r="A45">
            <v>52000002</v>
          </cell>
          <cell r="B45" t="str">
            <v>Domestic Travel</v>
          </cell>
          <cell r="D45">
            <v>0</v>
          </cell>
          <cell r="F45">
            <v>0</v>
          </cell>
          <cell r="G45">
            <v>0</v>
          </cell>
          <cell r="H45">
            <v>13080</v>
          </cell>
          <cell r="I45">
            <v>13080</v>
          </cell>
          <cell r="J45">
            <v>28360</v>
          </cell>
          <cell r="K45">
            <v>24830</v>
          </cell>
          <cell r="L45">
            <v>13080</v>
          </cell>
          <cell r="M45">
            <v>31210</v>
          </cell>
          <cell r="N45">
            <v>13080</v>
          </cell>
          <cell r="O45">
            <v>13080</v>
          </cell>
          <cell r="P45">
            <v>29560</v>
          </cell>
          <cell r="Q45">
            <v>13080</v>
          </cell>
          <cell r="R45">
            <v>13080</v>
          </cell>
          <cell r="S45">
            <v>24070</v>
          </cell>
          <cell r="T45">
            <v>229590</v>
          </cell>
          <cell r="U45" t="str">
            <v>n/a</v>
          </cell>
          <cell r="V45">
            <v>-229590</v>
          </cell>
          <cell r="W45">
            <v>19132.5</v>
          </cell>
          <cell r="X45">
            <v>-19132.5</v>
          </cell>
          <cell r="AL45">
            <v>0</v>
          </cell>
          <cell r="AN45">
            <v>730903</v>
          </cell>
        </row>
        <row r="46">
          <cell r="A46">
            <v>52000003</v>
          </cell>
          <cell r="B46" t="str">
            <v>Overseas Travel</v>
          </cell>
          <cell r="D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310600</v>
          </cell>
          <cell r="N46">
            <v>0</v>
          </cell>
          <cell r="O46">
            <v>0</v>
          </cell>
          <cell r="P46">
            <v>0</v>
          </cell>
          <cell r="Q46">
            <v>161800</v>
          </cell>
          <cell r="R46">
            <v>0</v>
          </cell>
          <cell r="S46">
            <v>0</v>
          </cell>
          <cell r="T46">
            <v>472400</v>
          </cell>
          <cell r="U46" t="str">
            <v>n/a</v>
          </cell>
          <cell r="V46">
            <v>-472400</v>
          </cell>
          <cell r="W46">
            <v>39366.666666666664</v>
          </cell>
          <cell r="X46">
            <v>-39366.666666666664</v>
          </cell>
          <cell r="AL46">
            <v>0</v>
          </cell>
          <cell r="AN46">
            <v>94179</v>
          </cell>
        </row>
        <row r="47">
          <cell r="A47">
            <v>52000005</v>
          </cell>
          <cell r="B47" t="str">
            <v>Local Travel</v>
          </cell>
          <cell r="D47">
            <v>0</v>
          </cell>
          <cell r="F47">
            <v>0</v>
          </cell>
          <cell r="G47">
            <v>0</v>
          </cell>
          <cell r="H47">
            <v>120</v>
          </cell>
          <cell r="I47">
            <v>120</v>
          </cell>
          <cell r="J47">
            <v>120</v>
          </cell>
          <cell r="K47">
            <v>120</v>
          </cell>
          <cell r="L47">
            <v>120</v>
          </cell>
          <cell r="M47">
            <v>120</v>
          </cell>
          <cell r="N47">
            <v>120</v>
          </cell>
          <cell r="O47">
            <v>4080</v>
          </cell>
          <cell r="P47">
            <v>120</v>
          </cell>
          <cell r="Q47">
            <v>120</v>
          </cell>
          <cell r="R47">
            <v>120</v>
          </cell>
          <cell r="S47">
            <v>4080</v>
          </cell>
          <cell r="T47">
            <v>9360</v>
          </cell>
          <cell r="U47" t="str">
            <v>n/a</v>
          </cell>
          <cell r="V47">
            <v>-9360</v>
          </cell>
          <cell r="W47">
            <v>780</v>
          </cell>
          <cell r="X47">
            <v>-780</v>
          </cell>
          <cell r="AL47">
            <v>0</v>
          </cell>
          <cell r="AN47">
            <v>172330</v>
          </cell>
        </row>
        <row r="48">
          <cell r="A48">
            <v>52000010</v>
          </cell>
          <cell r="B48" t="str">
            <v>Vehicle - Running Expenses</v>
          </cell>
          <cell r="D48">
            <v>0</v>
          </cell>
          <cell r="F48">
            <v>0</v>
          </cell>
          <cell r="G48">
            <v>0</v>
          </cell>
          <cell r="H48">
            <v>11869.166666666666</v>
          </cell>
          <cell r="I48">
            <v>11869.166666666666</v>
          </cell>
          <cell r="J48">
            <v>11869.166666666666</v>
          </cell>
          <cell r="K48">
            <v>11869.166666666666</v>
          </cell>
          <cell r="L48">
            <v>11869.166666666666</v>
          </cell>
          <cell r="M48">
            <v>11869.166666666666</v>
          </cell>
          <cell r="N48">
            <v>11869.166666666666</v>
          </cell>
          <cell r="O48">
            <v>11869.166666666666</v>
          </cell>
          <cell r="P48">
            <v>11869.166666666666</v>
          </cell>
          <cell r="Q48">
            <v>11869.166666666666</v>
          </cell>
          <cell r="R48">
            <v>11869.166666666666</v>
          </cell>
          <cell r="S48">
            <v>11869.166666666666</v>
          </cell>
          <cell r="T48">
            <v>142430.00000000003</v>
          </cell>
          <cell r="U48" t="str">
            <v>n/a</v>
          </cell>
          <cell r="V48">
            <v>-142430.00000000003</v>
          </cell>
          <cell r="W48">
            <v>11869.16666666667</v>
          </cell>
          <cell r="X48">
            <v>-11869.16666666667</v>
          </cell>
          <cell r="AL48">
            <v>0</v>
          </cell>
          <cell r="AN48">
            <v>407940</v>
          </cell>
        </row>
        <row r="49">
          <cell r="A49">
            <v>52000035</v>
          </cell>
          <cell r="B49" t="str">
            <v>Vehicle - Rental Expense</v>
          </cell>
          <cell r="D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 t="str">
            <v>n/a</v>
          </cell>
          <cell r="V49">
            <v>0</v>
          </cell>
          <cell r="W49">
            <v>0</v>
          </cell>
          <cell r="X49">
            <v>0</v>
          </cell>
          <cell r="AL49">
            <v>0</v>
          </cell>
          <cell r="AN49">
            <v>44898</v>
          </cell>
        </row>
        <row r="50">
          <cell r="A50">
            <v>52030000</v>
          </cell>
          <cell r="B50" t="str">
            <v>Entertainment</v>
          </cell>
          <cell r="D50">
            <v>0</v>
          </cell>
          <cell r="F50">
            <v>0</v>
          </cell>
          <cell r="G50">
            <v>0</v>
          </cell>
          <cell r="H50">
            <v>2000</v>
          </cell>
          <cell r="I50">
            <v>2000</v>
          </cell>
          <cell r="J50">
            <v>2000</v>
          </cell>
          <cell r="K50">
            <v>2000</v>
          </cell>
          <cell r="L50">
            <v>2000</v>
          </cell>
          <cell r="M50">
            <v>2000</v>
          </cell>
          <cell r="N50">
            <v>2000</v>
          </cell>
          <cell r="O50">
            <v>2000</v>
          </cell>
          <cell r="P50">
            <v>2000</v>
          </cell>
          <cell r="Q50">
            <v>2000</v>
          </cell>
          <cell r="R50">
            <v>2000</v>
          </cell>
          <cell r="S50">
            <v>2000</v>
          </cell>
          <cell r="T50">
            <v>24000</v>
          </cell>
          <cell r="U50" t="str">
            <v>n/a</v>
          </cell>
          <cell r="V50">
            <v>-24000</v>
          </cell>
          <cell r="W50">
            <v>2000</v>
          </cell>
          <cell r="X50">
            <v>-2000</v>
          </cell>
          <cell r="AL50">
            <v>0</v>
          </cell>
          <cell r="AN50">
            <v>769</v>
          </cell>
        </row>
        <row r="51">
          <cell r="A51">
            <v>52200000</v>
          </cell>
          <cell r="B51" t="str">
            <v>Business Meeting</v>
          </cell>
          <cell r="D51">
            <v>0</v>
          </cell>
          <cell r="F51">
            <v>0</v>
          </cell>
          <cell r="G51">
            <v>0</v>
          </cell>
          <cell r="H51">
            <v>2000</v>
          </cell>
          <cell r="I51">
            <v>2000</v>
          </cell>
          <cell r="J51">
            <v>3500</v>
          </cell>
          <cell r="K51">
            <v>2000</v>
          </cell>
          <cell r="L51">
            <v>2000</v>
          </cell>
          <cell r="M51">
            <v>3500</v>
          </cell>
          <cell r="N51">
            <v>2000</v>
          </cell>
          <cell r="O51">
            <v>2000</v>
          </cell>
          <cell r="P51">
            <v>1500</v>
          </cell>
          <cell r="Q51">
            <v>2000</v>
          </cell>
          <cell r="R51">
            <v>2000</v>
          </cell>
          <cell r="S51">
            <v>3500</v>
          </cell>
          <cell r="T51">
            <v>28000</v>
          </cell>
          <cell r="U51" t="str">
            <v>n/a</v>
          </cell>
          <cell r="V51">
            <v>-28000</v>
          </cell>
          <cell r="W51">
            <v>2333.3333333333335</v>
          </cell>
          <cell r="X51">
            <v>-2333.3333333333335</v>
          </cell>
          <cell r="AL51">
            <v>0</v>
          </cell>
          <cell r="AN51">
            <v>103594</v>
          </cell>
        </row>
        <row r="52">
          <cell r="A52">
            <v>52350000</v>
          </cell>
          <cell r="B52" t="str">
            <v>Moving / Relocation Expenses</v>
          </cell>
          <cell r="D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 t="str">
            <v>n/a</v>
          </cell>
          <cell r="V52">
            <v>0</v>
          </cell>
          <cell r="W52">
            <v>0</v>
          </cell>
          <cell r="X52">
            <v>0</v>
          </cell>
          <cell r="AL52">
            <v>0</v>
          </cell>
          <cell r="AN52">
            <v>0</v>
          </cell>
        </row>
        <row r="53">
          <cell r="B53" t="str">
            <v>Total Travel, Entertainment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29069.166666666664</v>
          </cell>
          <cell r="I53">
            <v>29069.166666666664</v>
          </cell>
          <cell r="J53">
            <v>45849.166666666664</v>
          </cell>
          <cell r="K53">
            <v>40819.166666666664</v>
          </cell>
          <cell r="L53">
            <v>29069.166666666664</v>
          </cell>
          <cell r="M53">
            <v>359299.16666666669</v>
          </cell>
          <cell r="N53">
            <v>29069.166666666664</v>
          </cell>
          <cell r="O53">
            <v>33029.166666666664</v>
          </cell>
          <cell r="P53">
            <v>45049.166666666664</v>
          </cell>
          <cell r="Q53">
            <v>190869.16666666666</v>
          </cell>
          <cell r="R53">
            <v>29069.166666666664</v>
          </cell>
          <cell r="S53">
            <v>45519.166666666664</v>
          </cell>
          <cell r="T53">
            <v>905780</v>
          </cell>
          <cell r="U53" t="str">
            <v>n/a</v>
          </cell>
          <cell r="V53">
            <v>-905780</v>
          </cell>
          <cell r="W53">
            <v>75481.666666666672</v>
          </cell>
          <cell r="X53">
            <v>-75481.666666666672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N53">
            <v>1554613</v>
          </cell>
        </row>
        <row r="54">
          <cell r="A54" t="str">
            <v>Repair and Maintenance</v>
          </cell>
          <cell r="F54">
            <v>0</v>
          </cell>
        </row>
        <row r="55">
          <cell r="A55">
            <v>53000001</v>
          </cell>
          <cell r="B55" t="str">
            <v>R&amp;M - Equipment and Furniture</v>
          </cell>
          <cell r="D55">
            <v>0</v>
          </cell>
          <cell r="F55">
            <v>0</v>
          </cell>
          <cell r="G55">
            <v>0</v>
          </cell>
          <cell r="H55">
            <v>1000</v>
          </cell>
          <cell r="I55">
            <v>1000</v>
          </cell>
          <cell r="J55">
            <v>1000</v>
          </cell>
          <cell r="K55">
            <v>1000</v>
          </cell>
          <cell r="L55">
            <v>1000</v>
          </cell>
          <cell r="M55">
            <v>1000</v>
          </cell>
          <cell r="N55">
            <v>1000</v>
          </cell>
          <cell r="O55">
            <v>1000</v>
          </cell>
          <cell r="P55">
            <v>1000</v>
          </cell>
          <cell r="Q55">
            <v>1000</v>
          </cell>
          <cell r="R55">
            <v>1000</v>
          </cell>
          <cell r="S55">
            <v>1000</v>
          </cell>
          <cell r="T55">
            <v>12000</v>
          </cell>
          <cell r="U55" t="str">
            <v>n/a</v>
          </cell>
          <cell r="V55">
            <v>-12000</v>
          </cell>
          <cell r="W55">
            <v>1000</v>
          </cell>
          <cell r="X55">
            <v>-1000</v>
          </cell>
          <cell r="AL55">
            <v>0</v>
          </cell>
          <cell r="AN55">
            <v>3066</v>
          </cell>
        </row>
        <row r="56">
          <cell r="A56">
            <v>53000002</v>
          </cell>
          <cell r="B56" t="str">
            <v>R&amp;M - Machinery - Plant Machinery</v>
          </cell>
          <cell r="D56">
            <v>0</v>
          </cell>
          <cell r="F56">
            <v>0</v>
          </cell>
          <cell r="G56">
            <v>0</v>
          </cell>
          <cell r="T56">
            <v>0</v>
          </cell>
          <cell r="U56" t="str">
            <v>n/a</v>
          </cell>
          <cell r="V56">
            <v>0</v>
          </cell>
          <cell r="W56">
            <v>0</v>
          </cell>
          <cell r="X56">
            <v>0</v>
          </cell>
          <cell r="AL56">
            <v>0</v>
          </cell>
          <cell r="AN56">
            <v>2175</v>
          </cell>
        </row>
        <row r="57">
          <cell r="A57">
            <v>53000004</v>
          </cell>
          <cell r="B57" t="str">
            <v>R&amp;M - Computer and Printer</v>
          </cell>
          <cell r="D57">
            <v>0</v>
          </cell>
          <cell r="F57">
            <v>0</v>
          </cell>
          <cell r="G57">
            <v>0</v>
          </cell>
          <cell r="T57">
            <v>0</v>
          </cell>
          <cell r="U57" t="str">
            <v>n/a</v>
          </cell>
          <cell r="V57">
            <v>0</v>
          </cell>
          <cell r="W57">
            <v>0</v>
          </cell>
          <cell r="X57">
            <v>0</v>
          </cell>
          <cell r="AL57">
            <v>0</v>
          </cell>
          <cell r="AN57">
            <v>1300</v>
          </cell>
        </row>
        <row r="58">
          <cell r="A58">
            <v>53000009</v>
          </cell>
          <cell r="B58" t="str">
            <v>R&amp;M - Others</v>
          </cell>
          <cell r="D58">
            <v>0</v>
          </cell>
          <cell r="F58">
            <v>0</v>
          </cell>
          <cell r="G58">
            <v>0</v>
          </cell>
          <cell r="T58">
            <v>0</v>
          </cell>
          <cell r="U58" t="str">
            <v>n/a</v>
          </cell>
          <cell r="V58">
            <v>0</v>
          </cell>
          <cell r="W58">
            <v>0</v>
          </cell>
          <cell r="X58">
            <v>0</v>
          </cell>
          <cell r="AL58">
            <v>0</v>
          </cell>
          <cell r="AN58">
            <v>3800</v>
          </cell>
        </row>
        <row r="59">
          <cell r="A59">
            <v>53050000</v>
          </cell>
          <cell r="B59" t="str">
            <v>R&amp;M - Land and Building</v>
          </cell>
          <cell r="D59">
            <v>0</v>
          </cell>
          <cell r="F59">
            <v>0</v>
          </cell>
          <cell r="G59">
            <v>0</v>
          </cell>
          <cell r="T59">
            <v>0</v>
          </cell>
          <cell r="U59" t="str">
            <v>n/a</v>
          </cell>
          <cell r="V59">
            <v>0</v>
          </cell>
          <cell r="W59">
            <v>0</v>
          </cell>
          <cell r="X59">
            <v>0</v>
          </cell>
          <cell r="AL59">
            <v>0</v>
          </cell>
          <cell r="AN59">
            <v>0</v>
          </cell>
        </row>
        <row r="60">
          <cell r="B60" t="str">
            <v>Total Repair and Maintenance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1000</v>
          </cell>
          <cell r="I60">
            <v>1000</v>
          </cell>
          <cell r="J60">
            <v>1000</v>
          </cell>
          <cell r="K60">
            <v>1000</v>
          </cell>
          <cell r="L60">
            <v>1000</v>
          </cell>
          <cell r="M60">
            <v>1000</v>
          </cell>
          <cell r="N60">
            <v>1000</v>
          </cell>
          <cell r="O60">
            <v>1000</v>
          </cell>
          <cell r="P60">
            <v>1000</v>
          </cell>
          <cell r="Q60">
            <v>1000</v>
          </cell>
          <cell r="R60">
            <v>1000</v>
          </cell>
          <cell r="S60">
            <v>1000</v>
          </cell>
          <cell r="T60">
            <v>12000</v>
          </cell>
          <cell r="U60" t="str">
            <v>n/a</v>
          </cell>
          <cell r="V60">
            <v>-12000</v>
          </cell>
          <cell r="W60">
            <v>1000</v>
          </cell>
          <cell r="X60">
            <v>-1000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N60">
            <v>10341</v>
          </cell>
        </row>
        <row r="61">
          <cell r="A61" t="str">
            <v>Depreciation Expense</v>
          </cell>
          <cell r="F61">
            <v>0</v>
          </cell>
        </row>
        <row r="62">
          <cell r="A62">
            <v>53410000</v>
          </cell>
          <cell r="B62" t="str">
            <v>Depreciation Building</v>
          </cell>
          <cell r="D62">
            <v>0</v>
          </cell>
          <cell r="F62">
            <v>0</v>
          </cell>
          <cell r="G62">
            <v>0</v>
          </cell>
          <cell r="T62">
            <v>0</v>
          </cell>
          <cell r="U62" t="str">
            <v>n/a</v>
          </cell>
          <cell r="V62">
            <v>0</v>
          </cell>
          <cell r="W62">
            <v>0</v>
          </cell>
          <cell r="X62">
            <v>0</v>
          </cell>
          <cell r="AL62">
            <v>0</v>
          </cell>
          <cell r="AN62">
            <v>0</v>
          </cell>
        </row>
        <row r="63">
          <cell r="A63">
            <v>53430000</v>
          </cell>
          <cell r="B63" t="str">
            <v>Depreciation Machinery</v>
          </cell>
          <cell r="D63">
            <v>0</v>
          </cell>
          <cell r="F63">
            <v>0</v>
          </cell>
          <cell r="G63">
            <v>0</v>
          </cell>
          <cell r="T63">
            <v>0</v>
          </cell>
          <cell r="U63" t="str">
            <v>n/a</v>
          </cell>
          <cell r="V63">
            <v>0</v>
          </cell>
          <cell r="W63">
            <v>0</v>
          </cell>
          <cell r="X63">
            <v>0</v>
          </cell>
          <cell r="AL63">
            <v>0</v>
          </cell>
          <cell r="AN63">
            <v>140610</v>
          </cell>
        </row>
        <row r="64">
          <cell r="A64">
            <v>53440000</v>
          </cell>
          <cell r="B64" t="str">
            <v>Depreciation Furniture and Fixture</v>
          </cell>
          <cell r="D64">
            <v>0</v>
          </cell>
          <cell r="F64">
            <v>0</v>
          </cell>
          <cell r="G64">
            <v>0</v>
          </cell>
          <cell r="T64">
            <v>0</v>
          </cell>
          <cell r="U64" t="str">
            <v>n/a</v>
          </cell>
          <cell r="V64">
            <v>0</v>
          </cell>
          <cell r="W64">
            <v>0</v>
          </cell>
          <cell r="X64">
            <v>0</v>
          </cell>
          <cell r="AL64">
            <v>0</v>
          </cell>
          <cell r="AN64">
            <v>61829</v>
          </cell>
        </row>
        <row r="65">
          <cell r="A65">
            <v>53450000</v>
          </cell>
          <cell r="B65" t="str">
            <v>Depreciation Office Equipment</v>
          </cell>
          <cell r="D65">
            <v>0</v>
          </cell>
          <cell r="F65">
            <v>0</v>
          </cell>
          <cell r="G65">
            <v>0</v>
          </cell>
          <cell r="T65">
            <v>0</v>
          </cell>
          <cell r="U65" t="str">
            <v>n/a</v>
          </cell>
          <cell r="V65">
            <v>0</v>
          </cell>
          <cell r="W65">
            <v>0</v>
          </cell>
          <cell r="X65">
            <v>0</v>
          </cell>
          <cell r="AL65">
            <v>0</v>
          </cell>
          <cell r="AN65">
            <v>40999</v>
          </cell>
        </row>
        <row r="66">
          <cell r="A66">
            <v>53460000</v>
          </cell>
          <cell r="B66" t="str">
            <v>Depreciation Computer Hardware</v>
          </cell>
          <cell r="D66">
            <v>0</v>
          </cell>
          <cell r="F66">
            <v>0</v>
          </cell>
          <cell r="G66">
            <v>0</v>
          </cell>
          <cell r="T66">
            <v>0</v>
          </cell>
          <cell r="U66" t="str">
            <v>n/a</v>
          </cell>
          <cell r="V66">
            <v>0</v>
          </cell>
          <cell r="W66">
            <v>0</v>
          </cell>
          <cell r="X66">
            <v>0</v>
          </cell>
          <cell r="AL66">
            <v>0</v>
          </cell>
          <cell r="AN66">
            <v>344493</v>
          </cell>
        </row>
        <row r="67">
          <cell r="A67">
            <v>53550000</v>
          </cell>
          <cell r="B67" t="str">
            <v>Depreciation Leasehold Improvement</v>
          </cell>
          <cell r="D67">
            <v>0</v>
          </cell>
          <cell r="F67">
            <v>0</v>
          </cell>
          <cell r="G67">
            <v>0</v>
          </cell>
          <cell r="T67">
            <v>0</v>
          </cell>
          <cell r="U67" t="str">
            <v>n/a</v>
          </cell>
          <cell r="V67">
            <v>0</v>
          </cell>
          <cell r="W67">
            <v>0</v>
          </cell>
          <cell r="X67">
            <v>0</v>
          </cell>
          <cell r="AL67">
            <v>0</v>
          </cell>
          <cell r="AN67">
            <v>10972</v>
          </cell>
        </row>
        <row r="68">
          <cell r="A68">
            <v>54400000</v>
          </cell>
          <cell r="B68" t="str">
            <v>Depreciation Vehicle - Non Passenger Vehicles</v>
          </cell>
          <cell r="D68">
            <v>0</v>
          </cell>
          <cell r="F68">
            <v>0</v>
          </cell>
          <cell r="G68">
            <v>0</v>
          </cell>
          <cell r="T68">
            <v>0</v>
          </cell>
          <cell r="U68" t="str">
            <v>n/a</v>
          </cell>
          <cell r="V68">
            <v>0</v>
          </cell>
          <cell r="W68">
            <v>0</v>
          </cell>
          <cell r="X68">
            <v>0</v>
          </cell>
          <cell r="AL68">
            <v>0</v>
          </cell>
          <cell r="AN68">
            <v>0</v>
          </cell>
        </row>
        <row r="69">
          <cell r="A69">
            <v>54450000</v>
          </cell>
          <cell r="B69" t="str">
            <v>Depreciation Vehicle - Passenger Vehicles</v>
          </cell>
          <cell r="D69">
            <v>0</v>
          </cell>
          <cell r="F69">
            <v>0</v>
          </cell>
          <cell r="G69">
            <v>0</v>
          </cell>
          <cell r="T69">
            <v>0</v>
          </cell>
          <cell r="U69" t="str">
            <v>n/a</v>
          </cell>
          <cell r="V69">
            <v>0</v>
          </cell>
          <cell r="W69">
            <v>0</v>
          </cell>
          <cell r="X69">
            <v>0</v>
          </cell>
          <cell r="AL69">
            <v>0</v>
          </cell>
          <cell r="AN69">
            <v>1092173</v>
          </cell>
        </row>
        <row r="70">
          <cell r="B70" t="str">
            <v>Total Depreciation Expense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 t="str">
            <v>n/a</v>
          </cell>
          <cell r="V70">
            <v>0</v>
          </cell>
          <cell r="W70">
            <v>0</v>
          </cell>
          <cell r="X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N70">
            <v>1691076</v>
          </cell>
        </row>
        <row r="71">
          <cell r="A71" t="str">
            <v>Insurance and Rent</v>
          </cell>
          <cell r="F71">
            <v>0</v>
          </cell>
        </row>
        <row r="72">
          <cell r="A72">
            <v>53630009</v>
          </cell>
          <cell r="B72" t="str">
            <v>Insurance Expense</v>
          </cell>
          <cell r="D72">
            <v>0</v>
          </cell>
          <cell r="F72">
            <v>0</v>
          </cell>
          <cell r="G72">
            <v>0</v>
          </cell>
          <cell r="H72">
            <v>6061.666666666667</v>
          </cell>
          <cell r="I72">
            <v>6061.666666666667</v>
          </cell>
          <cell r="J72">
            <v>6061.666666666667</v>
          </cell>
          <cell r="K72">
            <v>6061.666666666667</v>
          </cell>
          <cell r="L72">
            <v>6061.666666666667</v>
          </cell>
          <cell r="M72">
            <v>6061.666666666667</v>
          </cell>
          <cell r="N72">
            <v>6061.666666666667</v>
          </cell>
          <cell r="O72">
            <v>6061.666666666667</v>
          </cell>
          <cell r="P72">
            <v>6061.666666666667</v>
          </cell>
          <cell r="Q72">
            <v>6061.666666666667</v>
          </cell>
          <cell r="R72">
            <v>6061.666666666667</v>
          </cell>
          <cell r="S72">
            <v>6061.666666666667</v>
          </cell>
          <cell r="T72">
            <v>72740</v>
          </cell>
          <cell r="U72" t="str">
            <v>n/a</v>
          </cell>
          <cell r="V72">
            <v>-72740</v>
          </cell>
          <cell r="W72">
            <v>6061.666666666667</v>
          </cell>
          <cell r="X72">
            <v>-6061.666666666667</v>
          </cell>
          <cell r="AL72">
            <v>0</v>
          </cell>
          <cell r="AN72">
            <v>2886167</v>
          </cell>
        </row>
        <row r="73">
          <cell r="A73">
            <v>53700000</v>
          </cell>
          <cell r="B73" t="str">
            <v>Rental - Building &amp; Office</v>
          </cell>
          <cell r="D73">
            <v>0</v>
          </cell>
          <cell r="F73">
            <v>0</v>
          </cell>
          <cell r="G73">
            <v>0</v>
          </cell>
          <cell r="T73">
            <v>0</v>
          </cell>
          <cell r="U73" t="str">
            <v>n/a</v>
          </cell>
          <cell r="V73">
            <v>0</v>
          </cell>
          <cell r="W73">
            <v>0</v>
          </cell>
          <cell r="X73">
            <v>0</v>
          </cell>
          <cell r="AL73">
            <v>0</v>
          </cell>
          <cell r="AN73">
            <v>0</v>
          </cell>
        </row>
        <row r="74">
          <cell r="A74">
            <v>53730000</v>
          </cell>
          <cell r="B74" t="str">
            <v>Rental - House and Store Room</v>
          </cell>
          <cell r="D74">
            <v>0</v>
          </cell>
          <cell r="F74">
            <v>0</v>
          </cell>
          <cell r="G74">
            <v>0</v>
          </cell>
          <cell r="T74">
            <v>0</v>
          </cell>
          <cell r="U74" t="str">
            <v>n/a</v>
          </cell>
          <cell r="V74">
            <v>0</v>
          </cell>
          <cell r="W74">
            <v>0</v>
          </cell>
          <cell r="X74">
            <v>0</v>
          </cell>
          <cell r="AL74">
            <v>0</v>
          </cell>
          <cell r="AN74">
            <v>0</v>
          </cell>
        </row>
        <row r="75">
          <cell r="A75">
            <v>53730010</v>
          </cell>
          <cell r="B75" t="str">
            <v>Rental - Machinery &amp; Equipment</v>
          </cell>
          <cell r="D75">
            <v>0</v>
          </cell>
          <cell r="F75">
            <v>0</v>
          </cell>
          <cell r="G75">
            <v>0</v>
          </cell>
          <cell r="T75">
            <v>0</v>
          </cell>
          <cell r="U75" t="str">
            <v>n/a</v>
          </cell>
          <cell r="V75">
            <v>0</v>
          </cell>
          <cell r="W75">
            <v>0</v>
          </cell>
          <cell r="X75">
            <v>0</v>
          </cell>
          <cell r="AL75">
            <v>0</v>
          </cell>
          <cell r="AN75">
            <v>0</v>
          </cell>
        </row>
        <row r="76">
          <cell r="B76" t="str">
            <v>Total Insurance and Rent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6061.666666666667</v>
          </cell>
          <cell r="I76">
            <v>6061.666666666667</v>
          </cell>
          <cell r="J76">
            <v>6061.666666666667</v>
          </cell>
          <cell r="K76">
            <v>6061.666666666667</v>
          </cell>
          <cell r="L76">
            <v>6061.666666666667</v>
          </cell>
          <cell r="M76">
            <v>6061.666666666667</v>
          </cell>
          <cell r="N76">
            <v>6061.666666666667</v>
          </cell>
          <cell r="O76">
            <v>6061.666666666667</v>
          </cell>
          <cell r="P76">
            <v>6061.666666666667</v>
          </cell>
          <cell r="Q76">
            <v>6061.666666666667</v>
          </cell>
          <cell r="R76">
            <v>6061.666666666667</v>
          </cell>
          <cell r="S76">
            <v>6061.666666666667</v>
          </cell>
          <cell r="T76">
            <v>72740</v>
          </cell>
          <cell r="U76" t="str">
            <v>n/a</v>
          </cell>
          <cell r="V76">
            <v>-72740</v>
          </cell>
          <cell r="W76">
            <v>6061.666666666667</v>
          </cell>
          <cell r="X76">
            <v>-6061.666666666667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N76">
            <v>2886167</v>
          </cell>
        </row>
        <row r="77">
          <cell r="A77" t="str">
            <v>Communication Expenses</v>
          </cell>
          <cell r="F77">
            <v>0</v>
          </cell>
        </row>
        <row r="78">
          <cell r="A78">
            <v>56010001</v>
          </cell>
          <cell r="B78" t="str">
            <v>Telephone and Fax</v>
          </cell>
          <cell r="D78">
            <v>0</v>
          </cell>
          <cell r="F78">
            <v>0</v>
          </cell>
          <cell r="G78">
            <v>0</v>
          </cell>
          <cell r="H78">
            <v>6000</v>
          </cell>
          <cell r="I78">
            <v>6000</v>
          </cell>
          <cell r="J78">
            <v>6000</v>
          </cell>
          <cell r="K78">
            <v>6000</v>
          </cell>
          <cell r="L78">
            <v>6000</v>
          </cell>
          <cell r="M78">
            <v>6000</v>
          </cell>
          <cell r="N78">
            <v>6000</v>
          </cell>
          <cell r="O78">
            <v>6000</v>
          </cell>
          <cell r="P78">
            <v>6000</v>
          </cell>
          <cell r="Q78">
            <v>6000</v>
          </cell>
          <cell r="R78">
            <v>6000</v>
          </cell>
          <cell r="S78">
            <v>6000</v>
          </cell>
          <cell r="T78">
            <v>72000</v>
          </cell>
          <cell r="U78" t="str">
            <v>n/a</v>
          </cell>
          <cell r="V78">
            <v>-72000</v>
          </cell>
          <cell r="W78">
            <v>6000</v>
          </cell>
          <cell r="X78">
            <v>-6000</v>
          </cell>
          <cell r="AL78">
            <v>0</v>
          </cell>
          <cell r="AN78">
            <v>556810</v>
          </cell>
        </row>
        <row r="79">
          <cell r="A79">
            <v>56010009</v>
          </cell>
          <cell r="B79" t="str">
            <v>Other Communication</v>
          </cell>
          <cell r="D79">
            <v>0</v>
          </cell>
          <cell r="F79">
            <v>0</v>
          </cell>
          <cell r="G79">
            <v>0</v>
          </cell>
          <cell r="T79">
            <v>0</v>
          </cell>
          <cell r="U79" t="str">
            <v>n/a</v>
          </cell>
          <cell r="V79">
            <v>0</v>
          </cell>
          <cell r="W79">
            <v>0</v>
          </cell>
          <cell r="X79">
            <v>0</v>
          </cell>
          <cell r="AL79">
            <v>0</v>
          </cell>
          <cell r="AN79">
            <v>0</v>
          </cell>
        </row>
        <row r="80">
          <cell r="A80">
            <v>56160002</v>
          </cell>
          <cell r="B80" t="str">
            <v>Postage &amp; Courier Expense</v>
          </cell>
          <cell r="D80">
            <v>0</v>
          </cell>
          <cell r="F80">
            <v>0</v>
          </cell>
          <cell r="G80">
            <v>0</v>
          </cell>
          <cell r="H80">
            <v>1000</v>
          </cell>
          <cell r="I80">
            <v>1000</v>
          </cell>
          <cell r="J80">
            <v>1000</v>
          </cell>
          <cell r="K80">
            <v>1000</v>
          </cell>
          <cell r="L80">
            <v>1000</v>
          </cell>
          <cell r="M80">
            <v>1000</v>
          </cell>
          <cell r="N80">
            <v>1000</v>
          </cell>
          <cell r="O80">
            <v>1000</v>
          </cell>
          <cell r="P80">
            <v>1000</v>
          </cell>
          <cell r="Q80">
            <v>1000</v>
          </cell>
          <cell r="R80">
            <v>1000</v>
          </cell>
          <cell r="S80">
            <v>1000</v>
          </cell>
          <cell r="T80">
            <v>12000</v>
          </cell>
          <cell r="U80" t="str">
            <v>n/a</v>
          </cell>
          <cell r="V80">
            <v>-12000</v>
          </cell>
          <cell r="W80">
            <v>1000</v>
          </cell>
          <cell r="X80">
            <v>-1000</v>
          </cell>
          <cell r="AL80">
            <v>0</v>
          </cell>
          <cell r="AN80">
            <v>47976</v>
          </cell>
        </row>
        <row r="81">
          <cell r="B81" t="str">
            <v>Total Communication Expenses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7000</v>
          </cell>
          <cell r="I81">
            <v>7000</v>
          </cell>
          <cell r="J81">
            <v>7000</v>
          </cell>
          <cell r="K81">
            <v>7000</v>
          </cell>
          <cell r="L81">
            <v>7000</v>
          </cell>
          <cell r="M81">
            <v>7000</v>
          </cell>
          <cell r="N81">
            <v>7000</v>
          </cell>
          <cell r="O81">
            <v>7000</v>
          </cell>
          <cell r="P81">
            <v>7000</v>
          </cell>
          <cell r="Q81">
            <v>7000</v>
          </cell>
          <cell r="R81">
            <v>7000</v>
          </cell>
          <cell r="S81">
            <v>7000</v>
          </cell>
          <cell r="T81">
            <v>84000</v>
          </cell>
          <cell r="U81" t="str">
            <v>n/a</v>
          </cell>
          <cell r="V81">
            <v>-84000</v>
          </cell>
          <cell r="W81">
            <v>7000</v>
          </cell>
          <cell r="X81">
            <v>-7000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N81">
            <v>604786</v>
          </cell>
        </row>
        <row r="82">
          <cell r="A82" t="str">
            <v>Printing and Stationeries Expenses</v>
          </cell>
          <cell r="F82">
            <v>0</v>
          </cell>
        </row>
        <row r="83">
          <cell r="A83">
            <v>56220002</v>
          </cell>
          <cell r="B83" t="str">
            <v>Stationeries Expense</v>
          </cell>
          <cell r="D83">
            <v>0</v>
          </cell>
          <cell r="F83">
            <v>0</v>
          </cell>
          <cell r="G83">
            <v>0</v>
          </cell>
          <cell r="H83">
            <v>2500</v>
          </cell>
          <cell r="I83">
            <v>2500</v>
          </cell>
          <cell r="J83">
            <v>2500</v>
          </cell>
          <cell r="K83">
            <v>2500</v>
          </cell>
          <cell r="L83">
            <v>2500</v>
          </cell>
          <cell r="M83">
            <v>2500</v>
          </cell>
          <cell r="N83">
            <v>2500</v>
          </cell>
          <cell r="O83">
            <v>2500</v>
          </cell>
          <cell r="P83">
            <v>2500</v>
          </cell>
          <cell r="Q83">
            <v>2500</v>
          </cell>
          <cell r="R83">
            <v>2500</v>
          </cell>
          <cell r="S83">
            <v>2500</v>
          </cell>
          <cell r="T83">
            <v>30000</v>
          </cell>
          <cell r="U83" t="str">
            <v>n/a</v>
          </cell>
          <cell r="V83">
            <v>-30000</v>
          </cell>
          <cell r="W83">
            <v>2500</v>
          </cell>
          <cell r="X83">
            <v>-2500</v>
          </cell>
          <cell r="AL83">
            <v>0</v>
          </cell>
          <cell r="AN83">
            <v>4120</v>
          </cell>
        </row>
        <row r="84">
          <cell r="A84">
            <v>56220003</v>
          </cell>
          <cell r="B84" t="str">
            <v>Printing Form Expense</v>
          </cell>
          <cell r="D84">
            <v>0</v>
          </cell>
          <cell r="F84">
            <v>0</v>
          </cell>
          <cell r="G84">
            <v>0</v>
          </cell>
          <cell r="T84">
            <v>0</v>
          </cell>
          <cell r="U84" t="str">
            <v>n/a</v>
          </cell>
          <cell r="V84">
            <v>0</v>
          </cell>
          <cell r="W84">
            <v>0</v>
          </cell>
          <cell r="X84">
            <v>0</v>
          </cell>
          <cell r="AL84">
            <v>0</v>
          </cell>
          <cell r="AN84">
            <v>76520</v>
          </cell>
        </row>
        <row r="85">
          <cell r="B85" t="str">
            <v>Total Printing and Stationeries Expenses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2500</v>
          </cell>
          <cell r="I85">
            <v>2500</v>
          </cell>
          <cell r="J85">
            <v>2500</v>
          </cell>
          <cell r="K85">
            <v>2500</v>
          </cell>
          <cell r="L85">
            <v>2500</v>
          </cell>
          <cell r="M85">
            <v>2500</v>
          </cell>
          <cell r="N85">
            <v>2500</v>
          </cell>
          <cell r="O85">
            <v>2500</v>
          </cell>
          <cell r="P85">
            <v>2500</v>
          </cell>
          <cell r="Q85">
            <v>2500</v>
          </cell>
          <cell r="R85">
            <v>2500</v>
          </cell>
          <cell r="S85">
            <v>2500</v>
          </cell>
          <cell r="T85">
            <v>30000</v>
          </cell>
          <cell r="U85" t="str">
            <v>n/a</v>
          </cell>
          <cell r="V85">
            <v>-30000</v>
          </cell>
          <cell r="W85">
            <v>2500</v>
          </cell>
          <cell r="X85">
            <v>-2500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N85">
            <v>80640</v>
          </cell>
        </row>
        <row r="86">
          <cell r="A86" t="str">
            <v>Outside Service, Legal and Professional Fee</v>
          </cell>
          <cell r="F86">
            <v>0</v>
          </cell>
        </row>
        <row r="87">
          <cell r="A87">
            <v>56330003</v>
          </cell>
          <cell r="B87" t="str">
            <v>Outside Service - Cleaning and Waste removal</v>
          </cell>
          <cell r="D87">
            <v>0</v>
          </cell>
          <cell r="F87">
            <v>0</v>
          </cell>
          <cell r="G87">
            <v>0</v>
          </cell>
          <cell r="T87">
            <v>0</v>
          </cell>
          <cell r="U87" t="str">
            <v>n/a</v>
          </cell>
          <cell r="V87">
            <v>0</v>
          </cell>
          <cell r="W87">
            <v>0</v>
          </cell>
          <cell r="X87">
            <v>0</v>
          </cell>
          <cell r="AL87">
            <v>0</v>
          </cell>
          <cell r="AN87">
            <v>0</v>
          </cell>
        </row>
        <row r="88">
          <cell r="A88">
            <v>56330005</v>
          </cell>
          <cell r="B88" t="str">
            <v>Outside Service - Security expense</v>
          </cell>
          <cell r="D88">
            <v>0</v>
          </cell>
          <cell r="F88">
            <v>0</v>
          </cell>
          <cell r="G88">
            <v>0</v>
          </cell>
          <cell r="T88">
            <v>0</v>
          </cell>
          <cell r="U88" t="str">
            <v>n/a</v>
          </cell>
          <cell r="V88">
            <v>0</v>
          </cell>
          <cell r="W88">
            <v>0</v>
          </cell>
          <cell r="X88">
            <v>0</v>
          </cell>
          <cell r="AL88">
            <v>0</v>
          </cell>
          <cell r="AN88">
            <v>0</v>
          </cell>
        </row>
        <row r="89">
          <cell r="A89">
            <v>56330006</v>
          </cell>
          <cell r="B89" t="str">
            <v>Outside Service - PC Girls</v>
          </cell>
          <cell r="D89">
            <v>0</v>
          </cell>
          <cell r="F89">
            <v>0</v>
          </cell>
          <cell r="G89">
            <v>0</v>
          </cell>
          <cell r="T89">
            <v>0</v>
          </cell>
          <cell r="U89" t="str">
            <v>n/a</v>
          </cell>
          <cell r="V89">
            <v>0</v>
          </cell>
          <cell r="W89">
            <v>0</v>
          </cell>
          <cell r="X89">
            <v>0</v>
          </cell>
          <cell r="AL89">
            <v>0</v>
          </cell>
          <cell r="AN89">
            <v>0</v>
          </cell>
        </row>
        <row r="90">
          <cell r="A90">
            <v>56330007</v>
          </cell>
          <cell r="B90" t="str">
            <v>Outside Service - WH Management Fee - Fixed</v>
          </cell>
          <cell r="D90">
            <v>0</v>
          </cell>
          <cell r="F90">
            <v>0</v>
          </cell>
          <cell r="G90">
            <v>0</v>
          </cell>
          <cell r="T90">
            <v>0</v>
          </cell>
          <cell r="U90" t="str">
            <v>n/a</v>
          </cell>
          <cell r="V90">
            <v>0</v>
          </cell>
          <cell r="W90">
            <v>0</v>
          </cell>
          <cell r="X90">
            <v>0</v>
          </cell>
          <cell r="AL90">
            <v>0</v>
          </cell>
          <cell r="AN90">
            <v>0</v>
          </cell>
        </row>
        <row r="91">
          <cell r="A91">
            <v>56330009</v>
          </cell>
          <cell r="B91" t="str">
            <v>Outside Service - Others</v>
          </cell>
          <cell r="D91">
            <v>0</v>
          </cell>
          <cell r="F91">
            <v>0</v>
          </cell>
          <cell r="G91">
            <v>0</v>
          </cell>
          <cell r="T91">
            <v>0</v>
          </cell>
          <cell r="U91" t="str">
            <v>n/a</v>
          </cell>
          <cell r="V91">
            <v>0</v>
          </cell>
          <cell r="W91">
            <v>0</v>
          </cell>
          <cell r="X91">
            <v>0</v>
          </cell>
          <cell r="AL91">
            <v>0</v>
          </cell>
          <cell r="AN91">
            <v>138547</v>
          </cell>
        </row>
        <row r="92">
          <cell r="A92">
            <v>56350000</v>
          </cell>
          <cell r="B92" t="str">
            <v>Legal and Professional Fee</v>
          </cell>
          <cell r="D92">
            <v>0</v>
          </cell>
          <cell r="F92">
            <v>0</v>
          </cell>
          <cell r="G92">
            <v>0</v>
          </cell>
          <cell r="T92">
            <v>0</v>
          </cell>
          <cell r="U92" t="str">
            <v>n/a</v>
          </cell>
          <cell r="V92">
            <v>0</v>
          </cell>
          <cell r="W92">
            <v>0</v>
          </cell>
          <cell r="X92">
            <v>0</v>
          </cell>
          <cell r="AL92">
            <v>0</v>
          </cell>
          <cell r="AN92">
            <v>1691436</v>
          </cell>
        </row>
        <row r="93">
          <cell r="A93">
            <v>56380001</v>
          </cell>
          <cell r="B93" t="str">
            <v>Audit Fee</v>
          </cell>
          <cell r="D93">
            <v>0</v>
          </cell>
          <cell r="F93">
            <v>0</v>
          </cell>
          <cell r="G93">
            <v>0</v>
          </cell>
          <cell r="T93">
            <v>0</v>
          </cell>
          <cell r="U93" t="str">
            <v>n/a</v>
          </cell>
          <cell r="V93">
            <v>0</v>
          </cell>
          <cell r="W93">
            <v>0</v>
          </cell>
          <cell r="X93">
            <v>0</v>
          </cell>
          <cell r="AL93">
            <v>0</v>
          </cell>
          <cell r="AN93">
            <v>0</v>
          </cell>
        </row>
        <row r="94">
          <cell r="A94">
            <v>56380002</v>
          </cell>
          <cell r="B94" t="str">
            <v xml:space="preserve">Bank Charge </v>
          </cell>
          <cell r="D94">
            <v>0</v>
          </cell>
          <cell r="F94">
            <v>0</v>
          </cell>
          <cell r="G94">
            <v>0</v>
          </cell>
          <cell r="T94">
            <v>0</v>
          </cell>
          <cell r="U94" t="str">
            <v>n/a</v>
          </cell>
          <cell r="V94">
            <v>0</v>
          </cell>
          <cell r="W94">
            <v>0</v>
          </cell>
          <cell r="X94">
            <v>0</v>
          </cell>
          <cell r="AL94">
            <v>0</v>
          </cell>
          <cell r="AN94">
            <v>605</v>
          </cell>
        </row>
        <row r="95">
          <cell r="B95" t="str">
            <v>Total Outside Service, Legal and Professional Fee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 t="str">
            <v>n/a</v>
          </cell>
          <cell r="V95">
            <v>0</v>
          </cell>
          <cell r="W95">
            <v>0</v>
          </cell>
          <cell r="X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N95">
            <v>1830588</v>
          </cell>
        </row>
        <row r="96">
          <cell r="A96" t="str">
            <v>Others Operating Expense</v>
          </cell>
          <cell r="F96">
            <v>0</v>
          </cell>
        </row>
        <row r="97">
          <cell r="A97">
            <v>52150000</v>
          </cell>
          <cell r="B97" t="str">
            <v>Dues, Memberships &amp; Subscription</v>
          </cell>
          <cell r="D97">
            <v>0</v>
          </cell>
          <cell r="F97">
            <v>0</v>
          </cell>
          <cell r="G97">
            <v>0</v>
          </cell>
          <cell r="H97">
            <v>29000</v>
          </cell>
          <cell r="L97">
            <v>5381</v>
          </cell>
          <cell r="T97">
            <v>34381</v>
          </cell>
          <cell r="U97" t="str">
            <v>n/a</v>
          </cell>
          <cell r="V97">
            <v>-34381</v>
          </cell>
          <cell r="W97">
            <v>2865.0833333333335</v>
          </cell>
          <cell r="X97">
            <v>-2865.0833333333335</v>
          </cell>
          <cell r="AL97">
            <v>0</v>
          </cell>
          <cell r="AN97">
            <v>66140</v>
          </cell>
        </row>
        <row r="98">
          <cell r="A98">
            <v>53610000</v>
          </cell>
          <cell r="B98" t="str">
            <v>Real Estate Property Tax and Other Taxes</v>
          </cell>
          <cell r="D98">
            <v>0</v>
          </cell>
          <cell r="F98">
            <v>0</v>
          </cell>
          <cell r="G98">
            <v>0</v>
          </cell>
          <cell r="L98">
            <v>6500</v>
          </cell>
          <cell r="T98">
            <v>6500</v>
          </cell>
          <cell r="U98" t="str">
            <v>n/a</v>
          </cell>
          <cell r="V98">
            <v>-6500</v>
          </cell>
          <cell r="W98">
            <v>541.66666666666663</v>
          </cell>
          <cell r="X98">
            <v>-541.66666666666663</v>
          </cell>
          <cell r="AL98">
            <v>0</v>
          </cell>
          <cell r="AN98">
            <v>0</v>
          </cell>
        </row>
        <row r="99">
          <cell r="A99">
            <v>56200001</v>
          </cell>
          <cell r="B99" t="str">
            <v>Operating Supplies - Slicer Blades</v>
          </cell>
          <cell r="D99">
            <v>0</v>
          </cell>
          <cell r="F99">
            <v>0</v>
          </cell>
          <cell r="G99">
            <v>0</v>
          </cell>
          <cell r="T99">
            <v>0</v>
          </cell>
          <cell r="U99" t="str">
            <v>n/a</v>
          </cell>
          <cell r="V99">
            <v>0</v>
          </cell>
          <cell r="W99">
            <v>0</v>
          </cell>
          <cell r="X99">
            <v>0</v>
          </cell>
          <cell r="AL99">
            <v>0</v>
          </cell>
          <cell r="AN99">
            <v>29325</v>
          </cell>
        </row>
        <row r="100">
          <cell r="A100">
            <v>56200003</v>
          </cell>
          <cell r="B100" t="str">
            <v>Operating Supplies - Cleanning and WWT Supplies</v>
          </cell>
          <cell r="D100">
            <v>0</v>
          </cell>
          <cell r="F100">
            <v>0</v>
          </cell>
          <cell r="G100">
            <v>0</v>
          </cell>
          <cell r="T100">
            <v>0</v>
          </cell>
          <cell r="U100" t="str">
            <v>n/a</v>
          </cell>
          <cell r="V100">
            <v>0</v>
          </cell>
          <cell r="W100">
            <v>0</v>
          </cell>
          <cell r="X100">
            <v>0</v>
          </cell>
          <cell r="AL100">
            <v>0</v>
          </cell>
          <cell r="AN100">
            <v>0</v>
          </cell>
        </row>
        <row r="101">
          <cell r="A101">
            <v>56200005</v>
          </cell>
          <cell r="B101" t="str">
            <v>Operating Supplies - Safety Supplies</v>
          </cell>
          <cell r="D101">
            <v>0</v>
          </cell>
          <cell r="F101">
            <v>0</v>
          </cell>
          <cell r="G101">
            <v>0</v>
          </cell>
          <cell r="T101">
            <v>0</v>
          </cell>
          <cell r="U101" t="str">
            <v>n/a</v>
          </cell>
          <cell r="V101">
            <v>0</v>
          </cell>
          <cell r="W101">
            <v>0</v>
          </cell>
          <cell r="X101">
            <v>0</v>
          </cell>
          <cell r="AL101">
            <v>0</v>
          </cell>
          <cell r="AN101">
            <v>0</v>
          </cell>
        </row>
        <row r="102">
          <cell r="A102">
            <v>56200006</v>
          </cell>
          <cell r="B102" t="str">
            <v>Operating Supplies - Laboratory</v>
          </cell>
          <cell r="D102">
            <v>0</v>
          </cell>
          <cell r="F102">
            <v>0</v>
          </cell>
          <cell r="G102">
            <v>0</v>
          </cell>
          <cell r="T102">
            <v>0</v>
          </cell>
          <cell r="U102" t="str">
            <v>n/a</v>
          </cell>
          <cell r="V102">
            <v>0</v>
          </cell>
          <cell r="W102">
            <v>0</v>
          </cell>
          <cell r="X102">
            <v>0</v>
          </cell>
          <cell r="AL102">
            <v>0</v>
          </cell>
          <cell r="AN102">
            <v>0</v>
          </cell>
        </row>
        <row r="103">
          <cell r="A103">
            <v>56200007</v>
          </cell>
          <cell r="B103" t="str">
            <v>Operating Supplies - Office Supplies</v>
          </cell>
          <cell r="D103">
            <v>0</v>
          </cell>
          <cell r="F103">
            <v>0</v>
          </cell>
          <cell r="G103">
            <v>0</v>
          </cell>
          <cell r="T103">
            <v>0</v>
          </cell>
          <cell r="U103" t="str">
            <v>n/a</v>
          </cell>
          <cell r="V103">
            <v>0</v>
          </cell>
          <cell r="W103">
            <v>0</v>
          </cell>
          <cell r="X103">
            <v>0</v>
          </cell>
          <cell r="AL103">
            <v>0</v>
          </cell>
          <cell r="AN103">
            <v>0</v>
          </cell>
        </row>
        <row r="104">
          <cell r="A104">
            <v>56200009</v>
          </cell>
          <cell r="B104" t="str">
            <v>Operating Supplies - Other / Farm Supplies</v>
          </cell>
          <cell r="D104">
            <v>0</v>
          </cell>
          <cell r="F104">
            <v>0</v>
          </cell>
          <cell r="G104">
            <v>0</v>
          </cell>
          <cell r="T104">
            <v>0</v>
          </cell>
          <cell r="U104" t="str">
            <v>n/a</v>
          </cell>
          <cell r="V104">
            <v>0</v>
          </cell>
          <cell r="W104">
            <v>0</v>
          </cell>
          <cell r="X104">
            <v>0</v>
          </cell>
          <cell r="AL104">
            <v>0</v>
          </cell>
          <cell r="AN104">
            <v>38763</v>
          </cell>
        </row>
        <row r="105">
          <cell r="A105">
            <v>56250000</v>
          </cell>
          <cell r="B105" t="str">
            <v>Computer Software Expense</v>
          </cell>
          <cell r="D105">
            <v>0</v>
          </cell>
          <cell r="F105">
            <v>0</v>
          </cell>
          <cell r="G105">
            <v>0</v>
          </cell>
          <cell r="T105">
            <v>0</v>
          </cell>
          <cell r="U105" t="str">
            <v>n/a</v>
          </cell>
          <cell r="V105">
            <v>0</v>
          </cell>
          <cell r="W105">
            <v>0</v>
          </cell>
          <cell r="X105">
            <v>0</v>
          </cell>
          <cell r="AL105">
            <v>0</v>
          </cell>
          <cell r="AN105">
            <v>0</v>
          </cell>
        </row>
        <row r="106">
          <cell r="A106">
            <v>56400002</v>
          </cell>
          <cell r="B106" t="str">
            <v>Provision for Bad Debt</v>
          </cell>
          <cell r="D106">
            <v>0</v>
          </cell>
          <cell r="F106">
            <v>0</v>
          </cell>
          <cell r="G106">
            <v>0</v>
          </cell>
          <cell r="T106">
            <v>0</v>
          </cell>
          <cell r="U106" t="str">
            <v>n/a</v>
          </cell>
          <cell r="V106">
            <v>0</v>
          </cell>
          <cell r="W106">
            <v>0</v>
          </cell>
          <cell r="X106">
            <v>0</v>
          </cell>
          <cell r="AL106">
            <v>0</v>
          </cell>
          <cell r="AN106">
            <v>8969267</v>
          </cell>
        </row>
        <row r="107">
          <cell r="A107">
            <v>56020007</v>
          </cell>
          <cell r="B107" t="str">
            <v>Electricity - Fixed</v>
          </cell>
          <cell r="D107">
            <v>0</v>
          </cell>
          <cell r="F107">
            <v>0</v>
          </cell>
          <cell r="G107">
            <v>0</v>
          </cell>
          <cell r="T107">
            <v>0</v>
          </cell>
          <cell r="U107" t="str">
            <v>n/a</v>
          </cell>
          <cell r="V107">
            <v>0</v>
          </cell>
          <cell r="W107">
            <v>0</v>
          </cell>
          <cell r="X107">
            <v>0</v>
          </cell>
          <cell r="AL107">
            <v>0</v>
          </cell>
          <cell r="AN107">
            <v>0</v>
          </cell>
        </row>
        <row r="108">
          <cell r="A108">
            <v>56040007</v>
          </cell>
          <cell r="B108" t="str">
            <v>Water - Fixed</v>
          </cell>
          <cell r="D108">
            <v>0</v>
          </cell>
          <cell r="F108">
            <v>0</v>
          </cell>
          <cell r="G108">
            <v>0</v>
          </cell>
          <cell r="T108">
            <v>0</v>
          </cell>
          <cell r="U108" t="str">
            <v>n/a</v>
          </cell>
          <cell r="V108">
            <v>0</v>
          </cell>
          <cell r="W108">
            <v>0</v>
          </cell>
          <cell r="X108">
            <v>0</v>
          </cell>
          <cell r="AL108">
            <v>0</v>
          </cell>
          <cell r="AN108">
            <v>0</v>
          </cell>
        </row>
        <row r="109">
          <cell r="A109">
            <v>56500000</v>
          </cell>
          <cell r="B109" t="str">
            <v>Rack Expenses</v>
          </cell>
          <cell r="D109">
            <v>0</v>
          </cell>
          <cell r="F109">
            <v>0</v>
          </cell>
          <cell r="G109">
            <v>0</v>
          </cell>
          <cell r="T109">
            <v>0</v>
          </cell>
          <cell r="U109" t="str">
            <v>n/a</v>
          </cell>
          <cell r="V109">
            <v>0</v>
          </cell>
          <cell r="W109">
            <v>0</v>
          </cell>
          <cell r="X109">
            <v>0</v>
          </cell>
          <cell r="AL109">
            <v>0</v>
          </cell>
          <cell r="AN109">
            <v>0</v>
          </cell>
        </row>
        <row r="110">
          <cell r="A110">
            <v>56560000</v>
          </cell>
          <cell r="B110" t="str">
            <v>Trade / Public Relations</v>
          </cell>
          <cell r="D110">
            <v>0</v>
          </cell>
          <cell r="F110">
            <v>0</v>
          </cell>
          <cell r="G110">
            <v>0</v>
          </cell>
          <cell r="T110">
            <v>0</v>
          </cell>
          <cell r="U110" t="str">
            <v>n/a</v>
          </cell>
          <cell r="V110">
            <v>0</v>
          </cell>
          <cell r="W110">
            <v>0</v>
          </cell>
          <cell r="X110">
            <v>0</v>
          </cell>
          <cell r="AL110">
            <v>0</v>
          </cell>
          <cell r="AN110">
            <v>0</v>
          </cell>
        </row>
        <row r="111">
          <cell r="A111">
            <v>56570000</v>
          </cell>
          <cell r="B111" t="str">
            <v>Contribution &amp; Donation</v>
          </cell>
          <cell r="D111">
            <v>0</v>
          </cell>
          <cell r="F111">
            <v>0</v>
          </cell>
          <cell r="G111">
            <v>0</v>
          </cell>
          <cell r="T111">
            <v>0</v>
          </cell>
          <cell r="U111" t="str">
            <v>n/a</v>
          </cell>
          <cell r="V111">
            <v>0</v>
          </cell>
          <cell r="W111">
            <v>0</v>
          </cell>
          <cell r="X111">
            <v>0</v>
          </cell>
          <cell r="AL111">
            <v>0</v>
          </cell>
          <cell r="AN111">
            <v>0</v>
          </cell>
        </row>
        <row r="112">
          <cell r="A112">
            <v>56750001</v>
          </cell>
          <cell r="B112" t="str">
            <v>GPS/GMP Expenses</v>
          </cell>
          <cell r="D112">
            <v>0</v>
          </cell>
          <cell r="F112">
            <v>0</v>
          </cell>
          <cell r="G112">
            <v>0</v>
          </cell>
          <cell r="T112">
            <v>0</v>
          </cell>
          <cell r="U112" t="str">
            <v>n/a</v>
          </cell>
          <cell r="V112">
            <v>0</v>
          </cell>
          <cell r="W112">
            <v>0</v>
          </cell>
          <cell r="X112">
            <v>0</v>
          </cell>
          <cell r="AL112">
            <v>0</v>
          </cell>
          <cell r="AN112">
            <v>0</v>
          </cell>
        </row>
        <row r="113">
          <cell r="A113">
            <v>56750002</v>
          </cell>
          <cell r="B113" t="str">
            <v>Purchase of Competitive Products</v>
          </cell>
          <cell r="D113">
            <v>0</v>
          </cell>
          <cell r="F113">
            <v>0</v>
          </cell>
          <cell r="G113">
            <v>0</v>
          </cell>
          <cell r="T113">
            <v>0</v>
          </cell>
          <cell r="U113" t="str">
            <v>n/a</v>
          </cell>
          <cell r="V113">
            <v>0</v>
          </cell>
          <cell r="W113">
            <v>0</v>
          </cell>
          <cell r="X113">
            <v>0</v>
          </cell>
          <cell r="AL113">
            <v>0</v>
          </cell>
          <cell r="AN113">
            <v>0</v>
          </cell>
        </row>
        <row r="114">
          <cell r="A114">
            <v>56750003</v>
          </cell>
          <cell r="B114" t="str">
            <v>Film and Development</v>
          </cell>
          <cell r="D114">
            <v>0</v>
          </cell>
          <cell r="F114">
            <v>0</v>
          </cell>
          <cell r="G114">
            <v>0</v>
          </cell>
          <cell r="T114">
            <v>0</v>
          </cell>
          <cell r="U114" t="str">
            <v>n/a</v>
          </cell>
          <cell r="V114">
            <v>0</v>
          </cell>
          <cell r="W114">
            <v>0</v>
          </cell>
          <cell r="X114">
            <v>0</v>
          </cell>
          <cell r="AL114">
            <v>0</v>
          </cell>
          <cell r="AN114">
            <v>0</v>
          </cell>
        </row>
        <row r="115">
          <cell r="A115">
            <v>57110001</v>
          </cell>
          <cell r="B115" t="str">
            <v>Research and Development</v>
          </cell>
          <cell r="D115">
            <v>0</v>
          </cell>
          <cell r="F115">
            <v>0</v>
          </cell>
          <cell r="G115">
            <v>0</v>
          </cell>
          <cell r="T115">
            <v>0</v>
          </cell>
          <cell r="U115" t="str">
            <v>n/a</v>
          </cell>
          <cell r="V115">
            <v>0</v>
          </cell>
          <cell r="W115">
            <v>0</v>
          </cell>
          <cell r="X115">
            <v>0</v>
          </cell>
          <cell r="AL115">
            <v>0</v>
          </cell>
          <cell r="AN115">
            <v>0</v>
          </cell>
        </row>
        <row r="116">
          <cell r="A116">
            <v>57110002</v>
          </cell>
          <cell r="B116" t="str">
            <v>Sensory Test</v>
          </cell>
          <cell r="D116">
            <v>0</v>
          </cell>
          <cell r="F116">
            <v>0</v>
          </cell>
          <cell r="G116">
            <v>0</v>
          </cell>
          <cell r="T116">
            <v>0</v>
          </cell>
          <cell r="U116" t="str">
            <v>n/a</v>
          </cell>
          <cell r="V116">
            <v>0</v>
          </cell>
          <cell r="W116">
            <v>0</v>
          </cell>
          <cell r="X116">
            <v>0</v>
          </cell>
          <cell r="AL116">
            <v>0</v>
          </cell>
          <cell r="AN116">
            <v>0</v>
          </cell>
        </row>
        <row r="117">
          <cell r="A117">
            <v>57110003</v>
          </cell>
          <cell r="B117" t="str">
            <v>Sample for Testing</v>
          </cell>
          <cell r="D117">
            <v>0</v>
          </cell>
          <cell r="F117">
            <v>0</v>
          </cell>
          <cell r="G117">
            <v>0</v>
          </cell>
          <cell r="T117">
            <v>0</v>
          </cell>
          <cell r="U117" t="str">
            <v>n/a</v>
          </cell>
          <cell r="V117">
            <v>0</v>
          </cell>
          <cell r="W117">
            <v>0</v>
          </cell>
          <cell r="X117">
            <v>0</v>
          </cell>
          <cell r="AL117">
            <v>0</v>
          </cell>
          <cell r="AN117">
            <v>0</v>
          </cell>
        </row>
        <row r="118">
          <cell r="A118">
            <v>57110004</v>
          </cell>
          <cell r="B118" t="str">
            <v>Lab Analysis</v>
          </cell>
          <cell r="D118">
            <v>0</v>
          </cell>
          <cell r="F118">
            <v>0</v>
          </cell>
          <cell r="G118">
            <v>0</v>
          </cell>
          <cell r="T118">
            <v>0</v>
          </cell>
          <cell r="U118" t="str">
            <v>n/a</v>
          </cell>
          <cell r="V118">
            <v>0</v>
          </cell>
          <cell r="W118">
            <v>0</v>
          </cell>
          <cell r="X118">
            <v>0</v>
          </cell>
          <cell r="AL118">
            <v>0</v>
          </cell>
          <cell r="AN118">
            <v>0</v>
          </cell>
        </row>
        <row r="119">
          <cell r="A119">
            <v>56750099</v>
          </cell>
          <cell r="B119" t="str">
            <v>Sundry Expense</v>
          </cell>
          <cell r="D119">
            <v>0</v>
          </cell>
          <cell r="F119">
            <v>0</v>
          </cell>
          <cell r="G119">
            <v>0</v>
          </cell>
          <cell r="T119">
            <v>0</v>
          </cell>
          <cell r="U119" t="str">
            <v>n/a</v>
          </cell>
          <cell r="V119">
            <v>0</v>
          </cell>
          <cell r="W119">
            <v>0</v>
          </cell>
          <cell r="X119">
            <v>0</v>
          </cell>
          <cell r="AL119">
            <v>0</v>
          </cell>
          <cell r="AN119">
            <v>202655</v>
          </cell>
        </row>
        <row r="120">
          <cell r="B120" t="str">
            <v>Total Others Operating Expenses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29000</v>
          </cell>
          <cell r="I120">
            <v>0</v>
          </cell>
          <cell r="J120">
            <v>0</v>
          </cell>
          <cell r="K120">
            <v>0</v>
          </cell>
          <cell r="L120">
            <v>11881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40881</v>
          </cell>
          <cell r="U120" t="str">
            <v>n/a</v>
          </cell>
          <cell r="V120">
            <v>-40881</v>
          </cell>
          <cell r="W120">
            <v>3406.75</v>
          </cell>
          <cell r="X120">
            <v>-3406.75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N120">
            <v>9306150</v>
          </cell>
        </row>
        <row r="121">
          <cell r="A121" t="str">
            <v>TOTAL FIXED EXPENSES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74630.833333333328</v>
          </cell>
          <cell r="I121">
            <v>45630.833333333328</v>
          </cell>
          <cell r="J121">
            <v>63410.833333333328</v>
          </cell>
          <cell r="K121">
            <v>58380.833333333328</v>
          </cell>
          <cell r="L121">
            <v>57511.833333333328</v>
          </cell>
          <cell r="M121">
            <v>376860.83333333337</v>
          </cell>
          <cell r="N121">
            <v>45630.833333333328</v>
          </cell>
          <cell r="O121">
            <v>50590.833333333328</v>
          </cell>
          <cell r="P121">
            <v>63610.833333333328</v>
          </cell>
          <cell r="Q121">
            <v>209430.83333333331</v>
          </cell>
          <cell r="R121">
            <v>45630.833333333328</v>
          </cell>
          <cell r="S121">
            <v>62080.833333333328</v>
          </cell>
          <cell r="T121">
            <v>1153401</v>
          </cell>
          <cell r="U121" t="str">
            <v>n/a</v>
          </cell>
          <cell r="V121">
            <v>-1153401</v>
          </cell>
          <cell r="W121">
            <v>96116.75</v>
          </cell>
          <cell r="X121">
            <v>-96116.75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N121">
            <v>36204143</v>
          </cell>
        </row>
        <row r="122">
          <cell r="F122" t="str">
            <v xml:space="preserve"> </v>
          </cell>
        </row>
        <row r="123">
          <cell r="A123" t="str">
            <v>Variable Expenses :</v>
          </cell>
          <cell r="F123">
            <v>0</v>
          </cell>
        </row>
        <row r="124">
          <cell r="A124">
            <v>52250012</v>
          </cell>
          <cell r="B124" t="str">
            <v>Daily / Temporary Wage - Variable</v>
          </cell>
          <cell r="D124">
            <v>0</v>
          </cell>
          <cell r="F124">
            <v>0</v>
          </cell>
          <cell r="G124">
            <v>0</v>
          </cell>
          <cell r="T124">
            <v>0</v>
          </cell>
          <cell r="U124" t="str">
            <v>n/a</v>
          </cell>
          <cell r="V124">
            <v>0</v>
          </cell>
          <cell r="W124">
            <v>0</v>
          </cell>
          <cell r="X124">
            <v>0</v>
          </cell>
          <cell r="AL124">
            <v>0</v>
          </cell>
          <cell r="AN124">
            <v>0</v>
          </cell>
        </row>
        <row r="125">
          <cell r="A125">
            <v>50100000</v>
          </cell>
          <cell r="B125" t="str">
            <v>Sales Incentive</v>
          </cell>
          <cell r="D125">
            <v>0</v>
          </cell>
          <cell r="F125">
            <v>0</v>
          </cell>
          <cell r="G125">
            <v>0</v>
          </cell>
          <cell r="T125">
            <v>0</v>
          </cell>
          <cell r="U125" t="str">
            <v>n/a</v>
          </cell>
          <cell r="V125">
            <v>0</v>
          </cell>
          <cell r="W125">
            <v>0</v>
          </cell>
          <cell r="X125">
            <v>0</v>
          </cell>
          <cell r="AL125">
            <v>0</v>
          </cell>
          <cell r="AN125">
            <v>0</v>
          </cell>
        </row>
        <row r="126">
          <cell r="A126">
            <v>56330008</v>
          </cell>
          <cell r="B126" t="str">
            <v>Outside Service - WH Management fee - Variable</v>
          </cell>
          <cell r="D126">
            <v>0</v>
          </cell>
          <cell r="F126">
            <v>0</v>
          </cell>
          <cell r="G126">
            <v>0</v>
          </cell>
          <cell r="T126">
            <v>0</v>
          </cell>
          <cell r="U126" t="str">
            <v>n/a</v>
          </cell>
          <cell r="V126">
            <v>0</v>
          </cell>
          <cell r="W126">
            <v>0</v>
          </cell>
          <cell r="X126">
            <v>0</v>
          </cell>
          <cell r="AL126">
            <v>0</v>
          </cell>
          <cell r="AN126">
            <v>0</v>
          </cell>
        </row>
        <row r="127">
          <cell r="A127">
            <v>56700000</v>
          </cell>
          <cell r="B127" t="str">
            <v>Freight and Distribution Expense</v>
          </cell>
          <cell r="D127">
            <v>0</v>
          </cell>
          <cell r="F127">
            <v>0</v>
          </cell>
          <cell r="G127">
            <v>0</v>
          </cell>
          <cell r="T127">
            <v>0</v>
          </cell>
          <cell r="U127" t="str">
            <v>n/a</v>
          </cell>
          <cell r="V127">
            <v>0</v>
          </cell>
          <cell r="W127">
            <v>0</v>
          </cell>
          <cell r="X127">
            <v>0</v>
          </cell>
          <cell r="AL127">
            <v>0</v>
          </cell>
          <cell r="AN127">
            <v>28</v>
          </cell>
        </row>
        <row r="128">
          <cell r="A128">
            <v>56020000</v>
          </cell>
          <cell r="B128" t="str">
            <v>Electricity - Variable</v>
          </cell>
          <cell r="D128">
            <v>0</v>
          </cell>
          <cell r="F128">
            <v>0</v>
          </cell>
          <cell r="G128">
            <v>0</v>
          </cell>
          <cell r="T128">
            <v>0</v>
          </cell>
          <cell r="U128" t="str">
            <v>n/a</v>
          </cell>
          <cell r="V128">
            <v>0</v>
          </cell>
          <cell r="W128">
            <v>0</v>
          </cell>
          <cell r="X128">
            <v>0</v>
          </cell>
          <cell r="AL128">
            <v>0</v>
          </cell>
          <cell r="AN128">
            <v>77621</v>
          </cell>
        </row>
        <row r="129">
          <cell r="A129">
            <v>56030000</v>
          </cell>
          <cell r="B129" t="str">
            <v>Natural Gas</v>
          </cell>
          <cell r="D129">
            <v>0</v>
          </cell>
          <cell r="F129">
            <v>0</v>
          </cell>
          <cell r="G129">
            <v>0</v>
          </cell>
          <cell r="T129">
            <v>0</v>
          </cell>
          <cell r="U129" t="str">
            <v>n/a</v>
          </cell>
          <cell r="V129">
            <v>0</v>
          </cell>
          <cell r="W129">
            <v>0</v>
          </cell>
          <cell r="X129">
            <v>0</v>
          </cell>
          <cell r="AL129">
            <v>0</v>
          </cell>
          <cell r="AN129">
            <v>0</v>
          </cell>
        </row>
        <row r="130">
          <cell r="A130">
            <v>56040000</v>
          </cell>
          <cell r="B130" t="str">
            <v>Water - Variable</v>
          </cell>
          <cell r="D130">
            <v>0</v>
          </cell>
          <cell r="F130">
            <v>0</v>
          </cell>
          <cell r="G130">
            <v>0</v>
          </cell>
          <cell r="T130">
            <v>0</v>
          </cell>
          <cell r="U130" t="str">
            <v>n/a</v>
          </cell>
          <cell r="V130">
            <v>0</v>
          </cell>
          <cell r="W130">
            <v>0</v>
          </cell>
          <cell r="X130">
            <v>0</v>
          </cell>
          <cell r="AL130">
            <v>0</v>
          </cell>
          <cell r="AN130">
            <v>0</v>
          </cell>
        </row>
        <row r="131">
          <cell r="A131">
            <v>56050000</v>
          </cell>
          <cell r="B131" t="str">
            <v>Fuel Oil &amp; Deisel Oil</v>
          </cell>
          <cell r="D131">
            <v>0</v>
          </cell>
          <cell r="F131">
            <v>0</v>
          </cell>
          <cell r="G131">
            <v>0</v>
          </cell>
          <cell r="T131">
            <v>0</v>
          </cell>
          <cell r="U131" t="str">
            <v>n/a</v>
          </cell>
          <cell r="V131">
            <v>0</v>
          </cell>
          <cell r="W131">
            <v>0</v>
          </cell>
          <cell r="X131">
            <v>0</v>
          </cell>
          <cell r="AL131">
            <v>0</v>
          </cell>
          <cell r="AN131">
            <v>0</v>
          </cell>
        </row>
        <row r="132">
          <cell r="A132">
            <v>56090000</v>
          </cell>
          <cell r="B132" t="str">
            <v>Liquid Nitrogen</v>
          </cell>
          <cell r="D132">
            <v>0</v>
          </cell>
          <cell r="F132">
            <v>0</v>
          </cell>
          <cell r="G132">
            <v>0</v>
          </cell>
          <cell r="T132">
            <v>0</v>
          </cell>
          <cell r="U132" t="str">
            <v>n/a</v>
          </cell>
          <cell r="V132">
            <v>0</v>
          </cell>
          <cell r="W132">
            <v>0</v>
          </cell>
          <cell r="X132">
            <v>0</v>
          </cell>
          <cell r="AL132">
            <v>0</v>
          </cell>
          <cell r="AN132">
            <v>0</v>
          </cell>
        </row>
        <row r="133">
          <cell r="A133">
            <v>56200002</v>
          </cell>
          <cell r="B133" t="str">
            <v>Hot Foil Expenses</v>
          </cell>
          <cell r="D133">
            <v>0</v>
          </cell>
          <cell r="F133">
            <v>0</v>
          </cell>
          <cell r="G133">
            <v>0</v>
          </cell>
          <cell r="T133">
            <v>0</v>
          </cell>
          <cell r="U133" t="str">
            <v>n/a</v>
          </cell>
          <cell r="V133">
            <v>0</v>
          </cell>
          <cell r="W133">
            <v>0</v>
          </cell>
          <cell r="X133">
            <v>0</v>
          </cell>
          <cell r="AL133">
            <v>0</v>
          </cell>
          <cell r="AN133">
            <v>0</v>
          </cell>
        </row>
        <row r="134">
          <cell r="A134" t="str">
            <v>TOTAL VARIABLE EXPENSES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 t="str">
            <v>n/a</v>
          </cell>
          <cell r="V134">
            <v>0</v>
          </cell>
          <cell r="W134">
            <v>0</v>
          </cell>
          <cell r="X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N134">
            <v>77649</v>
          </cell>
        </row>
        <row r="135">
          <cell r="F135" t="str">
            <v xml:space="preserve"> </v>
          </cell>
        </row>
        <row r="136">
          <cell r="A136" t="str">
            <v>Grand Total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74630.833333333328</v>
          </cell>
          <cell r="I136">
            <v>45630.833333333328</v>
          </cell>
          <cell r="J136">
            <v>63410.833333333328</v>
          </cell>
          <cell r="K136">
            <v>58380.833333333328</v>
          </cell>
          <cell r="L136">
            <v>57511.833333333328</v>
          </cell>
          <cell r="M136">
            <v>376860.83333333337</v>
          </cell>
          <cell r="N136">
            <v>45630.833333333328</v>
          </cell>
          <cell r="O136">
            <v>50590.833333333328</v>
          </cell>
          <cell r="P136">
            <v>63610.833333333328</v>
          </cell>
          <cell r="Q136">
            <v>209430.83333333331</v>
          </cell>
          <cell r="R136">
            <v>45630.833333333328</v>
          </cell>
          <cell r="S136">
            <v>62080.833333333328</v>
          </cell>
          <cell r="T136">
            <v>1153401</v>
          </cell>
          <cell r="U136" t="str">
            <v>n/a</v>
          </cell>
          <cell r="V136">
            <v>-1153401</v>
          </cell>
          <cell r="W136">
            <v>96116.75</v>
          </cell>
          <cell r="X136">
            <v>-96116.75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N136">
            <v>36281792</v>
          </cell>
        </row>
      </sheetData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(1)Fin Sum"/>
      <sheetName val="(2)Checklist"/>
      <sheetName val="(3)P&amp;L-Combined"/>
      <sheetName val="(3.1)P&amp;L-CSD"/>
      <sheetName val="(3.2)P&amp;L per cs"/>
      <sheetName val="(4.1)COCvsPlan"/>
      <sheetName val="(4.2)COCvsYTD Plan"/>
      <sheetName val="(4.3)COCvsYTD PY"/>
      <sheetName val="(5)Vol"/>
      <sheetName val="(6)NP&amp;MC"/>
      <sheetName val="(7)BS_CF"/>
      <sheetName val="(8)KPIs"/>
      <sheetName val="(9)Other Income"/>
      <sheetName val="(10)FA Details"/>
      <sheetName val="(11)Capex"/>
      <sheetName val="Q12"/>
      <sheetName val="Q1"/>
      <sheetName val="(12)Banks"/>
      <sheetName val="(13)Equity M"/>
      <sheetName val="(14)BAIC"/>
      <sheetName val="DB COC"/>
      <sheetName val="OFCF"/>
      <sheetName val="Database"/>
      <sheetName val="BJ0412CSD"/>
      <sheetName val="Finance"/>
      <sheetName val="Planning"/>
      <sheetName val="(1)Fin_Sum"/>
      <sheetName val="(3_1)P&amp;L-CSD"/>
      <sheetName val="(3_2)P&amp;L_per_cs"/>
      <sheetName val="(4_1)COCvsPlan"/>
      <sheetName val="(4_2)COCvsYTD_Plan"/>
      <sheetName val="(4_3)COCvsYTD_PY"/>
      <sheetName val="(9)Other_Income"/>
      <sheetName val="(10)FA_Details"/>
      <sheetName val="(13)Equity_M"/>
      <sheetName val="DB_COC"/>
      <sheetName val="(1)Fin_Sum1"/>
      <sheetName val="(3_1)P&amp;L-CSD1"/>
      <sheetName val="(3_2)P&amp;L_per_cs1"/>
      <sheetName val="(4_1)COCvsPlan1"/>
      <sheetName val="(4_2)COCvsYTD_Plan1"/>
      <sheetName val="(4_3)COCvsYTD_PY1"/>
      <sheetName val="(9)Other_Income1"/>
      <sheetName val="(10)FA_Details1"/>
      <sheetName val="(13)Equity_M1"/>
      <sheetName val="DB_COC1"/>
      <sheetName val="(1)Fin_Sum2"/>
      <sheetName val="(3_1)P&amp;L-CSD2"/>
      <sheetName val="(3_2)P&amp;L_per_cs2"/>
      <sheetName val="(4_1)COCvsPlan2"/>
      <sheetName val="(4_2)COCvsYTD_Plan2"/>
      <sheetName val="(4_3)COCvsYTD_PY2"/>
      <sheetName val="(9)Other_Income2"/>
      <sheetName val="(10)FA_Details2"/>
      <sheetName val="(13)Equity_M2"/>
      <sheetName val="DB_COC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  <sheetName val="Template Instructions"/>
      <sheetName val="Snacks Ops Notes"/>
      <sheetName val="Forex_and_Lookups"/>
      <sheetName val="Operations_Snacks$"/>
      <sheetName val="Operations_Beverage$"/>
      <sheetName val="Ops1"/>
      <sheetName val="Ops2"/>
      <sheetName val="Ops2A"/>
      <sheetName val="Ops3"/>
      <sheetName val="Ops4"/>
      <sheetName val="INPUT"/>
      <sheetName val="AOP-JUNE FCST"/>
      <sheetName val="P&amp;L"/>
      <sheetName val="Input_Work_Area"/>
      <sheetName val="Main FTM-C0B0"/>
      <sheetName val="Line Productivity"/>
      <sheetName val="lookup"/>
      <sheetName val="Lookups"/>
      <sheetName val="Reports to"/>
      <sheetName val="Flying Bricks"/>
      <sheetName val="Fleet"/>
      <sheetName val="Cover"/>
      <sheetName val="Start---&gt;"/>
      <sheetName val="Pepsilimon"/>
      <sheetName val="Pepsicola"/>
      <sheetName val="DUMP004"/>
      <sheetName val="Index"/>
      <sheetName val="South"/>
      <sheetName val="CAR CAPEX"/>
      <sheetName val=" BRANCHES VS REEL"/>
      <sheetName val="Template_Instructions"/>
      <sheetName val="Snacks_Ops_Notes"/>
      <sheetName val="AOP-JUNE_FCST"/>
      <sheetName val="Main_FTM-C0B0"/>
      <sheetName val="Line_Productivity"/>
      <sheetName val="Reports_to"/>
      <sheetName val="Template_Instructions1"/>
      <sheetName val="Snacks_Ops_Notes1"/>
      <sheetName val="AOP-JUNE_FCST1"/>
      <sheetName val="Main_FTM-C0B01"/>
      <sheetName val="Line_Productivity1"/>
      <sheetName val="Reports_to1"/>
      <sheetName val="Flying_Bricks"/>
      <sheetName val="Template_Instructions2"/>
      <sheetName val="Snacks_Ops_Notes2"/>
      <sheetName val="AOP-JUNE_FCST2"/>
      <sheetName val="Main_FTM-C0B02"/>
      <sheetName val="Line_Productivity2"/>
      <sheetName val="Reports_to2"/>
      <sheetName val="Template_Instructions3"/>
      <sheetName val="Snacks_Ops_Notes3"/>
      <sheetName val="AOP-JUNE_FCST3"/>
      <sheetName val="Main_FTM-C0B03"/>
      <sheetName val="Line_Productivity3"/>
      <sheetName val="Reports_to3"/>
      <sheetName val="Template_Instructions4"/>
      <sheetName val="Snacks_Ops_Notes4"/>
      <sheetName val="AOP-JUNE_FCST4"/>
      <sheetName val="Main_FTM-C0B04"/>
      <sheetName val="Line_Productivity4"/>
      <sheetName val="Reports_to4"/>
      <sheetName val="Template_Instructions6"/>
      <sheetName val="Snacks_Ops_Notes6"/>
      <sheetName val="AOP-JUNE_FCST6"/>
      <sheetName val="Main_FTM-C0B06"/>
      <sheetName val="Line_Productivity6"/>
      <sheetName val="Reports_to6"/>
      <sheetName val="Template_Instructions5"/>
      <sheetName val="Snacks_Ops_Notes5"/>
      <sheetName val="AOP-JUNE_FCST5"/>
      <sheetName val="Main_FTM-C0B05"/>
      <sheetName val="Line_Productivity5"/>
      <sheetName val="Reports_to5"/>
      <sheetName val="Template_Instructions7"/>
      <sheetName val="Snacks_Ops_Notes7"/>
      <sheetName val="AOP-JUNE_FCST7"/>
      <sheetName val="Main_FTM-C0B07"/>
      <sheetName val="Line_Productivity7"/>
      <sheetName val="Reports_to7"/>
      <sheetName val="Flying_Bricks1"/>
      <sheetName val="CAR_CAPEX"/>
      <sheetName val="_BRANCHES_VS_REEL"/>
      <sheetName val="Template_Instructions8"/>
      <sheetName val="Snacks_Ops_Notes8"/>
      <sheetName val="AOP-JUNE_FCST8"/>
      <sheetName val="Main_FTM-C0B08"/>
      <sheetName val="Line_Productivity8"/>
      <sheetName val="Reports_to8"/>
      <sheetName val="Flying_Bricks2"/>
      <sheetName val="CAR_CAPEX1"/>
      <sheetName val="_BRANCHES_VS_REEL1"/>
      <sheetName val="Template_Instructions9"/>
      <sheetName val="Snacks_Ops_Notes9"/>
      <sheetName val="AOP-JUNE_FCST9"/>
      <sheetName val="Main_FTM-C0B09"/>
      <sheetName val="Line_Productivity9"/>
      <sheetName val="Reports_to9"/>
      <sheetName val="Flying_Bricks3"/>
      <sheetName val="CAR_CAPEX2"/>
      <sheetName val="_BRANCHES_VS_REE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0000000"/>
      <sheetName val="Tracking"/>
      <sheetName val="P&amp;L Consolidated"/>
      <sheetName val="COBO P&amp;L"/>
      <sheetName val="P&amp;L Hyperion"/>
      <sheetName val="MU System Summary"/>
      <sheetName val="Assumptions"/>
      <sheetName val="Volume"/>
      <sheetName val="Pricing"/>
      <sheetName val="Concentrate Price 05"/>
      <sheetName val="Standard Cost 05"/>
      <sheetName val="Material Prices"/>
      <sheetName val="$ based materials"/>
      <sheetName val="COGS"/>
      <sheetName val="S&amp;D"/>
      <sheetName val="G&amp;A"/>
      <sheetName val="A&amp;M"/>
      <sheetName val="MC"/>
      <sheetName val="MC-Curved"/>
      <sheetName val="CoC AOP vs SP"/>
      <sheetName val="CoC FY vs Plan"/>
      <sheetName val="V.COGS"/>
      <sheetName val="Overall COC - AOP Vs MF"/>
      <sheetName val="D&amp;A COC"/>
      <sheetName val="F.COGS COC"/>
      <sheetName val="S&amp;D COC"/>
      <sheetName val="G&amp;A COC"/>
      <sheetName val="A&amp;M COC"/>
      <sheetName val="Misc Inc COC"/>
      <sheetName val="A&amp;M Pull &amp; Push"/>
      <sheetName val="Mix Impact - Revenue"/>
      <sheetName val="Mix Impact - COGS"/>
      <sheetName val="Mix Impact - MC"/>
      <sheetName val="Incremental Volume Impact"/>
      <sheetName val="Aquafina"/>
      <sheetName val="COBO P&amp;L (%)"/>
      <sheetName val="Cover"/>
      <sheetName val="1 General"/>
      <sheetName val="Annual_Plan"/>
      <sheetName val="Summary Budget-Mam"/>
      <sheetName val="Forex_and_Lookups"/>
      <sheetName val="definitions"/>
      <sheetName val="INPUT"/>
      <sheetName val="Bajada datos top 5"/>
      <sheetName val="P&amp;L_Consolidated"/>
      <sheetName val="COBO_P&amp;L"/>
      <sheetName val="P&amp;L_Hyperion"/>
      <sheetName val="MU_System_Summary"/>
      <sheetName val="Concentrate_Price_05"/>
      <sheetName val="Standard_Cost_05"/>
      <sheetName val="Material_Prices"/>
      <sheetName val="$_based_materials"/>
      <sheetName val="CoC_AOP_vs_SP"/>
      <sheetName val="CoC_FY_vs_Plan"/>
      <sheetName val="V_COGS"/>
      <sheetName val="Overall_COC_-_AOP_Vs_MF"/>
      <sheetName val="D&amp;A_COC"/>
      <sheetName val="F_COGS_COC"/>
      <sheetName val="S&amp;D_COC"/>
      <sheetName val="G&amp;A_COC"/>
      <sheetName val="A&amp;M_COC"/>
      <sheetName val="Misc_Inc_COC"/>
      <sheetName val="A&amp;M_Pull_&amp;_Push"/>
      <sheetName val="Mix_Impact_-_Revenue"/>
      <sheetName val="Mix_Impact_-_COGS"/>
      <sheetName val="Mix_Impact_-_MC"/>
      <sheetName val="Incremental_Volume_Impact"/>
      <sheetName val="COBO_P&amp;L_(%)"/>
      <sheetName val="1_General"/>
      <sheetName val="Summary_Budget-Mam"/>
      <sheetName val="Bajada_datos_top_5"/>
      <sheetName val="P&amp;L_Consolidated1"/>
      <sheetName val="COBO_P&amp;L1"/>
      <sheetName val="P&amp;L_Hyperion1"/>
      <sheetName val="MU_System_Summary1"/>
      <sheetName val="Concentrate_Price_051"/>
      <sheetName val="Standard_Cost_051"/>
      <sheetName val="Material_Prices1"/>
      <sheetName val="$_based_materials1"/>
      <sheetName val="CoC_AOP_vs_SP1"/>
      <sheetName val="CoC_FY_vs_Plan1"/>
      <sheetName val="V_COGS1"/>
      <sheetName val="Overall_COC_-_AOP_Vs_MF1"/>
      <sheetName val="D&amp;A_COC1"/>
      <sheetName val="F_COGS_COC1"/>
      <sheetName val="S&amp;D_COC1"/>
      <sheetName val="G&amp;A_COC1"/>
      <sheetName val="A&amp;M_COC1"/>
      <sheetName val="Misc_Inc_COC1"/>
      <sheetName val="A&amp;M_Pull_&amp;_Push1"/>
      <sheetName val="Mix_Impact_-_Revenue1"/>
      <sheetName val="Mix_Impact_-_COGS1"/>
      <sheetName val="Mix_Impact_-_MC1"/>
      <sheetName val="Incremental_Volume_Impact1"/>
      <sheetName val="COBO_P&amp;L_(%)1"/>
      <sheetName val="1_General1"/>
      <sheetName val="Summary_Budget-Mam1"/>
      <sheetName val="Bajada_datos_top_51"/>
      <sheetName val="P&amp;L_Consolidated2"/>
      <sheetName val="COBO_P&amp;L2"/>
      <sheetName val="P&amp;L_Hyperion2"/>
      <sheetName val="MU_System_Summary2"/>
      <sheetName val="Concentrate_Price_052"/>
      <sheetName val="Standard_Cost_052"/>
      <sheetName val="Material_Prices2"/>
      <sheetName val="$_based_materials2"/>
      <sheetName val="CoC_AOP_vs_SP2"/>
      <sheetName val="CoC_FY_vs_Plan2"/>
      <sheetName val="V_COGS2"/>
      <sheetName val="Overall_COC_-_AOP_Vs_MF2"/>
      <sheetName val="D&amp;A_COC2"/>
      <sheetName val="F_COGS_COC2"/>
      <sheetName val="S&amp;D_COC2"/>
      <sheetName val="G&amp;A_COC2"/>
      <sheetName val="A&amp;M_COC2"/>
      <sheetName val="Misc_Inc_COC2"/>
      <sheetName val="A&amp;M_Pull_&amp;_Push2"/>
      <sheetName val="Mix_Impact_-_Revenue2"/>
      <sheetName val="Mix_Impact_-_COGS2"/>
      <sheetName val="Mix_Impact_-_MC2"/>
      <sheetName val="Incremental_Volume_Impact2"/>
      <sheetName val="COBO_P&amp;L_(%)2"/>
      <sheetName val="1_General2"/>
      <sheetName val="Summary_Budget-Mam2"/>
      <sheetName val="Bajada_datos_top_5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  <sheetName val="PackPrice"/>
      <sheetName val="Margin"/>
      <sheetName val="Process"/>
      <sheetName val="MT by size"/>
      <sheetName val="MT_by_size"/>
      <sheetName val="MT_by_size1"/>
      <sheetName val="MT_by_siz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ty summary"/>
      <sheetName val="credit summary"/>
      <sheetName val="graphs_credit"/>
      <sheetName val="graphs_equity"/>
      <sheetName val="Investments_ public"/>
      <sheetName val="Investments_private"/>
      <sheetName val="aol"/>
      <sheetName val="fox"/>
      <sheetName val="LMGA"/>
      <sheetName val="MGM"/>
      <sheetName val="NWS"/>
      <sheetName val="USAI"/>
      <sheetName val="VIA"/>
      <sheetName val="V"/>
      <sheetName val="dis"/>
      <sheetName val="Instructions"/>
      <sheetName val="VO"/>
      <sheetName val="Prices"/>
      <sheetName val="Revised_non-tray"/>
      <sheetName val="Lookup"/>
      <sheetName val="PackPrice"/>
      <sheetName val="equity_summary"/>
      <sheetName val="credit_summary"/>
      <sheetName val="Investments__public"/>
      <sheetName val="equity_summary1"/>
      <sheetName val="credit_summary1"/>
      <sheetName val="Investments__public1"/>
      <sheetName val="equity_summary2"/>
      <sheetName val="credit_summary2"/>
      <sheetName val="Investments__public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thai1"/>
      <sheetName val="Thaitot"/>
      <sheetName val="CambLaos"/>
      <sheetName val="cam"/>
      <sheetName val="lao"/>
      <sheetName val="Gatorade"/>
      <sheetName val="Calendar"/>
      <sheetName val="Input"/>
      <sheetName val="Lists"/>
      <sheetName val="Dates"/>
      <sheetName val="Prices"/>
      <sheetName val="Revised_non-tr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RATE COMPARISONS"/>
      <sheetName val="USA"/>
      <sheetName val="canada"/>
      <sheetName val="argentina"/>
      <sheetName val="australia"/>
      <sheetName val="japan"/>
      <sheetName val="malaysia"/>
      <sheetName val="taiwan"/>
      <sheetName val="france"/>
      <sheetName val="UK"/>
      <sheetName val="philippines"/>
      <sheetName val="spain"/>
      <sheetName val="Menu"/>
      <sheetName val=" "/>
      <sheetName val="rate sheeets1220"/>
      <sheetName val="dropdowns"/>
      <sheetName val="0210"/>
      <sheetName val="WBS GL Acct Mapping"/>
      <sheetName val="key"/>
      <sheetName val="Funding Source"/>
      <sheetName val="PI IC Entity List"/>
      <sheetName val="lookup"/>
      <sheetName val="Sheet1"/>
      <sheetName val="Legend"/>
      <sheetName val="Fields-HIDE"/>
      <sheetName val="Sheet2"/>
      <sheetName val="Link Table"/>
      <sheetName val="Entities (Do Not Remove)"/>
      <sheetName val="DAILY_RATE_COMPARISONS"/>
      <sheetName val="_"/>
      <sheetName val="rate_sheeets1220"/>
      <sheetName val="WBS_GL_Acct_Mapping"/>
      <sheetName val="Funding_Source"/>
      <sheetName val="PI_IC_Entity_List"/>
      <sheetName val="Link_Table"/>
      <sheetName val="Entities_(Do_Not_Remove)"/>
      <sheetName val="DAILY_RATE_COMPARISONS1"/>
      <sheetName val="_1"/>
      <sheetName val="rate_sheeets12201"/>
      <sheetName val="WBS_GL_Acct_Mapping1"/>
      <sheetName val="Funding_Source1"/>
      <sheetName val="PI_IC_Entity_List1"/>
      <sheetName val="Link_Table1"/>
      <sheetName val="Entities_(Do_Not_Remove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"/>
      <sheetName val="***00"/>
      <sheetName val="*****01"/>
      <sheetName val="*****02"/>
      <sheetName val="CONTROL SHEET"/>
      <sheetName val="Consolidated"/>
      <sheetName val="LHR.T.B."/>
      <sheetName val="Hattar"/>
      <sheetName val="Var. Analysis"/>
      <sheetName val="MU PAK-P&amp;L"/>
      <sheetName val="CTA"/>
      <sheetName val="CTA FEB-DEC"/>
      <sheetName val="Sheet1"/>
      <sheetName val="SUN TB"/>
      <sheetName val="MISC"/>
      <sheetName val="___00"/>
      <sheetName val="_____01"/>
      <sheetName val="_____02"/>
      <sheetName val="CONTROL_SHEET"/>
      <sheetName val="LHR_T_B_"/>
      <sheetName val="Var__Analysis"/>
      <sheetName val="MU_PAK-P&amp;L"/>
      <sheetName val="CTA_FEB-DEC"/>
      <sheetName val="SUN_TB"/>
      <sheetName val="CONTROL_SHEET1"/>
      <sheetName val="LHR_T_B_1"/>
      <sheetName val="Var__Analysis1"/>
      <sheetName val="MU_PAK-P&amp;L1"/>
      <sheetName val="CTA_FEB-DEC1"/>
      <sheetName val="SUN_TB1"/>
      <sheetName val="CONTROL_SHEET2"/>
      <sheetName val="LHR_T_B_2"/>
      <sheetName val="Var__Analysis2"/>
      <sheetName val="MU_PAK-P&amp;L2"/>
      <sheetName val="CTA_FEB-DEC2"/>
      <sheetName val="SUN_TB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 up &amp; Instructions"/>
      <sheetName val="Project Summary"/>
      <sheetName val="YTD Commentary"/>
      <sheetName val="FY FCST Commentary"/>
      <sheetName val="e_Filter"/>
      <sheetName val="a_Labels"/>
      <sheetName val="Funding Source"/>
      <sheetName val="Projects"/>
      <sheetName val="JE"/>
      <sheetName val="WBS GL Acct Mapping"/>
      <sheetName val="Reference Tables"/>
      <sheetName val="Data entry"/>
      <sheetName val="Set_up_&amp;_Instructions"/>
      <sheetName val="Project_Summary"/>
      <sheetName val="YTD_Commentary"/>
      <sheetName val="FY_FCST_Commentary"/>
      <sheetName val="Funding_Source"/>
      <sheetName val="WBS_GL_Acct_Mapping"/>
      <sheetName val="Reference_Tables"/>
      <sheetName val="Data_entry"/>
      <sheetName val="Set_up_&amp;_Instructions1"/>
      <sheetName val="Project_Summary1"/>
      <sheetName val="YTD_Commentary1"/>
      <sheetName val="FY_FCST_Commentary1"/>
      <sheetName val="Funding_Source1"/>
      <sheetName val="WBS_GL_Acct_Mapping1"/>
      <sheetName val="Reference_Tables1"/>
      <sheetName val="Data_entry1"/>
      <sheetName val="Set_up_&amp;_Instructions2"/>
      <sheetName val="Project_Summary2"/>
      <sheetName val="YTD_Commentary2"/>
      <sheetName val="FY_FCST_Commentary2"/>
      <sheetName val="Funding_Source2"/>
      <sheetName val="WBS_GL_Acct_Mapping2"/>
      <sheetName val="Reference_Tables2"/>
      <sheetName val="Data_entr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Q2F Summary"/>
      <sheetName val="Q2F Summary (2)"/>
      <sheetName val="Summary Outlook"/>
      <sheetName val="Summary"/>
      <sheetName val="Summary (ex Rev)"/>
      <sheetName val="Volume"/>
      <sheetName val="Brands"/>
      <sheetName val="PCI Month"/>
      <sheetName val="BU NOPBT vs. Prior"/>
      <sheetName val="PCI YTD COBO"/>
      <sheetName val="PCI YTD"/>
      <sheetName val="BU NOPBT Month Alone"/>
      <sheetName val="BU NOPBT YTD"/>
      <sheetName val="JV Performance"/>
      <sheetName val="PCI OFCF YTD"/>
      <sheetName val="OFCF by BU"/>
      <sheetName val="YTD OFCF"/>
      <sheetName val="Volume Squeeze Assessment"/>
      <sheetName val="Volume  Assessment"/>
      <sheetName val="Volume Squeeze Assessment (2)"/>
      <sheetName val="Volume Squeeze BU"/>
      <sheetName val="Volume Squeeze - Quarter"/>
      <sheetName val="Q Performance"/>
      <sheetName val="NOPBT Squeeze - Quarter"/>
      <sheetName val="Volume Comments A"/>
      <sheetName val="Volume Comments B"/>
      <sheetName val="Key Country Month"/>
      <sheetName val="Key Country YTD"/>
      <sheetName val="OFCF Squeeze"/>
      <sheetName val="NOPBT Squeeze"/>
      <sheetName val="Key NOPBT A"/>
      <sheetName val="Key NOPBT B"/>
      <sheetName val="Key Volume A"/>
      <sheetName val="Key Volume B"/>
      <sheetName val="Key OFCF A"/>
      <sheetName val="Key OFCF B"/>
      <sheetName val="Volume YTD"/>
      <sheetName val="Volume BOY"/>
      <sheetName val="Volume FY"/>
      <sheetName val="YTD NOPBT"/>
      <sheetName val="YTD Total NOPBT "/>
      <sheetName val="Volume Total YTD"/>
      <sheetName val="Fcst Summary"/>
      <sheetName val="LOB 2"/>
      <sheetName val="LOB"/>
      <sheetName val="Volume FOBO (2)"/>
      <sheetName val="Volume FOBO"/>
      <sheetName val="YTD Total OFCF"/>
      <sheetName val="YTD Total OFCF Var"/>
      <sheetName val="FY NOPBT Outlook"/>
      <sheetName val="COBO Detail"/>
      <sheetName val="COBO Volume YTD"/>
      <sheetName val="COBO NOPBT YTD"/>
      <sheetName val="Month NOPBT - Top 11"/>
      <sheetName val="YTD NOPBT - Top 11 "/>
      <sheetName val="Top 11 &amp; 29 - Financial Summary"/>
      <sheetName val="Top 11 &amp; 29 - Volumes"/>
      <sheetName val="Detales"/>
      <sheetName val="Insurance Distribution (2)"/>
      <sheetName val="Macro Market Trends"/>
      <sheetName val="Q2F_Summary"/>
      <sheetName val="Q2F_Summary_(2)"/>
      <sheetName val="Summary_Outlook"/>
      <sheetName val="Summary_(ex_Rev)"/>
      <sheetName val="PCI_Month"/>
      <sheetName val="BU_NOPBT_vs__Prior"/>
      <sheetName val="PCI_YTD_COBO"/>
      <sheetName val="PCI_YTD"/>
      <sheetName val="BU_NOPBT_Month_Alone"/>
      <sheetName val="BU_NOPBT_YTD"/>
      <sheetName val="JV_Performance"/>
      <sheetName val="PCI_OFCF_YTD"/>
      <sheetName val="OFCF_by_BU"/>
      <sheetName val="YTD_OFCF"/>
      <sheetName val="Volume_Squeeze_Assessment"/>
      <sheetName val="Volume__Assessment"/>
      <sheetName val="Volume_Squeeze_Assessment_(2)"/>
      <sheetName val="Volume_Squeeze_BU"/>
      <sheetName val="Volume_Squeeze_-_Quarter"/>
      <sheetName val="Q_Performance"/>
      <sheetName val="NOPBT_Squeeze_-_Quarter"/>
      <sheetName val="Volume_Comments_A"/>
      <sheetName val="Volume_Comments_B"/>
      <sheetName val="Key_Country_Month"/>
      <sheetName val="Key_Country_YTD"/>
      <sheetName val="OFCF_Squeeze"/>
      <sheetName val="NOPBT_Squeeze"/>
      <sheetName val="Key_NOPBT_A"/>
      <sheetName val="Key_NOPBT_B"/>
      <sheetName val="Key_Volume_A"/>
      <sheetName val="Key_Volume_B"/>
      <sheetName val="Key_OFCF_A"/>
      <sheetName val="Key_OFCF_B"/>
      <sheetName val="Volume_YTD"/>
      <sheetName val="Volume_BOY"/>
      <sheetName val="Volume_FY"/>
      <sheetName val="YTD_NOPBT"/>
      <sheetName val="YTD_Total_NOPBT_"/>
      <sheetName val="Volume_Total_YTD"/>
      <sheetName val="Fcst_Summary"/>
      <sheetName val="LOB_2"/>
      <sheetName val="Volume_FOBO_(2)"/>
      <sheetName val="Volume_FOBO"/>
      <sheetName val="YTD_Total_OFCF"/>
      <sheetName val="YTD_Total_OFCF_Var"/>
      <sheetName val="FY_NOPBT_Outlook"/>
      <sheetName val="COBO_Detail"/>
      <sheetName val="COBO_Volume_YTD"/>
      <sheetName val="COBO_NOPBT_YTD"/>
      <sheetName val="Month_NOPBT_-_Top_11"/>
      <sheetName val="YTD_NOPBT_-_Top_11_"/>
      <sheetName val="Top_11_&amp;_29_-_Financial_Summary"/>
      <sheetName val="Top_11_&amp;_29_-_Volumes"/>
      <sheetName val="Insurance_Distribution_(2)"/>
      <sheetName val="Macro_Market_Trends"/>
      <sheetName val="Monthly MMBTUs"/>
      <sheetName val="Pd MMBTUS"/>
      <sheetName val="F"/>
      <sheetName val="Q2F_Summary1"/>
      <sheetName val="Q2F_Summary_(2)1"/>
      <sheetName val="Summary_Outlook1"/>
      <sheetName val="Summary_(ex_Rev)1"/>
      <sheetName val="PCI_Month1"/>
      <sheetName val="BU_NOPBT_vs__Prior1"/>
      <sheetName val="PCI_YTD_COBO1"/>
      <sheetName val="PCI_YTD1"/>
      <sheetName val="BU_NOPBT_Month_Alone1"/>
      <sheetName val="BU_NOPBT_YTD1"/>
      <sheetName val="JV_Performance1"/>
      <sheetName val="PCI_OFCF_YTD1"/>
      <sheetName val="OFCF_by_BU1"/>
      <sheetName val="YTD_OFCF1"/>
      <sheetName val="Volume_Squeeze_Assessment1"/>
      <sheetName val="Volume__Assessment1"/>
      <sheetName val="Volume_Squeeze_Assessment_(2)1"/>
      <sheetName val="Volume_Squeeze_BU1"/>
      <sheetName val="Volume_Squeeze_-_Quarter1"/>
      <sheetName val="Q_Performance1"/>
      <sheetName val="NOPBT_Squeeze_-_Quarter1"/>
      <sheetName val="Volume_Comments_A1"/>
      <sheetName val="Volume_Comments_B1"/>
      <sheetName val="Key_Country_Month1"/>
      <sheetName val="Key_Country_YTD1"/>
      <sheetName val="OFCF_Squeeze1"/>
      <sheetName val="NOPBT_Squeeze1"/>
      <sheetName val="Key_NOPBT_A1"/>
      <sheetName val="Key_NOPBT_B1"/>
      <sheetName val="Key_Volume_A1"/>
      <sheetName val="Key_Volume_B1"/>
      <sheetName val="Key_OFCF_A1"/>
      <sheetName val="Key_OFCF_B1"/>
      <sheetName val="Volume_YTD1"/>
      <sheetName val="Volume_BOY1"/>
      <sheetName val="Volume_FY1"/>
      <sheetName val="YTD_NOPBT1"/>
      <sheetName val="YTD_Total_NOPBT_1"/>
      <sheetName val="Volume_Total_YTD1"/>
      <sheetName val="Fcst_Summary1"/>
      <sheetName val="LOB_21"/>
      <sheetName val="Volume_FOBO_(2)1"/>
      <sheetName val="Volume_FOBO1"/>
      <sheetName val="YTD_Total_OFCF1"/>
      <sheetName val="YTD_Total_OFCF_Var1"/>
      <sheetName val="FY_NOPBT_Outlook1"/>
      <sheetName val="COBO_Detail1"/>
      <sheetName val="COBO_Volume_YTD1"/>
      <sheetName val="COBO_NOPBT_YTD1"/>
      <sheetName val="Month_NOPBT_-_Top_111"/>
      <sheetName val="YTD_NOPBT_-_Top_11_1"/>
      <sheetName val="Top_11_&amp;_29_-_Financial_Summar1"/>
      <sheetName val="Top_11_&amp;_29_-_Volumes1"/>
      <sheetName val="Insurance_Distribution_(2)1"/>
      <sheetName val="Macro_Market_Trends1"/>
      <sheetName val="Q2F_Summary2"/>
      <sheetName val="Q2F_Summary_(2)2"/>
      <sheetName val="Summary_Outlook2"/>
      <sheetName val="Summary_(ex_Rev)2"/>
      <sheetName val="PCI_Month2"/>
      <sheetName val="BU_NOPBT_vs__Prior2"/>
      <sheetName val="PCI_YTD_COBO2"/>
      <sheetName val="PCI_YTD2"/>
      <sheetName val="BU_NOPBT_Month_Alone2"/>
      <sheetName val="BU_NOPBT_YTD2"/>
      <sheetName val="JV_Performance2"/>
      <sheetName val="PCI_OFCF_YTD2"/>
      <sheetName val="OFCF_by_BU2"/>
      <sheetName val="YTD_OFCF2"/>
      <sheetName val="Volume_Squeeze_Assessment2"/>
      <sheetName val="Volume__Assessment2"/>
      <sheetName val="Volume_Squeeze_Assessment_(2)2"/>
      <sheetName val="Volume_Squeeze_BU2"/>
      <sheetName val="Volume_Squeeze_-_Quarter2"/>
      <sheetName val="Q_Performance2"/>
      <sheetName val="NOPBT_Squeeze_-_Quarter2"/>
      <sheetName val="Volume_Comments_A2"/>
      <sheetName val="Volume_Comments_B2"/>
      <sheetName val="Key_Country_Month2"/>
      <sheetName val="Key_Country_YTD2"/>
      <sheetName val="OFCF_Squeeze2"/>
      <sheetName val="NOPBT_Squeeze2"/>
      <sheetName val="Key_NOPBT_A2"/>
      <sheetName val="Key_NOPBT_B2"/>
      <sheetName val="Key_Volume_A2"/>
      <sheetName val="Key_Volume_B2"/>
      <sheetName val="Key_OFCF_A2"/>
      <sheetName val="Key_OFCF_B2"/>
      <sheetName val="Volume_YTD2"/>
      <sheetName val="Volume_BOY2"/>
      <sheetName val="Volume_FY2"/>
      <sheetName val="YTD_NOPBT2"/>
      <sheetName val="YTD_Total_NOPBT_2"/>
      <sheetName val="Volume_Total_YTD2"/>
      <sheetName val="Fcst_Summary2"/>
      <sheetName val="LOB_22"/>
      <sheetName val="Volume_FOBO_(2)2"/>
      <sheetName val="Volume_FOBO2"/>
      <sheetName val="YTD_Total_OFCF2"/>
      <sheetName val="YTD_Total_OFCF_Var2"/>
      <sheetName val="FY_NOPBT_Outlook2"/>
      <sheetName val="COBO_Detail2"/>
      <sheetName val="COBO_Volume_YTD2"/>
      <sheetName val="COBO_NOPBT_YTD2"/>
      <sheetName val="Month_NOPBT_-_Top_112"/>
      <sheetName val="YTD_NOPBT_-_Top_11_2"/>
      <sheetName val="Top_11_&amp;_29_-_Financial_Summar2"/>
      <sheetName val="Top_11_&amp;_29_-_Volumes2"/>
      <sheetName val="Insurance_Distribution_(2)2"/>
      <sheetName val="Macro_Market_Trends2"/>
      <sheetName val="Q2F_Summary3"/>
      <sheetName val="Q2F_Summary_(2)3"/>
      <sheetName val="Summary_Outlook3"/>
      <sheetName val="Summary_(ex_Rev)3"/>
      <sheetName val="PCI_Month3"/>
      <sheetName val="BU_NOPBT_vs__Prior3"/>
      <sheetName val="PCI_YTD_COBO3"/>
      <sheetName val="PCI_YTD3"/>
      <sheetName val="BU_NOPBT_Month_Alone3"/>
      <sheetName val="BU_NOPBT_YTD3"/>
      <sheetName val="JV_Performance3"/>
      <sheetName val="PCI_OFCF_YTD3"/>
      <sheetName val="OFCF_by_BU3"/>
      <sheetName val="YTD_OFCF3"/>
      <sheetName val="Volume_Squeeze_Assessment3"/>
      <sheetName val="Volume__Assessment3"/>
      <sheetName val="Volume_Squeeze_Assessment_(2)3"/>
      <sheetName val="Volume_Squeeze_BU3"/>
      <sheetName val="Volume_Squeeze_-_Quarter3"/>
      <sheetName val="Q_Performance3"/>
      <sheetName val="NOPBT_Squeeze_-_Quarter3"/>
      <sheetName val="Volume_Comments_A3"/>
      <sheetName val="Volume_Comments_B3"/>
      <sheetName val="Key_Country_Month3"/>
      <sheetName val="Key_Country_YTD3"/>
      <sheetName val="OFCF_Squeeze3"/>
      <sheetName val="NOPBT_Squeeze3"/>
      <sheetName val="Key_NOPBT_A3"/>
      <sheetName val="Key_NOPBT_B3"/>
      <sheetName val="Key_Volume_A3"/>
      <sheetName val="Key_Volume_B3"/>
      <sheetName val="Key_OFCF_A3"/>
      <sheetName val="Key_OFCF_B3"/>
      <sheetName val="Volume_YTD3"/>
      <sheetName val="Volume_BOY3"/>
      <sheetName val="Volume_FY3"/>
      <sheetName val="YTD_NOPBT3"/>
      <sheetName val="YTD_Total_NOPBT_3"/>
      <sheetName val="Volume_Total_YTD3"/>
      <sheetName val="Fcst_Summary3"/>
      <sheetName val="LOB_23"/>
      <sheetName val="Volume_FOBO_(2)3"/>
      <sheetName val="Volume_FOBO3"/>
      <sheetName val="YTD_Total_OFCF3"/>
      <sheetName val="YTD_Total_OFCF_Var3"/>
      <sheetName val="FY_NOPBT_Outlook3"/>
      <sheetName val="COBO_Detail3"/>
      <sheetName val="COBO_Volume_YTD3"/>
      <sheetName val="COBO_NOPBT_YTD3"/>
      <sheetName val="Month_NOPBT_-_Top_113"/>
      <sheetName val="YTD_NOPBT_-_Top_11_3"/>
      <sheetName val="Top_11_&amp;_29_-_Financial_Summar3"/>
      <sheetName val="Top_11_&amp;_29_-_Volumes3"/>
      <sheetName val="Insurance_Distribution_(2)3"/>
      <sheetName val="Macro_Market_Trends3"/>
      <sheetName val="Q2F_Summary4"/>
      <sheetName val="Q2F_Summary_(2)4"/>
      <sheetName val="Summary_Outlook4"/>
      <sheetName val="Summary_(ex_Rev)4"/>
      <sheetName val="PCI_Month4"/>
      <sheetName val="BU_NOPBT_vs__Prior4"/>
      <sheetName val="PCI_YTD_COBO4"/>
      <sheetName val="PCI_YTD4"/>
      <sheetName val="BU_NOPBT_Month_Alone4"/>
      <sheetName val="BU_NOPBT_YTD4"/>
      <sheetName val="JV_Performance4"/>
      <sheetName val="PCI_OFCF_YTD4"/>
      <sheetName val="OFCF_by_BU4"/>
      <sheetName val="YTD_OFCF4"/>
      <sheetName val="Volume_Squeeze_Assessment4"/>
      <sheetName val="Volume__Assessment4"/>
      <sheetName val="Volume_Squeeze_Assessment_(2)4"/>
      <sheetName val="Volume_Squeeze_BU4"/>
      <sheetName val="Volume_Squeeze_-_Quarter4"/>
      <sheetName val="Q_Performance4"/>
      <sheetName val="NOPBT_Squeeze_-_Quarter4"/>
      <sheetName val="Volume_Comments_A4"/>
      <sheetName val="Volume_Comments_B4"/>
      <sheetName val="Key_Country_Month4"/>
      <sheetName val="Key_Country_YTD4"/>
      <sheetName val="OFCF_Squeeze4"/>
      <sheetName val="NOPBT_Squeeze4"/>
      <sheetName val="Key_NOPBT_A4"/>
      <sheetName val="Key_NOPBT_B4"/>
      <sheetName val="Key_Volume_A4"/>
      <sheetName val="Key_Volume_B4"/>
      <sheetName val="Key_OFCF_A4"/>
      <sheetName val="Key_OFCF_B4"/>
      <sheetName val="Volume_YTD4"/>
      <sheetName val="Volume_BOY4"/>
      <sheetName val="Volume_FY4"/>
      <sheetName val="YTD_NOPBT4"/>
      <sheetName val="YTD_Total_NOPBT_4"/>
      <sheetName val="Volume_Total_YTD4"/>
      <sheetName val="Fcst_Summary4"/>
      <sheetName val="LOB_24"/>
      <sheetName val="Volume_FOBO_(2)4"/>
      <sheetName val="Volume_FOBO4"/>
      <sheetName val="YTD_Total_OFCF4"/>
      <sheetName val="YTD_Total_OFCF_Var4"/>
      <sheetName val="FY_NOPBT_Outlook4"/>
      <sheetName val="COBO_Detail4"/>
      <sheetName val="COBO_Volume_YTD4"/>
      <sheetName val="COBO_NOPBT_YTD4"/>
      <sheetName val="Month_NOPBT_-_Top_114"/>
      <sheetName val="YTD_NOPBT_-_Top_11_4"/>
      <sheetName val="Top_11_&amp;_29_-_Financial_Summar4"/>
      <sheetName val="Top_11_&amp;_29_-_Volumes4"/>
      <sheetName val="Insurance_Distribution_(2)4"/>
      <sheetName val="Macro_Market_Trends4"/>
      <sheetName val="Q2F_Summary5"/>
      <sheetName val="Q2F_Summary_(2)5"/>
      <sheetName val="Summary_Outlook5"/>
      <sheetName val="Summary_(ex_Rev)5"/>
      <sheetName val="PCI_Month5"/>
      <sheetName val="BU_NOPBT_vs__Prior5"/>
      <sheetName val="PCI_YTD_COBO5"/>
      <sheetName val="PCI_YTD5"/>
      <sheetName val="BU_NOPBT_Month_Alone5"/>
      <sheetName val="BU_NOPBT_YTD5"/>
      <sheetName val="JV_Performance5"/>
      <sheetName val="PCI_OFCF_YTD5"/>
      <sheetName val="OFCF_by_BU5"/>
      <sheetName val="YTD_OFCF5"/>
      <sheetName val="Volume_Squeeze_Assessment5"/>
      <sheetName val="Volume__Assessment5"/>
      <sheetName val="Volume_Squeeze_Assessment_(2)5"/>
      <sheetName val="Volume_Squeeze_BU5"/>
      <sheetName val="Volume_Squeeze_-_Quarter5"/>
      <sheetName val="Q_Performance5"/>
      <sheetName val="NOPBT_Squeeze_-_Quarter5"/>
      <sheetName val="Volume_Comments_A5"/>
      <sheetName val="Volume_Comments_B5"/>
      <sheetName val="Key_Country_Month5"/>
      <sheetName val="Key_Country_YTD5"/>
      <sheetName val="OFCF_Squeeze5"/>
      <sheetName val="NOPBT_Squeeze5"/>
      <sheetName val="Key_NOPBT_A5"/>
      <sheetName val="Key_NOPBT_B5"/>
      <sheetName val="Key_Volume_A5"/>
      <sheetName val="Key_Volume_B5"/>
      <sheetName val="Key_OFCF_A5"/>
      <sheetName val="Key_OFCF_B5"/>
      <sheetName val="Volume_YTD5"/>
      <sheetName val="Volume_BOY5"/>
      <sheetName val="Volume_FY5"/>
      <sheetName val="YTD_NOPBT5"/>
      <sheetName val="YTD_Total_NOPBT_5"/>
      <sheetName val="Volume_Total_YTD5"/>
      <sheetName val="Fcst_Summary5"/>
      <sheetName val="LOB_25"/>
      <sheetName val="Volume_FOBO_(2)5"/>
      <sheetName val="Volume_FOBO5"/>
      <sheetName val="YTD_Total_OFCF5"/>
      <sheetName val="YTD_Total_OFCF_Var5"/>
      <sheetName val="FY_NOPBT_Outlook5"/>
      <sheetName val="COBO_Detail5"/>
      <sheetName val="COBO_Volume_YTD5"/>
      <sheetName val="COBO_NOPBT_YTD5"/>
      <sheetName val="Month_NOPBT_-_Top_115"/>
      <sheetName val="YTD_NOPBT_-_Top_11_5"/>
      <sheetName val="Top_11_&amp;_29_-_Financial_Summar5"/>
      <sheetName val="Top_11_&amp;_29_-_Volumes5"/>
      <sheetName val="Insurance_Distribution_(2)5"/>
      <sheetName val="Macro_Market_Trends5"/>
      <sheetName val="Q2F_Summary6"/>
      <sheetName val="Q2F_Summary_(2)6"/>
      <sheetName val="Summary_Outlook6"/>
      <sheetName val="Summary_(ex_Rev)6"/>
      <sheetName val="PCI_Month6"/>
      <sheetName val="BU_NOPBT_vs__Prior6"/>
      <sheetName val="PCI_YTD_COBO6"/>
      <sheetName val="PCI_YTD6"/>
      <sheetName val="BU_NOPBT_Month_Alone6"/>
      <sheetName val="BU_NOPBT_YTD6"/>
      <sheetName val="JV_Performance6"/>
      <sheetName val="PCI_OFCF_YTD6"/>
      <sheetName val="OFCF_by_BU6"/>
      <sheetName val="YTD_OFCF6"/>
      <sheetName val="Volume_Squeeze_Assessment6"/>
      <sheetName val="Volume__Assessment6"/>
      <sheetName val="Volume_Squeeze_Assessment_(2)6"/>
      <sheetName val="Volume_Squeeze_BU6"/>
      <sheetName val="Volume_Squeeze_-_Quarter6"/>
      <sheetName val="Q_Performance6"/>
      <sheetName val="NOPBT_Squeeze_-_Quarter6"/>
      <sheetName val="Volume_Comments_A6"/>
      <sheetName val="Volume_Comments_B6"/>
      <sheetName val="Key_Country_Month6"/>
      <sheetName val="Key_Country_YTD6"/>
      <sheetName val="OFCF_Squeeze6"/>
      <sheetName val="NOPBT_Squeeze6"/>
      <sheetName val="Key_NOPBT_A6"/>
      <sheetName val="Key_NOPBT_B6"/>
      <sheetName val="Key_Volume_A6"/>
      <sheetName val="Key_Volume_B6"/>
      <sheetName val="Key_OFCF_A6"/>
      <sheetName val="Key_OFCF_B6"/>
      <sheetName val="Volume_YTD6"/>
      <sheetName val="Volume_BOY6"/>
      <sheetName val="Volume_FY6"/>
      <sheetName val="YTD_NOPBT6"/>
      <sheetName val="YTD_Total_NOPBT_6"/>
      <sheetName val="Volume_Total_YTD6"/>
      <sheetName val="Fcst_Summary6"/>
      <sheetName val="LOB_26"/>
      <sheetName val="Volume_FOBO_(2)6"/>
      <sheetName val="Volume_FOBO6"/>
      <sheetName val="YTD_Total_OFCF6"/>
      <sheetName val="YTD_Total_OFCF_Var6"/>
      <sheetName val="FY_NOPBT_Outlook6"/>
      <sheetName val="COBO_Detail6"/>
      <sheetName val="COBO_Volume_YTD6"/>
      <sheetName val="COBO_NOPBT_YTD6"/>
      <sheetName val="Month_NOPBT_-_Top_116"/>
      <sheetName val="YTD_NOPBT_-_Top_11_6"/>
      <sheetName val="Top_11_&amp;_29_-_Financial_Summar6"/>
      <sheetName val="Top_11_&amp;_29_-_Volumes6"/>
      <sheetName val="Insurance_Distribution_(2)6"/>
      <sheetName val="Macro_Market_Trends6"/>
      <sheetName val="Monthly_MMBTUs"/>
      <sheetName val="Pd_MMBTUS"/>
      <sheetName val="Q2F_Summary7"/>
      <sheetName val="Q2F_Summary_(2)7"/>
      <sheetName val="Summary_Outlook7"/>
      <sheetName val="Summary_(ex_Rev)7"/>
      <sheetName val="PCI_Month7"/>
      <sheetName val="BU_NOPBT_vs__Prior7"/>
      <sheetName val="PCI_YTD_COBO7"/>
      <sheetName val="PCI_YTD7"/>
      <sheetName val="BU_NOPBT_Month_Alone7"/>
      <sheetName val="BU_NOPBT_YTD7"/>
      <sheetName val="JV_Performance7"/>
      <sheetName val="PCI_OFCF_YTD7"/>
      <sheetName val="OFCF_by_BU7"/>
      <sheetName val="YTD_OFCF7"/>
      <sheetName val="Volume_Squeeze_Assessment7"/>
      <sheetName val="Volume__Assessment7"/>
      <sheetName val="Volume_Squeeze_Assessment_(2)7"/>
      <sheetName val="Volume_Squeeze_BU7"/>
      <sheetName val="Volume_Squeeze_-_Quarter7"/>
      <sheetName val="Q_Performance7"/>
      <sheetName val="NOPBT_Squeeze_-_Quarter7"/>
      <sheetName val="Volume_Comments_A7"/>
      <sheetName val="Volume_Comments_B7"/>
      <sheetName val="Key_Country_Month7"/>
      <sheetName val="Key_Country_YTD7"/>
      <sheetName val="OFCF_Squeeze7"/>
      <sheetName val="NOPBT_Squeeze7"/>
      <sheetName val="Key_NOPBT_A7"/>
      <sheetName val="Key_NOPBT_B7"/>
      <sheetName val="Key_Volume_A7"/>
      <sheetName val="Key_Volume_B7"/>
      <sheetName val="Key_OFCF_A7"/>
      <sheetName val="Key_OFCF_B7"/>
      <sheetName val="Volume_YTD7"/>
      <sheetName val="Volume_BOY7"/>
      <sheetName val="Volume_FY7"/>
      <sheetName val="YTD_NOPBT7"/>
      <sheetName val="YTD_Total_NOPBT_7"/>
      <sheetName val="Volume_Total_YTD7"/>
      <sheetName val="Fcst_Summary7"/>
      <sheetName val="LOB_27"/>
      <sheetName val="Volume_FOBO_(2)7"/>
      <sheetName val="Volume_FOBO7"/>
      <sheetName val="YTD_Total_OFCF7"/>
      <sheetName val="ACT RG"/>
      <sheetName val="#REF"/>
      <sheetName val="Stores"/>
      <sheetName val="ACT_RG"/>
      <sheetName val="Master_Account_Lookup"/>
      <sheetName val="YTD_Total_OFCF_Var7"/>
      <sheetName val="FY_NOPBT_Outlook7"/>
      <sheetName val="COBO_Detail7"/>
      <sheetName val="COBO_Volume_YTD7"/>
      <sheetName val="COBO_NOPBT_YTD7"/>
      <sheetName val="Month_NOPBT_-_Top_117"/>
      <sheetName val="YTD_NOPBT_-_Top_11_7"/>
      <sheetName val="Top_11_&amp;_29_-_Financial_Summar7"/>
      <sheetName val="Top_11_&amp;_29_-_Volumes7"/>
      <sheetName val="Insurance_Distribution_(2)7"/>
      <sheetName val="Macro_Market_Trends7"/>
      <sheetName val="Q2F_Summary8"/>
      <sheetName val="Q2F_Summary_(2)8"/>
      <sheetName val="Summary_Outlook8"/>
      <sheetName val="Summary_(ex_Rev)8"/>
      <sheetName val="PCI_Month8"/>
      <sheetName val="BU_NOPBT_vs__Prior8"/>
      <sheetName val="PCI_YTD_COBO8"/>
      <sheetName val="PCI_YTD8"/>
      <sheetName val="BU_NOPBT_Month_Alone8"/>
      <sheetName val="BU_NOPBT_YTD8"/>
      <sheetName val="JV_Performance8"/>
      <sheetName val="PCI_OFCF_YTD8"/>
      <sheetName val="OFCF_by_BU8"/>
      <sheetName val="YTD_OFCF8"/>
      <sheetName val="Volume_Squeeze_Assessment8"/>
      <sheetName val="Volume__Assessment8"/>
      <sheetName val="Volume_Squeeze_Assessment_(2)8"/>
      <sheetName val="Volume_Squeeze_BU8"/>
      <sheetName val="Volume_Squeeze_-_Quarter8"/>
      <sheetName val="Q_Performance8"/>
      <sheetName val="NOPBT_Squeeze_-_Quarter8"/>
      <sheetName val="Volume_Comments_A8"/>
      <sheetName val="Volume_Comments_B8"/>
      <sheetName val="Key_Country_Month8"/>
      <sheetName val="Key_Country_YTD8"/>
      <sheetName val="OFCF_Squeeze8"/>
      <sheetName val="NOPBT_Squeeze8"/>
      <sheetName val="Key_NOPBT_A8"/>
      <sheetName val="Key_NOPBT_B8"/>
      <sheetName val="Key_Volume_A8"/>
      <sheetName val="Key_Volume_B8"/>
      <sheetName val="Key_OFCF_A8"/>
      <sheetName val="Key_OFCF_B8"/>
      <sheetName val="Volume_YTD8"/>
      <sheetName val="Volume_BOY8"/>
      <sheetName val="Volume_FY8"/>
      <sheetName val="YTD_NOPBT8"/>
      <sheetName val="YTD_Total_NOPBT_8"/>
      <sheetName val="Volume_Total_YTD8"/>
      <sheetName val="Fcst_Summary8"/>
      <sheetName val="LOB_28"/>
      <sheetName val="Volume_FOBO_(2)8"/>
      <sheetName val="Volume_FOBO8"/>
      <sheetName val="YTD_Total_OFCF8"/>
      <sheetName val="YTD_Total_OFCF_Var8"/>
      <sheetName val="FY_NOPBT_Outlook8"/>
      <sheetName val="COBO_Detail8"/>
      <sheetName val="COBO_Volume_YTD8"/>
      <sheetName val="COBO_NOPBT_YTD8"/>
      <sheetName val="Month_NOPBT_-_Top_118"/>
      <sheetName val="YTD_NOPBT_-_Top_11_8"/>
      <sheetName val="Top_11_&amp;_29_-_Financial_Summar8"/>
      <sheetName val="Top_11_&amp;_29_-_Volumes8"/>
      <sheetName val="Insurance_Distribution_(2)8"/>
      <sheetName val="Macro_Market_Trends8"/>
      <sheetName val="Q2F_Summary9"/>
      <sheetName val="Q2F_Summary_(2)9"/>
      <sheetName val="Summary_Outlook9"/>
      <sheetName val="Summary_(ex_Rev)9"/>
      <sheetName val="PCI_Month9"/>
      <sheetName val="BU_NOPBT_vs__Prior9"/>
      <sheetName val="PCI_YTD_COBO9"/>
      <sheetName val="PCI_YTD9"/>
      <sheetName val="BU_NOPBT_Month_Alone9"/>
      <sheetName val="BU_NOPBT_YTD9"/>
      <sheetName val="JV_Performance9"/>
      <sheetName val="PCI_OFCF_YTD9"/>
      <sheetName val="OFCF_by_BU9"/>
      <sheetName val="YTD_OFCF9"/>
      <sheetName val="Volume_Squeeze_Assessment9"/>
      <sheetName val="Volume__Assessment9"/>
      <sheetName val="Volume_Squeeze_Assessment_(2)9"/>
      <sheetName val="Volume_Squeeze_BU9"/>
      <sheetName val="Volume_Squeeze_-_Quarter9"/>
      <sheetName val="Q_Performance9"/>
      <sheetName val="NOPBT_Squeeze_-_Quarter9"/>
      <sheetName val="Volume_Comments_A9"/>
      <sheetName val="Volume_Comments_B9"/>
      <sheetName val="Key_Country_Month9"/>
      <sheetName val="Key_Country_YTD9"/>
      <sheetName val="OFCF_Squeeze9"/>
      <sheetName val="NOPBT_Squeeze9"/>
      <sheetName val="Key_NOPBT_A9"/>
      <sheetName val="Key_NOPBT_B9"/>
      <sheetName val="Key_Volume_A9"/>
      <sheetName val="Key_Volume_B9"/>
      <sheetName val="Key_OFCF_A9"/>
      <sheetName val="Key_OFCF_B9"/>
      <sheetName val="Volume_YTD9"/>
      <sheetName val="Volume_BOY9"/>
      <sheetName val="Volume_FY9"/>
      <sheetName val="YTD_NOPBT9"/>
      <sheetName val="YTD_Total_NOPBT_9"/>
      <sheetName val="Volume_Total_YTD9"/>
      <sheetName val="Fcst_Summary9"/>
      <sheetName val="LOB_29"/>
      <sheetName val="Volume_FOBO_(2)9"/>
      <sheetName val="Volume_FOBO9"/>
      <sheetName val="YTD_Total_OFCF9"/>
      <sheetName val="YTD_Total_OFCF_Var9"/>
      <sheetName val="FY_NOPBT_Outlook9"/>
      <sheetName val="COBO_Detail9"/>
      <sheetName val="COBO_Volume_YTD9"/>
      <sheetName val="COBO_NOPBT_YTD9"/>
      <sheetName val="Month_NOPBT_-_Top_119"/>
      <sheetName val="YTD_NOPBT_-_Top_11_9"/>
      <sheetName val="Top_11_&amp;_29_-_Financial_Summar9"/>
      <sheetName val="Top_11_&amp;_29_-_Volumes9"/>
      <sheetName val="Insurance_Distribution_(2)9"/>
      <sheetName val="Macro_Market_Trends9"/>
      <sheetName val="Monthly_MMBTUs1"/>
      <sheetName val="Pd_MMBTUS1"/>
      <sheetName val="Q2F_Summary10"/>
      <sheetName val="Q2F_Summary_(2)10"/>
      <sheetName val="Summary_Outlook10"/>
      <sheetName val="Summary_(ex_Rev)10"/>
      <sheetName val="PCI_Month10"/>
      <sheetName val="BU_NOPBT_vs__Prior10"/>
      <sheetName val="PCI_YTD_COBO10"/>
      <sheetName val="PCI_YTD10"/>
      <sheetName val="BU_NOPBT_Month_Alone10"/>
      <sheetName val="BU_NOPBT_YTD10"/>
      <sheetName val="JV_Performance10"/>
      <sheetName val="PCI_OFCF_YTD10"/>
      <sheetName val="OFCF_by_BU10"/>
      <sheetName val="YTD_OFCF10"/>
      <sheetName val="Volume_Squeeze_Assessment10"/>
      <sheetName val="Volume__Assessment10"/>
      <sheetName val="Volume_Squeeze_Assessment_(2)10"/>
      <sheetName val="Volume_Squeeze_BU10"/>
      <sheetName val="Volume_Squeeze_-_Quarter10"/>
      <sheetName val="Q_Performance10"/>
      <sheetName val="NOPBT_Squeeze_-_Quarter10"/>
      <sheetName val="Volume_Comments_A10"/>
      <sheetName val="Volume_Comments_B10"/>
      <sheetName val="Key_Country_Month10"/>
      <sheetName val="Key_Country_YTD10"/>
      <sheetName val="OFCF_Squeeze10"/>
      <sheetName val="NOPBT_Squeeze10"/>
      <sheetName val="Key_NOPBT_A10"/>
      <sheetName val="Key_NOPBT_B10"/>
      <sheetName val="Key_Volume_A10"/>
      <sheetName val="Key_Volume_B10"/>
      <sheetName val="Key_OFCF_A10"/>
      <sheetName val="Key_OFCF_B10"/>
      <sheetName val="Volume_YTD10"/>
      <sheetName val="Volume_BOY10"/>
      <sheetName val="Volume_FY10"/>
      <sheetName val="YTD_NOPBT10"/>
      <sheetName val="YTD_Total_NOPBT_10"/>
      <sheetName val="Volume_Total_YTD10"/>
      <sheetName val="Fcst_Summary10"/>
      <sheetName val="LOB_210"/>
      <sheetName val="Volume_FOBO_(2)10"/>
      <sheetName val="Volume_FOBO10"/>
      <sheetName val="YTD_Total_OFCF10"/>
      <sheetName val="YTD_Total_OFCF_Var10"/>
      <sheetName val="FY_NOPBT_Outlook10"/>
      <sheetName val="COBO_Detail10"/>
      <sheetName val="COBO_Volume_YTD10"/>
      <sheetName val="COBO_NOPBT_YTD10"/>
      <sheetName val="Month_NOPBT_-_Top_1110"/>
      <sheetName val="YTD_NOPBT_-_Top_11_10"/>
      <sheetName val="Top_11_&amp;_29_-_Financial_Summa10"/>
      <sheetName val="Top_11_&amp;_29_-_Volumes10"/>
      <sheetName val="Insurance_Distribution_(2)10"/>
      <sheetName val="Macro_Market_Trends10"/>
      <sheetName val="Q2F_Summary11"/>
      <sheetName val="Q2F_Summary_(2)11"/>
      <sheetName val="Summary_Outlook11"/>
      <sheetName val="Summary_(ex_Rev)11"/>
      <sheetName val="PCI_Month11"/>
      <sheetName val="BU_NOPBT_vs__Prior11"/>
      <sheetName val="PCI_YTD_COBO11"/>
      <sheetName val="PCI_YTD11"/>
      <sheetName val="BU_NOPBT_Month_Alone11"/>
      <sheetName val="BU_NOPBT_YTD11"/>
      <sheetName val="JV_Performance11"/>
      <sheetName val="PCI_OFCF_YTD11"/>
      <sheetName val="OFCF_by_BU11"/>
      <sheetName val="YTD_OFCF11"/>
      <sheetName val="Volume_Squeeze_Assessment11"/>
      <sheetName val="Volume__Assessment11"/>
      <sheetName val="Volume_Squeeze_Assessment_(2)11"/>
      <sheetName val="Volume_Squeeze_BU11"/>
      <sheetName val="Volume_Squeeze_-_Quarter11"/>
      <sheetName val="Q_Performance11"/>
      <sheetName val="NOPBT_Squeeze_-_Quarter11"/>
      <sheetName val="Volume_Comments_A11"/>
      <sheetName val="Volume_Comments_B11"/>
      <sheetName val="Key_Country_Month11"/>
      <sheetName val="Key_Country_YTD11"/>
      <sheetName val="OFCF_Squeeze11"/>
      <sheetName val="NOPBT_Squeeze11"/>
      <sheetName val="Key_NOPBT_A11"/>
      <sheetName val="Key_NOPBT_B11"/>
      <sheetName val="Key_Volume_A11"/>
      <sheetName val="Key_Volume_B11"/>
      <sheetName val="Key_OFCF_A11"/>
      <sheetName val="Key_OFCF_B11"/>
      <sheetName val="Volume_YTD11"/>
      <sheetName val="Volume_BOY11"/>
      <sheetName val="Volume_FY11"/>
      <sheetName val="YTD_NOPBT11"/>
      <sheetName val="YTD_Total_NOPBT_11"/>
      <sheetName val="Volume_Total_YTD11"/>
      <sheetName val="Fcst_Summary11"/>
      <sheetName val="LOB_211"/>
      <sheetName val="Volume_FOBO_(2)11"/>
      <sheetName val="Volume_FOBO11"/>
      <sheetName val="YTD_Total_OFCF11"/>
      <sheetName val="YTD_Total_OFCF_Var11"/>
      <sheetName val="FY_NOPBT_Outlook11"/>
      <sheetName val="COBO_Detail11"/>
      <sheetName val="COBO_Volume_YTD11"/>
      <sheetName val="COBO_NOPBT_YTD11"/>
      <sheetName val="Month_NOPBT_-_Top_1111"/>
      <sheetName val="YTD_NOPBT_-_Top_11_11"/>
      <sheetName val="Top_11_&amp;_29_-_Financial_Summa11"/>
      <sheetName val="Top_11_&amp;_29_-_Volumes11"/>
      <sheetName val="Insurance_Distribution_(2)11"/>
      <sheetName val="Macro_Market_Trends11"/>
      <sheetName val="Q2F_Summary12"/>
      <sheetName val="Q2F_Summary_(2)12"/>
      <sheetName val="Summary_Outlook12"/>
      <sheetName val="Summary_(ex_Rev)12"/>
      <sheetName val="PCI_Month12"/>
      <sheetName val="BU_NOPBT_vs__Prior12"/>
      <sheetName val="PCI_YTD_COBO12"/>
      <sheetName val="PCI_YTD12"/>
      <sheetName val="BU_NOPBT_Month_Alone12"/>
      <sheetName val="BU_NOPBT_YTD12"/>
      <sheetName val="JV_Performance12"/>
      <sheetName val="PCI_OFCF_YTD12"/>
      <sheetName val="OFCF_by_BU12"/>
      <sheetName val="YTD_OFCF12"/>
      <sheetName val="Volume_Squeeze_Assessment12"/>
      <sheetName val="Volume__Assessment12"/>
      <sheetName val="Volume_Squeeze_Assessment_(2)12"/>
      <sheetName val="Volume_Squeeze_BU12"/>
      <sheetName val="Volume_Squeeze_-_Quarter12"/>
      <sheetName val="Q_Performance12"/>
      <sheetName val="NOPBT_Squeeze_-_Quarter12"/>
      <sheetName val="Volume_Comments_A12"/>
      <sheetName val="Volume_Comments_B12"/>
      <sheetName val="Key_Country_Month12"/>
      <sheetName val="Key_Country_YTD12"/>
      <sheetName val="OFCF_Squeeze12"/>
      <sheetName val="NOPBT_Squeeze12"/>
      <sheetName val="Key_NOPBT_A12"/>
      <sheetName val="Key_NOPBT_B12"/>
      <sheetName val="Key_Volume_A12"/>
      <sheetName val="Key_Volume_B12"/>
      <sheetName val="Key_OFCF_A12"/>
      <sheetName val="Key_OFCF_B12"/>
      <sheetName val="Volume_YTD12"/>
      <sheetName val="Volume_BOY12"/>
      <sheetName val="Volume_FY12"/>
      <sheetName val="YTD_NOPBT12"/>
      <sheetName val="YTD_Total_NOPBT_12"/>
      <sheetName val="Volume_Total_YTD12"/>
      <sheetName val="Fcst_Summary12"/>
      <sheetName val="LOB_212"/>
      <sheetName val="Volume_FOBO_(2)12"/>
      <sheetName val="Volume_FOBO12"/>
      <sheetName val="YTD_Total_OFCF12"/>
      <sheetName val="YTD_Total_OFCF_Var12"/>
      <sheetName val="FY_NOPBT_Outlook12"/>
      <sheetName val="COBO_Detail12"/>
      <sheetName val="COBO_Volume_YTD12"/>
      <sheetName val="COBO_NOPBT_YTD12"/>
      <sheetName val="Month_NOPBT_-_Top_1112"/>
      <sheetName val="YTD_NOPBT_-_Top_11_12"/>
      <sheetName val="Top_11_&amp;_29_-_Financial_Summa12"/>
      <sheetName val="Top_11_&amp;_29_-_Volumes12"/>
      <sheetName val="Insurance_Distribution_(2)12"/>
      <sheetName val="Macro_Market_Trends12"/>
      <sheetName val="Monthly_MMBTUs2"/>
      <sheetName val="Pd_MMBTUS2"/>
      <sheetName val="Q2F_Summary13"/>
      <sheetName val="Q2F_Summary_(2)13"/>
      <sheetName val="Summary_Outlook13"/>
      <sheetName val="Summary_(ex_Rev)13"/>
      <sheetName val="PCI_Month13"/>
      <sheetName val="BU_NOPBT_vs__Prior13"/>
      <sheetName val="PCI_YTD_COBO13"/>
      <sheetName val="PCI_YTD13"/>
      <sheetName val="BU_NOPBT_Month_Alone13"/>
      <sheetName val="BU_NOPBT_YTD13"/>
      <sheetName val="JV_Performance13"/>
      <sheetName val="PCI_OFCF_YTD13"/>
      <sheetName val="OFCF_by_BU13"/>
      <sheetName val="YTD_OFCF13"/>
      <sheetName val="Volume_Squeeze_Assessment13"/>
      <sheetName val="Volume__Assessment13"/>
      <sheetName val="Volume_Squeeze_Assessment_(2)13"/>
      <sheetName val="Volume_Squeeze_BU13"/>
      <sheetName val="Volume_Squeeze_-_Quarter13"/>
      <sheetName val="Q_Performance13"/>
      <sheetName val="NOPBT_Squeeze_-_Quarter13"/>
      <sheetName val="Volume_Comments_A13"/>
      <sheetName val="Volume_Comments_B13"/>
      <sheetName val="Key_Country_Month13"/>
      <sheetName val="Key_Country_YTD13"/>
      <sheetName val="OFCF_Squeeze13"/>
      <sheetName val="NOPBT_Squeeze13"/>
      <sheetName val="Key_NOPBT_A13"/>
      <sheetName val="Key_NOPBT_B13"/>
      <sheetName val="Key_Volume_A13"/>
      <sheetName val="Key_Volume_B13"/>
      <sheetName val="Key_OFCF_A13"/>
      <sheetName val="Key_OFCF_B13"/>
      <sheetName val="Volume_YTD13"/>
      <sheetName val="Volume_BOY13"/>
      <sheetName val="Volume_FY13"/>
      <sheetName val="YTD_NOPBT13"/>
      <sheetName val="YTD_Total_NOPBT_13"/>
      <sheetName val="Volume_Total_YTD13"/>
      <sheetName val="Fcst_Summary13"/>
      <sheetName val="LOB_213"/>
      <sheetName val="Volume_FOBO_(2)13"/>
      <sheetName val="Volume_FOBO13"/>
      <sheetName val="YTD_Total_OFCF13"/>
      <sheetName val="YTD_Total_OFCF_Var13"/>
      <sheetName val="FY_NOPBT_Outlook13"/>
      <sheetName val="COBO_Detail13"/>
      <sheetName val="COBO_Volume_YTD13"/>
      <sheetName val="COBO_NOPBT_YTD13"/>
      <sheetName val="Month_NOPBT_-_Top_1113"/>
      <sheetName val="YTD_NOPBT_-_Top_11_13"/>
      <sheetName val="Top_11_&amp;_29_-_Financial_Summa13"/>
      <sheetName val="Top_11_&amp;_29_-_Volumes13"/>
      <sheetName val="Insurance_Distribution_(2)13"/>
      <sheetName val="Macro_Market_Trends13"/>
      <sheetName val="Q2F_Summary14"/>
      <sheetName val="Q2F_Summary_(2)14"/>
      <sheetName val="Summary_Outlook14"/>
      <sheetName val="Summary_(ex_Rev)14"/>
      <sheetName val="PCI_Month14"/>
      <sheetName val="BU_NOPBT_vs__Prior14"/>
      <sheetName val="PCI_YTD_COBO14"/>
      <sheetName val="PCI_YTD14"/>
      <sheetName val="BU_NOPBT_Month_Alone14"/>
      <sheetName val="BU_NOPBT_YTD14"/>
      <sheetName val="JV_Performance14"/>
      <sheetName val="PCI_OFCF_YTD14"/>
      <sheetName val="OFCF_by_BU14"/>
      <sheetName val="YTD_OFCF14"/>
      <sheetName val="Volume_Squeeze_Assessment14"/>
      <sheetName val="Volume__Assessment14"/>
      <sheetName val="Volume_Squeeze_Assessment_(2)14"/>
      <sheetName val="Volume_Squeeze_BU14"/>
      <sheetName val="Volume_Squeeze_-_Quarter14"/>
      <sheetName val="Q_Performance14"/>
      <sheetName val="NOPBT_Squeeze_-_Quarter14"/>
      <sheetName val="Volume_Comments_A14"/>
      <sheetName val="Volume_Comments_B14"/>
      <sheetName val="Key_Country_Month14"/>
      <sheetName val="Key_Country_YTD14"/>
      <sheetName val="OFCF_Squeeze14"/>
      <sheetName val="NOPBT_Squeeze14"/>
      <sheetName val="Key_NOPBT_A14"/>
      <sheetName val="Key_NOPBT_B14"/>
      <sheetName val="Key_Volume_A14"/>
      <sheetName val="Key_Volume_B14"/>
      <sheetName val="Key_OFCF_A14"/>
      <sheetName val="Key_OFCF_B14"/>
      <sheetName val="Volume_YTD14"/>
      <sheetName val="Volume_BOY14"/>
      <sheetName val="Volume_FY14"/>
      <sheetName val="YTD_NOPBT14"/>
      <sheetName val="YTD_Total_NOPBT_14"/>
      <sheetName val="Volume_Total_YTD14"/>
      <sheetName val="Fcst_Summary14"/>
      <sheetName val="LOB_214"/>
      <sheetName val="Volume_FOBO_(2)14"/>
      <sheetName val="Volume_FOBO14"/>
      <sheetName val="YTD_Total_OFCF14"/>
      <sheetName val="YTD_Total_OFCF_Var14"/>
      <sheetName val="FY_NOPBT_Outlook14"/>
      <sheetName val="COBO_Detail14"/>
      <sheetName val="COBO_Volume_YTD14"/>
      <sheetName val="COBO_NOPBT_YTD14"/>
      <sheetName val="Month_NOPBT_-_Top_1114"/>
      <sheetName val="YTD_NOPBT_-_Top_11_14"/>
      <sheetName val="Top_11_&amp;_29_-_Financial_Summa14"/>
      <sheetName val="Top_11_&amp;_29_-_Volumes14"/>
      <sheetName val="Insurance_Distribution_(2)14"/>
      <sheetName val="Macro_Market_Trends14"/>
      <sheetName val="Monthly_MMBTUs3"/>
      <sheetName val="Pd_MMBTUS3"/>
      <sheetName val="Q2F_Summary26"/>
      <sheetName val="Q2F_Summary_(2)26"/>
      <sheetName val="Summary_Outlook26"/>
      <sheetName val="Summary_(ex_Rev)26"/>
      <sheetName val="PCI_Month26"/>
      <sheetName val="BU_NOPBT_vs__Prior26"/>
      <sheetName val="PCI_YTD_COBO26"/>
      <sheetName val="PCI_YTD26"/>
      <sheetName val="BU_NOPBT_Month_Alone26"/>
      <sheetName val="BU_NOPBT_YTD26"/>
      <sheetName val="JV_Performance26"/>
      <sheetName val="PCI_OFCF_YTD26"/>
      <sheetName val="OFCF_by_BU26"/>
      <sheetName val="YTD_OFCF26"/>
      <sheetName val="Volume_Squeeze_Assessment26"/>
      <sheetName val="Volume__Assessment26"/>
      <sheetName val="Volume_Squeeze_Assessment_(2)26"/>
      <sheetName val="Volume_Squeeze_BU26"/>
      <sheetName val="Volume_Squeeze_-_Quarter26"/>
      <sheetName val="Q_Performance26"/>
      <sheetName val="NOPBT_Squeeze_-_Quarter26"/>
      <sheetName val="Volume_Comments_A26"/>
      <sheetName val="Volume_Comments_B26"/>
      <sheetName val="Key_Country_Month26"/>
      <sheetName val="Key_Country_YTD26"/>
      <sheetName val="OFCF_Squeeze26"/>
      <sheetName val="NOPBT_Squeeze26"/>
      <sheetName val="Key_NOPBT_A26"/>
      <sheetName val="Key_NOPBT_B26"/>
      <sheetName val="Key_Volume_A26"/>
      <sheetName val="Key_Volume_B26"/>
      <sheetName val="Key_OFCF_A26"/>
      <sheetName val="Key_OFCF_B26"/>
      <sheetName val="Volume_YTD26"/>
      <sheetName val="Volume_BOY26"/>
      <sheetName val="Volume_FY26"/>
      <sheetName val="YTD_NOPBT26"/>
      <sheetName val="YTD_Total_NOPBT_26"/>
      <sheetName val="Volume_Total_YTD26"/>
      <sheetName val="Fcst_Summary26"/>
      <sheetName val="LOB_226"/>
      <sheetName val="Volume_FOBO_(2)26"/>
      <sheetName val="Volume_FOBO26"/>
      <sheetName val="YTD_Total_OFCF26"/>
      <sheetName val="YTD_Total_OFCF_Var26"/>
      <sheetName val="FY_NOPBT_Outlook26"/>
      <sheetName val="COBO_Detail26"/>
      <sheetName val="COBO_Volume_YTD26"/>
      <sheetName val="COBO_NOPBT_YTD26"/>
      <sheetName val="Month_NOPBT_-_Top_1126"/>
      <sheetName val="YTD_NOPBT_-_Top_11_26"/>
      <sheetName val="Top_11_&amp;_29_-_Financial_Summa26"/>
      <sheetName val="Top_11_&amp;_29_-_Volumes26"/>
      <sheetName val="Insurance_Distribution_(2)26"/>
      <sheetName val="Macro_Market_Trends26"/>
      <sheetName val="Monthly_MMBTUs11"/>
      <sheetName val="Pd_MMBTUS11"/>
      <sheetName val="Q2F_Summary15"/>
      <sheetName val="Q2F_Summary_(2)15"/>
      <sheetName val="Summary_Outlook15"/>
      <sheetName val="Summary_(ex_Rev)15"/>
      <sheetName val="PCI_Month15"/>
      <sheetName val="BU_NOPBT_vs__Prior15"/>
      <sheetName val="PCI_YTD_COBO15"/>
      <sheetName val="PCI_YTD15"/>
      <sheetName val="BU_NOPBT_Month_Alone15"/>
      <sheetName val="BU_NOPBT_YTD15"/>
      <sheetName val="JV_Performance15"/>
      <sheetName val="PCI_OFCF_YTD15"/>
      <sheetName val="OFCF_by_BU15"/>
      <sheetName val="YTD_OFCF15"/>
      <sheetName val="Volume_Squeeze_Assessment15"/>
      <sheetName val="Volume__Assessment15"/>
      <sheetName val="Volume_Squeeze_Assessment_(2)15"/>
      <sheetName val="Volume_Squeeze_BU15"/>
      <sheetName val="Volume_Squeeze_-_Quarter15"/>
      <sheetName val="Q_Performance15"/>
      <sheetName val="NOPBT_Squeeze_-_Quarter15"/>
      <sheetName val="Volume_Comments_A15"/>
      <sheetName val="Volume_Comments_B15"/>
      <sheetName val="Key_Country_Month15"/>
      <sheetName val="Key_Country_YTD15"/>
      <sheetName val="OFCF_Squeeze15"/>
      <sheetName val="NOPBT_Squeeze15"/>
      <sheetName val="Key_NOPBT_A15"/>
      <sheetName val="Key_NOPBT_B15"/>
      <sheetName val="Key_Volume_A15"/>
      <sheetName val="Key_Volume_B15"/>
      <sheetName val="Key_OFCF_A15"/>
      <sheetName val="Key_OFCF_B15"/>
      <sheetName val="Volume_YTD15"/>
      <sheetName val="Volume_BOY15"/>
      <sheetName val="Volume_FY15"/>
      <sheetName val="YTD_NOPBT15"/>
      <sheetName val="YTD_Total_NOPBT_15"/>
      <sheetName val="Volume_Total_YTD15"/>
      <sheetName val="Fcst_Summary15"/>
      <sheetName val="LOB_215"/>
      <sheetName val="Volume_FOBO_(2)15"/>
      <sheetName val="Volume_FOBO15"/>
      <sheetName val="YTD_Total_OFCF15"/>
      <sheetName val="YTD_Total_OFCF_Var15"/>
      <sheetName val="FY_NOPBT_Outlook15"/>
      <sheetName val="COBO_Detail15"/>
      <sheetName val="COBO_Volume_YTD15"/>
      <sheetName val="COBO_NOPBT_YTD15"/>
      <sheetName val="Month_NOPBT_-_Top_1115"/>
      <sheetName val="YTD_NOPBT_-_Top_11_15"/>
      <sheetName val="Top_11_&amp;_29_-_Financial_Summa15"/>
      <sheetName val="Top_11_&amp;_29_-_Volumes15"/>
      <sheetName val="Insurance_Distribution_(2)15"/>
      <sheetName val="Macro_Market_Trends15"/>
      <sheetName val="Q2F_Summary16"/>
      <sheetName val="Q2F_Summary_(2)16"/>
      <sheetName val="Summary_Outlook16"/>
      <sheetName val="Summary_(ex_Rev)16"/>
      <sheetName val="PCI_Month16"/>
      <sheetName val="BU_NOPBT_vs__Prior16"/>
      <sheetName val="PCI_YTD_COBO16"/>
      <sheetName val="PCI_YTD16"/>
      <sheetName val="BU_NOPBT_Month_Alone16"/>
      <sheetName val="BU_NOPBT_YTD16"/>
      <sheetName val="JV_Performance16"/>
      <sheetName val="PCI_OFCF_YTD16"/>
      <sheetName val="OFCF_by_BU16"/>
      <sheetName val="YTD_OFCF16"/>
      <sheetName val="Volume_Squeeze_Assessment16"/>
      <sheetName val="Volume__Assessment16"/>
      <sheetName val="Volume_Squeeze_Assessment_(2)16"/>
      <sheetName val="Volume_Squeeze_BU16"/>
      <sheetName val="Volume_Squeeze_-_Quarter16"/>
      <sheetName val="Q_Performance16"/>
      <sheetName val="NOPBT_Squeeze_-_Quarter16"/>
      <sheetName val="Volume_Comments_A16"/>
      <sheetName val="Volume_Comments_B16"/>
      <sheetName val="Key_Country_Month16"/>
      <sheetName val="Key_Country_YTD16"/>
      <sheetName val="OFCF_Squeeze16"/>
      <sheetName val="NOPBT_Squeeze16"/>
      <sheetName val="Key_NOPBT_A16"/>
      <sheetName val="Key_NOPBT_B16"/>
      <sheetName val="Key_Volume_A16"/>
      <sheetName val="Key_Volume_B16"/>
      <sheetName val="Key_OFCF_A16"/>
      <sheetName val="Key_OFCF_B16"/>
      <sheetName val="Volume_YTD16"/>
      <sheetName val="Volume_BOY16"/>
      <sheetName val="Volume_FY16"/>
      <sheetName val="YTD_NOPBT16"/>
      <sheetName val="YTD_Total_NOPBT_16"/>
      <sheetName val="Volume_Total_YTD16"/>
      <sheetName val="Fcst_Summary16"/>
      <sheetName val="LOB_216"/>
      <sheetName val="Volume_FOBO_(2)16"/>
      <sheetName val="Volume_FOBO16"/>
      <sheetName val="YTD_Total_OFCF16"/>
      <sheetName val="YTD_Total_OFCF_Var16"/>
      <sheetName val="FY_NOPBT_Outlook16"/>
      <sheetName val="COBO_Detail16"/>
      <sheetName val="COBO_Volume_YTD16"/>
      <sheetName val="COBO_NOPBT_YTD16"/>
      <sheetName val="Month_NOPBT_-_Top_1116"/>
      <sheetName val="YTD_NOPBT_-_Top_11_16"/>
      <sheetName val="Top_11_&amp;_29_-_Financial_Summa16"/>
      <sheetName val="Top_11_&amp;_29_-_Volumes16"/>
      <sheetName val="Insurance_Distribution_(2)16"/>
      <sheetName val="Macro_Market_Trends16"/>
      <sheetName val="Q2F_Summary17"/>
      <sheetName val="Q2F_Summary_(2)17"/>
      <sheetName val="Summary_Outlook17"/>
      <sheetName val="Summary_(ex_Rev)17"/>
      <sheetName val="PCI_Month17"/>
      <sheetName val="BU_NOPBT_vs__Prior17"/>
      <sheetName val="PCI_YTD_COBO17"/>
      <sheetName val="PCI_YTD17"/>
      <sheetName val="BU_NOPBT_Month_Alone17"/>
      <sheetName val="BU_NOPBT_YTD17"/>
      <sheetName val="JV_Performance17"/>
      <sheetName val="PCI_OFCF_YTD17"/>
      <sheetName val="OFCF_by_BU17"/>
      <sheetName val="YTD_OFCF17"/>
      <sheetName val="Volume_Squeeze_Assessment17"/>
      <sheetName val="Volume__Assessment17"/>
      <sheetName val="Volume_Squeeze_Assessment_(2)17"/>
      <sheetName val="Volume_Squeeze_BU17"/>
      <sheetName val="Volume_Squeeze_-_Quarter17"/>
      <sheetName val="Q_Performance17"/>
      <sheetName val="NOPBT_Squeeze_-_Quarter17"/>
      <sheetName val="Volume_Comments_A17"/>
      <sheetName val="Volume_Comments_B17"/>
      <sheetName val="Key_Country_Month17"/>
      <sheetName val="Key_Country_YTD17"/>
      <sheetName val="OFCF_Squeeze17"/>
      <sheetName val="NOPBT_Squeeze17"/>
      <sheetName val="Key_NOPBT_A17"/>
      <sheetName val="Key_NOPBT_B17"/>
      <sheetName val="Key_Volume_A17"/>
      <sheetName val="Key_Volume_B17"/>
      <sheetName val="Key_OFCF_A17"/>
      <sheetName val="Key_OFCF_B17"/>
      <sheetName val="Volume_YTD17"/>
      <sheetName val="Volume_BOY17"/>
      <sheetName val="Volume_FY17"/>
      <sheetName val="YTD_NOPBT17"/>
      <sheetName val="YTD_Total_NOPBT_17"/>
      <sheetName val="Volume_Total_YTD17"/>
      <sheetName val="Fcst_Summary17"/>
      <sheetName val="LOB_217"/>
      <sheetName val="Volume_FOBO_(2)17"/>
      <sheetName val="Volume_FOBO17"/>
      <sheetName val="YTD_Total_OFCF17"/>
      <sheetName val="YTD_Total_OFCF_Var17"/>
      <sheetName val="FY_NOPBT_Outlook17"/>
      <sheetName val="COBO_Detail17"/>
      <sheetName val="COBO_Volume_YTD17"/>
      <sheetName val="COBO_NOPBT_YTD17"/>
      <sheetName val="Month_NOPBT_-_Top_1117"/>
      <sheetName val="YTD_NOPBT_-_Top_11_17"/>
      <sheetName val="Top_11_&amp;_29_-_Financial_Summa17"/>
      <sheetName val="Top_11_&amp;_29_-_Volumes17"/>
      <sheetName val="Insurance_Distribution_(2)17"/>
      <sheetName val="Macro_Market_Trends17"/>
      <sheetName val="Q2F_Summary18"/>
      <sheetName val="Q2F_Summary_(2)18"/>
      <sheetName val="Summary_Outlook18"/>
      <sheetName val="Summary_(ex_Rev)18"/>
      <sheetName val="PCI_Month18"/>
      <sheetName val="BU_NOPBT_vs__Prior18"/>
      <sheetName val="PCI_YTD_COBO18"/>
      <sheetName val="PCI_YTD18"/>
      <sheetName val="BU_NOPBT_Month_Alone18"/>
      <sheetName val="BU_NOPBT_YTD18"/>
      <sheetName val="JV_Performance18"/>
      <sheetName val="PCI_OFCF_YTD18"/>
      <sheetName val="OFCF_by_BU18"/>
      <sheetName val="YTD_OFCF18"/>
      <sheetName val="Volume_Squeeze_Assessment18"/>
      <sheetName val="Volume__Assessment18"/>
      <sheetName val="Volume_Squeeze_Assessment_(2)18"/>
      <sheetName val="Volume_Squeeze_BU18"/>
      <sheetName val="Volume_Squeeze_-_Quarter18"/>
      <sheetName val="Q_Performance18"/>
      <sheetName val="NOPBT_Squeeze_-_Quarter18"/>
      <sheetName val="Volume_Comments_A18"/>
      <sheetName val="Volume_Comments_B18"/>
      <sheetName val="Key_Country_Month18"/>
      <sheetName val="Key_Country_YTD18"/>
      <sheetName val="OFCF_Squeeze18"/>
      <sheetName val="NOPBT_Squeeze18"/>
      <sheetName val="Key_NOPBT_A18"/>
      <sheetName val="Key_NOPBT_B18"/>
      <sheetName val="Key_Volume_A18"/>
      <sheetName val="Key_Volume_B18"/>
      <sheetName val="Key_OFCF_A18"/>
      <sheetName val="Key_OFCF_B18"/>
      <sheetName val="Volume_YTD18"/>
      <sheetName val="Volume_BOY18"/>
      <sheetName val="Volume_FY18"/>
      <sheetName val="YTD_NOPBT18"/>
      <sheetName val="YTD_Total_NOPBT_18"/>
      <sheetName val="Volume_Total_YTD18"/>
      <sheetName val="Fcst_Summary18"/>
      <sheetName val="LOB_218"/>
      <sheetName val="Volume_FOBO_(2)18"/>
      <sheetName val="Volume_FOBO18"/>
      <sheetName val="YTD_Total_OFCF18"/>
      <sheetName val="YTD_Total_OFCF_Var18"/>
      <sheetName val="FY_NOPBT_Outlook18"/>
      <sheetName val="COBO_Detail18"/>
      <sheetName val="COBO_Volume_YTD18"/>
      <sheetName val="COBO_NOPBT_YTD18"/>
      <sheetName val="Month_NOPBT_-_Top_1118"/>
      <sheetName val="YTD_NOPBT_-_Top_11_18"/>
      <sheetName val="Top_11_&amp;_29_-_Financial_Summa18"/>
      <sheetName val="Top_11_&amp;_29_-_Volumes18"/>
      <sheetName val="Insurance_Distribution_(2)18"/>
      <sheetName val="Macro_Market_Trends18"/>
      <sheetName val="Monthly_MMBTUs4"/>
      <sheetName val="Pd_MMBTUS4"/>
      <sheetName val="Q2F_Summary19"/>
      <sheetName val="Q2F_Summary_(2)19"/>
      <sheetName val="Summary_Outlook19"/>
      <sheetName val="Summary_(ex_Rev)19"/>
      <sheetName val="PCI_Month19"/>
      <sheetName val="BU_NOPBT_vs__Prior19"/>
      <sheetName val="PCI_YTD_COBO19"/>
      <sheetName val="PCI_YTD19"/>
      <sheetName val="BU_NOPBT_Month_Alone19"/>
      <sheetName val="BU_NOPBT_YTD19"/>
      <sheetName val="JV_Performance19"/>
      <sheetName val="PCI_OFCF_YTD19"/>
      <sheetName val="OFCF_by_BU19"/>
      <sheetName val="YTD_OFCF19"/>
      <sheetName val="Volume_Squeeze_Assessment19"/>
      <sheetName val="Volume__Assessment19"/>
      <sheetName val="Volume_Squeeze_Assessment_(2)19"/>
      <sheetName val="Volume_Squeeze_BU19"/>
      <sheetName val="Volume_Squeeze_-_Quarter19"/>
      <sheetName val="Q_Performance19"/>
      <sheetName val="NOPBT_Squeeze_-_Quarter19"/>
      <sheetName val="Volume_Comments_A19"/>
      <sheetName val="Volume_Comments_B19"/>
      <sheetName val="Key_Country_Month19"/>
      <sheetName val="Key_Country_YTD19"/>
      <sheetName val="OFCF_Squeeze19"/>
      <sheetName val="NOPBT_Squeeze19"/>
      <sheetName val="Key_NOPBT_A19"/>
      <sheetName val="Key_NOPBT_B19"/>
      <sheetName val="Key_Volume_A19"/>
      <sheetName val="Key_Volume_B19"/>
      <sheetName val="Key_OFCF_A19"/>
      <sheetName val="Key_OFCF_B19"/>
      <sheetName val="Volume_YTD19"/>
      <sheetName val="Volume_BOY19"/>
      <sheetName val="Volume_FY19"/>
      <sheetName val="YTD_NOPBT19"/>
      <sheetName val="YTD_Total_NOPBT_19"/>
      <sheetName val="Volume_Total_YTD19"/>
      <sheetName val="Fcst_Summary19"/>
      <sheetName val="LOB_219"/>
      <sheetName val="Volume_FOBO_(2)19"/>
      <sheetName val="Volume_FOBO19"/>
      <sheetName val="YTD_Total_OFCF19"/>
      <sheetName val="YTD_Total_OFCF_Var19"/>
      <sheetName val="FY_NOPBT_Outlook19"/>
      <sheetName val="COBO_Detail19"/>
      <sheetName val="COBO_Volume_YTD19"/>
      <sheetName val="COBO_NOPBT_YTD19"/>
      <sheetName val="Month_NOPBT_-_Top_1119"/>
      <sheetName val="YTD_NOPBT_-_Top_11_19"/>
      <sheetName val="Top_11_&amp;_29_-_Financial_Summa19"/>
      <sheetName val="Top_11_&amp;_29_-_Volumes19"/>
      <sheetName val="Insurance_Distribution_(2)19"/>
      <sheetName val="Macro_Market_Trends19"/>
      <sheetName val="Monthly_MMBTUs5"/>
      <sheetName val="Pd_MMBTUS5"/>
      <sheetName val="Q2F_Summary20"/>
      <sheetName val="Q2F_Summary_(2)20"/>
      <sheetName val="Summary_Outlook20"/>
      <sheetName val="Summary_(ex_Rev)20"/>
      <sheetName val="PCI_Month20"/>
      <sheetName val="BU_NOPBT_vs__Prior20"/>
      <sheetName val="PCI_YTD_COBO20"/>
      <sheetName val="PCI_YTD20"/>
      <sheetName val="BU_NOPBT_Month_Alone20"/>
      <sheetName val="BU_NOPBT_YTD20"/>
      <sheetName val="JV_Performance20"/>
      <sheetName val="PCI_OFCF_YTD20"/>
      <sheetName val="OFCF_by_BU20"/>
      <sheetName val="YTD_OFCF20"/>
      <sheetName val="Volume_Squeeze_Assessment20"/>
      <sheetName val="Volume__Assessment20"/>
      <sheetName val="Volume_Squeeze_Assessment_(2)20"/>
      <sheetName val="Volume_Squeeze_BU20"/>
      <sheetName val="Volume_Squeeze_-_Quarter20"/>
      <sheetName val="Q_Performance20"/>
      <sheetName val="NOPBT_Squeeze_-_Quarter20"/>
      <sheetName val="Volume_Comments_A20"/>
      <sheetName val="Volume_Comments_B20"/>
      <sheetName val="Key_Country_Month20"/>
      <sheetName val="Key_Country_YTD20"/>
      <sheetName val="OFCF_Squeeze20"/>
      <sheetName val="NOPBT_Squeeze20"/>
      <sheetName val="Key_NOPBT_A20"/>
      <sheetName val="Key_NOPBT_B20"/>
      <sheetName val="Key_Volume_A20"/>
      <sheetName val="Key_Volume_B20"/>
      <sheetName val="Key_OFCF_A20"/>
      <sheetName val="Key_OFCF_B20"/>
      <sheetName val="Volume_YTD20"/>
      <sheetName val="Volume_BOY20"/>
      <sheetName val="Volume_FY20"/>
      <sheetName val="YTD_NOPBT20"/>
      <sheetName val="YTD_Total_NOPBT_20"/>
      <sheetName val="Volume_Total_YTD20"/>
      <sheetName val="Fcst_Summary20"/>
      <sheetName val="LOB_220"/>
      <sheetName val="Volume_FOBO_(2)20"/>
      <sheetName val="Volume_FOBO20"/>
      <sheetName val="YTD_Total_OFCF20"/>
      <sheetName val="YTD_Total_OFCF_Var20"/>
      <sheetName val="FY_NOPBT_Outlook20"/>
      <sheetName val="COBO_Detail20"/>
      <sheetName val="COBO_Volume_YTD20"/>
      <sheetName val="COBO_NOPBT_YTD20"/>
      <sheetName val="Month_NOPBT_-_Top_1120"/>
      <sheetName val="YTD_NOPBT_-_Top_11_20"/>
      <sheetName val="Top_11_&amp;_29_-_Financial_Summa20"/>
      <sheetName val="Top_11_&amp;_29_-_Volumes20"/>
      <sheetName val="Insurance_Distribution_(2)20"/>
      <sheetName val="Macro_Market_Trends20"/>
      <sheetName val="Monthly_MMBTUs6"/>
      <sheetName val="Pd_MMBTUS6"/>
      <sheetName val="Q2F_Summary21"/>
      <sheetName val="Q2F_Summary_(2)21"/>
      <sheetName val="Summary_Outlook21"/>
      <sheetName val="Summary_(ex_Rev)21"/>
      <sheetName val="PCI_Month21"/>
      <sheetName val="BU_NOPBT_vs__Prior21"/>
      <sheetName val="PCI_YTD_COBO21"/>
      <sheetName val="PCI_YTD21"/>
      <sheetName val="BU_NOPBT_Month_Alone21"/>
      <sheetName val="BU_NOPBT_YTD21"/>
      <sheetName val="JV_Performance21"/>
      <sheetName val="PCI_OFCF_YTD21"/>
      <sheetName val="OFCF_by_BU21"/>
      <sheetName val="YTD_OFCF21"/>
      <sheetName val="Volume_Squeeze_Assessment21"/>
      <sheetName val="Volume__Assessment21"/>
      <sheetName val="Volume_Squeeze_Assessment_(2)21"/>
      <sheetName val="Volume_Squeeze_BU21"/>
      <sheetName val="Volume_Squeeze_-_Quarter21"/>
      <sheetName val="Q_Performance21"/>
      <sheetName val="NOPBT_Squeeze_-_Quarter21"/>
      <sheetName val="Volume_Comments_A21"/>
      <sheetName val="Volume_Comments_B21"/>
      <sheetName val="Key_Country_Month21"/>
      <sheetName val="Key_Country_YTD21"/>
      <sheetName val="OFCF_Squeeze21"/>
      <sheetName val="NOPBT_Squeeze21"/>
      <sheetName val="Key_NOPBT_A21"/>
      <sheetName val="Key_NOPBT_B21"/>
      <sheetName val="Key_Volume_A21"/>
      <sheetName val="Key_Volume_B21"/>
      <sheetName val="Key_OFCF_A21"/>
      <sheetName val="Key_OFCF_B21"/>
      <sheetName val="Volume_YTD21"/>
      <sheetName val="Volume_BOY21"/>
      <sheetName val="Volume_FY21"/>
      <sheetName val="YTD_NOPBT21"/>
      <sheetName val="YTD_Total_NOPBT_21"/>
      <sheetName val="Volume_Total_YTD21"/>
      <sheetName val="Fcst_Summary21"/>
      <sheetName val="LOB_221"/>
      <sheetName val="Volume_FOBO_(2)21"/>
      <sheetName val="Volume_FOBO21"/>
      <sheetName val="YTD_Total_OFCF21"/>
      <sheetName val="YTD_Total_OFCF_Var21"/>
      <sheetName val="FY_NOPBT_Outlook21"/>
      <sheetName val="COBO_Detail21"/>
      <sheetName val="COBO_Volume_YTD21"/>
      <sheetName val="COBO_NOPBT_YTD21"/>
      <sheetName val="Month_NOPBT_-_Top_1121"/>
      <sheetName val="YTD_NOPBT_-_Top_11_21"/>
      <sheetName val="Top_11_&amp;_29_-_Financial_Summa21"/>
      <sheetName val="Top_11_&amp;_29_-_Volumes21"/>
      <sheetName val="Insurance_Distribution_(2)21"/>
      <sheetName val="Macro_Market_Trends21"/>
      <sheetName val="Monthly_MMBTUs7"/>
      <sheetName val="Pd_MMBTUS7"/>
      <sheetName val="Q2F_Summary22"/>
      <sheetName val="Q2F_Summary_(2)22"/>
      <sheetName val="Summary_Outlook22"/>
      <sheetName val="Summary_(ex_Rev)22"/>
      <sheetName val="PCI_Month22"/>
      <sheetName val="BU_NOPBT_vs__Prior22"/>
      <sheetName val="PCI_YTD_COBO22"/>
      <sheetName val="PCI_YTD22"/>
      <sheetName val="BU_NOPBT_Month_Alone22"/>
      <sheetName val="BU_NOPBT_YTD22"/>
      <sheetName val="JV_Performance22"/>
      <sheetName val="PCI_OFCF_YTD22"/>
      <sheetName val="OFCF_by_BU22"/>
      <sheetName val="YTD_OFCF22"/>
      <sheetName val="Volume_Squeeze_Assessment22"/>
      <sheetName val="Volume__Assessment22"/>
      <sheetName val="Volume_Squeeze_Assessment_(2)22"/>
      <sheetName val="Volume_Squeeze_BU22"/>
      <sheetName val="Volume_Squeeze_-_Quarter22"/>
      <sheetName val="Q_Performance22"/>
      <sheetName val="NOPBT_Squeeze_-_Quarter22"/>
      <sheetName val="Volume_Comments_A22"/>
      <sheetName val="Volume_Comments_B22"/>
      <sheetName val="Key_Country_Month22"/>
      <sheetName val="Key_Country_YTD22"/>
      <sheetName val="OFCF_Squeeze22"/>
      <sheetName val="NOPBT_Squeeze22"/>
      <sheetName val="Key_NOPBT_A22"/>
      <sheetName val="Key_NOPBT_B22"/>
      <sheetName val="Key_Volume_A22"/>
      <sheetName val="Key_Volume_B22"/>
      <sheetName val="Key_OFCF_A22"/>
      <sheetName val="Key_OFCF_B22"/>
      <sheetName val="Volume_YTD22"/>
      <sheetName val="Volume_BOY22"/>
      <sheetName val="Volume_FY22"/>
      <sheetName val="YTD_NOPBT22"/>
      <sheetName val="YTD_Total_NOPBT_22"/>
      <sheetName val="Volume_Total_YTD22"/>
      <sheetName val="Fcst_Summary22"/>
      <sheetName val="LOB_222"/>
      <sheetName val="Volume_FOBO_(2)22"/>
      <sheetName val="Volume_FOBO22"/>
      <sheetName val="YTD_Total_OFCF22"/>
      <sheetName val="YTD_Total_OFCF_Var22"/>
      <sheetName val="FY_NOPBT_Outlook22"/>
      <sheetName val="COBO_Detail22"/>
      <sheetName val="COBO_Volume_YTD22"/>
      <sheetName val="COBO_NOPBT_YTD22"/>
      <sheetName val="Month_NOPBT_-_Top_1122"/>
      <sheetName val="YTD_NOPBT_-_Top_11_22"/>
      <sheetName val="Top_11_&amp;_29_-_Financial_Summa22"/>
      <sheetName val="Top_11_&amp;_29_-_Volumes22"/>
      <sheetName val="Insurance_Distribution_(2)22"/>
      <sheetName val="Macro_Market_Trends22"/>
      <sheetName val="Q2F_Summary23"/>
      <sheetName val="Q2F_Summary_(2)23"/>
      <sheetName val="Summary_Outlook23"/>
      <sheetName val="Summary_(ex_Rev)23"/>
      <sheetName val="PCI_Month23"/>
      <sheetName val="BU_NOPBT_vs__Prior23"/>
      <sheetName val="PCI_YTD_COBO23"/>
      <sheetName val="PCI_YTD23"/>
      <sheetName val="BU_NOPBT_Month_Alone23"/>
      <sheetName val="BU_NOPBT_YTD23"/>
      <sheetName val="JV_Performance23"/>
      <sheetName val="PCI_OFCF_YTD23"/>
      <sheetName val="OFCF_by_BU23"/>
      <sheetName val="YTD_OFCF23"/>
      <sheetName val="Volume_Squeeze_Assessment23"/>
      <sheetName val="Volume__Assessment23"/>
      <sheetName val="Volume_Squeeze_Assessment_(2)23"/>
      <sheetName val="Volume_Squeeze_BU23"/>
      <sheetName val="Volume_Squeeze_-_Quarter23"/>
      <sheetName val="Q_Performance23"/>
      <sheetName val="NOPBT_Squeeze_-_Quarter23"/>
      <sheetName val="Volume_Comments_A23"/>
      <sheetName val="Volume_Comments_B23"/>
      <sheetName val="Key_Country_Month23"/>
      <sheetName val="Key_Country_YTD23"/>
      <sheetName val="OFCF_Squeeze23"/>
      <sheetName val="NOPBT_Squeeze23"/>
      <sheetName val="Key_NOPBT_A23"/>
      <sheetName val="Key_NOPBT_B23"/>
      <sheetName val="Key_Volume_A23"/>
      <sheetName val="Key_Volume_B23"/>
      <sheetName val="Key_OFCF_A23"/>
      <sheetName val="Key_OFCF_B23"/>
      <sheetName val="Volume_YTD23"/>
      <sheetName val="Volume_BOY23"/>
      <sheetName val="Volume_FY23"/>
      <sheetName val="YTD_NOPBT23"/>
      <sheetName val="YTD_Total_NOPBT_23"/>
      <sheetName val="Volume_Total_YTD23"/>
      <sheetName val="Fcst_Summary23"/>
      <sheetName val="LOB_223"/>
      <sheetName val="Volume_FOBO_(2)23"/>
      <sheetName val="Volume_FOBO23"/>
      <sheetName val="YTD_Total_OFCF23"/>
      <sheetName val="YTD_Total_OFCF_Var23"/>
      <sheetName val="FY_NOPBT_Outlook23"/>
      <sheetName val="COBO_Detail23"/>
      <sheetName val="COBO_Volume_YTD23"/>
      <sheetName val="COBO_NOPBT_YTD23"/>
      <sheetName val="Month_NOPBT_-_Top_1123"/>
      <sheetName val="YTD_NOPBT_-_Top_11_23"/>
      <sheetName val="Top_11_&amp;_29_-_Financial_Summa23"/>
      <sheetName val="Top_11_&amp;_29_-_Volumes23"/>
      <sheetName val="Insurance_Distribution_(2)23"/>
      <sheetName val="Macro_Market_Trends23"/>
      <sheetName val="Monthly_MMBTUs8"/>
      <sheetName val="Pd_MMBTUS8"/>
      <sheetName val="Q2F_Summary24"/>
      <sheetName val="Q2F_Summary_(2)24"/>
      <sheetName val="Summary_Outlook24"/>
      <sheetName val="Summary_(ex_Rev)24"/>
      <sheetName val="PCI_Month24"/>
      <sheetName val="BU_NOPBT_vs__Prior24"/>
      <sheetName val="PCI_YTD_COBO24"/>
      <sheetName val="PCI_YTD24"/>
      <sheetName val="BU_NOPBT_Month_Alone24"/>
      <sheetName val="BU_NOPBT_YTD24"/>
      <sheetName val="JV_Performance24"/>
      <sheetName val="PCI_OFCF_YTD24"/>
      <sheetName val="OFCF_by_BU24"/>
      <sheetName val="YTD_OFCF24"/>
      <sheetName val="Volume_Squeeze_Assessment24"/>
      <sheetName val="Volume__Assessment24"/>
      <sheetName val="Volume_Squeeze_Assessment_(2)24"/>
      <sheetName val="Volume_Squeeze_BU24"/>
      <sheetName val="Volume_Squeeze_-_Quarter24"/>
      <sheetName val="Q_Performance24"/>
      <sheetName val="NOPBT_Squeeze_-_Quarter24"/>
      <sheetName val="Volume_Comments_A24"/>
      <sheetName val="Volume_Comments_B24"/>
      <sheetName val="Key_Country_Month24"/>
      <sheetName val="Key_Country_YTD24"/>
      <sheetName val="OFCF_Squeeze24"/>
      <sheetName val="NOPBT_Squeeze24"/>
      <sheetName val="Key_NOPBT_A24"/>
      <sheetName val="Key_NOPBT_B24"/>
      <sheetName val="Key_Volume_A24"/>
      <sheetName val="Key_Volume_B24"/>
      <sheetName val="Key_OFCF_A24"/>
      <sheetName val="Key_OFCF_B24"/>
      <sheetName val="Volume_YTD24"/>
      <sheetName val="Volume_BOY24"/>
      <sheetName val="Volume_FY24"/>
      <sheetName val="YTD_NOPBT24"/>
      <sheetName val="YTD_Total_NOPBT_24"/>
      <sheetName val="Volume_Total_YTD24"/>
      <sheetName val="Fcst_Summary24"/>
      <sheetName val="LOB_224"/>
      <sheetName val="Volume_FOBO_(2)24"/>
      <sheetName val="Volume_FOBO24"/>
      <sheetName val="YTD_Total_OFCF24"/>
      <sheetName val="YTD_Total_OFCF_Var24"/>
      <sheetName val="FY_NOPBT_Outlook24"/>
      <sheetName val="COBO_Detail24"/>
      <sheetName val="COBO_Volume_YTD24"/>
      <sheetName val="COBO_NOPBT_YTD24"/>
      <sheetName val="Month_NOPBT_-_Top_1124"/>
      <sheetName val="YTD_NOPBT_-_Top_11_24"/>
      <sheetName val="Top_11_&amp;_29_-_Financial_Summa24"/>
      <sheetName val="Top_11_&amp;_29_-_Volumes24"/>
      <sheetName val="Insurance_Distribution_(2)24"/>
      <sheetName val="Macro_Market_Trends24"/>
      <sheetName val="Monthly_MMBTUs9"/>
      <sheetName val="Pd_MMBTUS9"/>
      <sheetName val="Q2F_Summary25"/>
      <sheetName val="Q2F_Summary_(2)25"/>
      <sheetName val="Summary_Outlook25"/>
      <sheetName val="Summary_(ex_Rev)25"/>
      <sheetName val="PCI_Month25"/>
      <sheetName val="BU_NOPBT_vs__Prior25"/>
      <sheetName val="PCI_YTD_COBO25"/>
      <sheetName val="PCI_YTD25"/>
      <sheetName val="BU_NOPBT_Month_Alone25"/>
      <sheetName val="BU_NOPBT_YTD25"/>
      <sheetName val="JV_Performance25"/>
      <sheetName val="PCI_OFCF_YTD25"/>
      <sheetName val="OFCF_by_BU25"/>
      <sheetName val="YTD_OFCF25"/>
      <sheetName val="Volume_Squeeze_Assessment25"/>
      <sheetName val="Volume__Assessment25"/>
      <sheetName val="Volume_Squeeze_Assessment_(2)25"/>
      <sheetName val="Volume_Squeeze_BU25"/>
      <sheetName val="Volume_Squeeze_-_Quarter25"/>
      <sheetName val="Q_Performance25"/>
      <sheetName val="NOPBT_Squeeze_-_Quarter25"/>
      <sheetName val="Volume_Comments_A25"/>
      <sheetName val="Volume_Comments_B25"/>
      <sheetName val="Key_Country_Month25"/>
      <sheetName val="Key_Country_YTD25"/>
      <sheetName val="OFCF_Squeeze25"/>
      <sheetName val="NOPBT_Squeeze25"/>
      <sheetName val="Key_NOPBT_A25"/>
      <sheetName val="Key_NOPBT_B25"/>
      <sheetName val="Key_Volume_A25"/>
      <sheetName val="Key_Volume_B25"/>
      <sheetName val="Key_OFCF_A25"/>
      <sheetName val="Key_OFCF_B25"/>
      <sheetName val="Volume_YTD25"/>
      <sheetName val="Volume_BOY25"/>
      <sheetName val="Volume_FY25"/>
      <sheetName val="YTD_NOPBT25"/>
      <sheetName val="YTD_Total_NOPBT_25"/>
      <sheetName val="Volume_Total_YTD25"/>
      <sheetName val="Fcst_Summary25"/>
      <sheetName val="LOB_225"/>
      <sheetName val="Volume_FOBO_(2)25"/>
      <sheetName val="Volume_FOBO25"/>
      <sheetName val="YTD_Total_OFCF25"/>
      <sheetName val="YTD_Total_OFCF_Var25"/>
      <sheetName val="FY_NOPBT_Outlook25"/>
      <sheetName val="COBO_Detail25"/>
      <sheetName val="COBO_Volume_YTD25"/>
      <sheetName val="COBO_NOPBT_YTD25"/>
      <sheetName val="Month_NOPBT_-_Top_1125"/>
      <sheetName val="YTD_NOPBT_-_Top_11_25"/>
      <sheetName val="Top_11_&amp;_29_-_Financial_Summa25"/>
      <sheetName val="Top_11_&amp;_29_-_Volumes25"/>
      <sheetName val="Insurance_Distribution_(2)25"/>
      <sheetName val="Macro_Market_Trends25"/>
      <sheetName val="Monthly_MMBTUs10"/>
      <sheetName val="Pd_MMBTUS10"/>
      <sheetName val="Q2F_Summary27"/>
      <sheetName val="Q2F_Summary_(2)27"/>
      <sheetName val="Summary_Outlook27"/>
      <sheetName val="Summary_(ex_Rev)27"/>
      <sheetName val="PCI_Month27"/>
      <sheetName val="BU_NOPBT_vs__Prior27"/>
      <sheetName val="PCI_YTD_COBO27"/>
      <sheetName val="PCI_YTD27"/>
      <sheetName val="BU_NOPBT_Month_Alone27"/>
      <sheetName val="BU_NOPBT_YTD27"/>
      <sheetName val="JV_Performance27"/>
      <sheetName val="PCI_OFCF_YTD27"/>
      <sheetName val="OFCF_by_BU27"/>
      <sheetName val="YTD_OFCF27"/>
      <sheetName val="Volume_Squeeze_Assessment27"/>
      <sheetName val="Volume__Assessment27"/>
      <sheetName val="Volume_Squeeze_Assessment_(2)27"/>
      <sheetName val="Volume_Squeeze_BU27"/>
      <sheetName val="Volume_Squeeze_-_Quarter27"/>
      <sheetName val="Q_Performance27"/>
      <sheetName val="NOPBT_Squeeze_-_Quarter27"/>
      <sheetName val="Volume_Comments_A27"/>
      <sheetName val="Volume_Comments_B27"/>
      <sheetName val="Key_Country_Month27"/>
      <sheetName val="Key_Country_YTD27"/>
      <sheetName val="OFCF_Squeeze27"/>
      <sheetName val="NOPBT_Squeeze27"/>
      <sheetName val="Key_NOPBT_A27"/>
      <sheetName val="Key_NOPBT_B27"/>
      <sheetName val="Key_Volume_A27"/>
      <sheetName val="Key_Volume_B27"/>
      <sheetName val="Key_OFCF_A27"/>
      <sheetName val="Key_OFCF_B27"/>
      <sheetName val="Volume_YTD27"/>
      <sheetName val="Volume_BOY27"/>
      <sheetName val="Volume_FY27"/>
      <sheetName val="YTD_NOPBT27"/>
      <sheetName val="YTD_Total_NOPBT_27"/>
      <sheetName val="Volume_Total_YTD27"/>
      <sheetName val="Fcst_Summary27"/>
      <sheetName val="LOB_227"/>
      <sheetName val="Volume_FOBO_(2)27"/>
      <sheetName val="Volume_FOBO27"/>
      <sheetName val="YTD_Total_OFCF27"/>
      <sheetName val="YTD_Total_OFCF_Var27"/>
      <sheetName val="FY_NOPBT_Outlook27"/>
      <sheetName val="COBO_Detail27"/>
      <sheetName val="COBO_Volume_YTD27"/>
      <sheetName val="COBO_NOPBT_YTD27"/>
      <sheetName val="Month_NOPBT_-_Top_1127"/>
      <sheetName val="YTD_NOPBT_-_Top_11_27"/>
      <sheetName val="Top_11_&amp;_29_-_Financial_Summa27"/>
      <sheetName val="Top_11_&amp;_29_-_Volumes27"/>
      <sheetName val="Insurance_Distribution_(2)27"/>
      <sheetName val="Macro_Market_Trends27"/>
      <sheetName val="Monthly_MMBTUs12"/>
      <sheetName val="Pd_MMBTUS12"/>
      <sheetName val="Q2F_Summary28"/>
      <sheetName val="Q2F_Summary_(2)28"/>
      <sheetName val="Summary_Outlook28"/>
      <sheetName val="Summary_(ex_Rev)28"/>
      <sheetName val="PCI_Month28"/>
      <sheetName val="BU_NOPBT_vs__Prior28"/>
      <sheetName val="PCI_YTD_COBO28"/>
      <sheetName val="PCI_YTD28"/>
      <sheetName val="BU_NOPBT_Month_Alone28"/>
      <sheetName val="BU_NOPBT_YTD28"/>
      <sheetName val="JV_Performance28"/>
      <sheetName val="PCI_OFCF_YTD28"/>
      <sheetName val="OFCF_by_BU28"/>
      <sheetName val="YTD_OFCF28"/>
      <sheetName val="Volume_Squeeze_Assessment28"/>
      <sheetName val="Volume__Assessment28"/>
      <sheetName val="Volume_Squeeze_Assessment_(2)28"/>
      <sheetName val="Volume_Squeeze_BU28"/>
      <sheetName val="Volume_Squeeze_-_Quarter28"/>
      <sheetName val="Q_Performance28"/>
      <sheetName val="NOPBT_Squeeze_-_Quarter28"/>
      <sheetName val="Volume_Comments_A28"/>
      <sheetName val="Volume_Comments_B28"/>
      <sheetName val="Key_Country_Month28"/>
      <sheetName val="Key_Country_YTD28"/>
      <sheetName val="OFCF_Squeeze28"/>
      <sheetName val="NOPBT_Squeeze28"/>
      <sheetName val="Key_NOPBT_A28"/>
      <sheetName val="Key_NOPBT_B28"/>
      <sheetName val="Key_Volume_A28"/>
      <sheetName val="Key_Volume_B28"/>
      <sheetName val="Key_OFCF_A28"/>
      <sheetName val="Key_OFCF_B28"/>
      <sheetName val="Volume_YTD28"/>
      <sheetName val="Volume_BOY28"/>
      <sheetName val="Volume_FY28"/>
      <sheetName val="YTD_NOPBT28"/>
      <sheetName val="YTD_Total_NOPBT_28"/>
      <sheetName val="Volume_Total_YTD28"/>
      <sheetName val="Fcst_Summary28"/>
      <sheetName val="LOB_228"/>
      <sheetName val="Volume_FOBO_(2)28"/>
      <sheetName val="Volume_FOBO28"/>
      <sheetName val="YTD_Total_OFCF28"/>
      <sheetName val="YTD_Total_OFCF_Var28"/>
      <sheetName val="FY_NOPBT_Outlook28"/>
      <sheetName val="COBO_Detail28"/>
      <sheetName val="COBO_Volume_YTD28"/>
      <sheetName val="COBO_NOPBT_YTD28"/>
      <sheetName val="Month_NOPBT_-_Top_1128"/>
      <sheetName val="YTD_NOPBT_-_Top_11_28"/>
      <sheetName val="Top_11_&amp;_29_-_Financial_Summa28"/>
      <sheetName val="Top_11_&amp;_29_-_Volumes28"/>
      <sheetName val="Insurance_Distribution_(2)28"/>
      <sheetName val="Macro_Market_Trends28"/>
      <sheetName val="Monthly_MMBTUs13"/>
      <sheetName val="Pd_MMBTUS13"/>
      <sheetName val="Q2F_Summary29"/>
      <sheetName val="Q2F_Summary_(2)29"/>
      <sheetName val="Summary_Outlook29"/>
      <sheetName val="Summary_(ex_Rev)29"/>
      <sheetName val="PCI_Month29"/>
      <sheetName val="BU_NOPBT_vs__Prior29"/>
      <sheetName val="PCI_YTD_COBO29"/>
      <sheetName val="PCI_YTD29"/>
      <sheetName val="BU_NOPBT_Month_Alone29"/>
      <sheetName val="BU_NOPBT_YTD29"/>
      <sheetName val="JV_Performance29"/>
      <sheetName val="PCI_OFCF_YTD29"/>
      <sheetName val="OFCF_by_BU29"/>
      <sheetName val="YTD_OFCF29"/>
      <sheetName val="Volume_Squeeze_Assessment29"/>
      <sheetName val="Volume__Assessment29"/>
      <sheetName val="Volume_Squeeze_Assessment_(2)29"/>
      <sheetName val="Volume_Squeeze_BU29"/>
      <sheetName val="Volume_Squeeze_-_Quarter29"/>
      <sheetName val="Q_Performance29"/>
      <sheetName val="NOPBT_Squeeze_-_Quarter29"/>
      <sheetName val="Volume_Comments_A29"/>
      <sheetName val="Volume_Comments_B29"/>
      <sheetName val="Key_Country_Month29"/>
      <sheetName val="Key_Country_YTD29"/>
      <sheetName val="OFCF_Squeeze29"/>
      <sheetName val="NOPBT_Squeeze29"/>
      <sheetName val="Key_NOPBT_A29"/>
      <sheetName val="Key_NOPBT_B29"/>
      <sheetName val="Key_Volume_A29"/>
      <sheetName val="Key_Volume_B29"/>
      <sheetName val="Key_OFCF_A29"/>
      <sheetName val="Key_OFCF_B29"/>
      <sheetName val="Volume_YTD29"/>
      <sheetName val="Volume_BOY29"/>
      <sheetName val="Volume_FY29"/>
      <sheetName val="YTD_NOPBT29"/>
      <sheetName val="YTD_Total_NOPBT_29"/>
      <sheetName val="Volume_Total_YTD29"/>
      <sheetName val="Fcst_Summary29"/>
      <sheetName val="LOB_229"/>
      <sheetName val="Volume_FOBO_(2)29"/>
      <sheetName val="Volume_FOBO29"/>
      <sheetName val="YTD_Total_OFCF29"/>
      <sheetName val="YTD_Total_OFCF_Var29"/>
      <sheetName val="FY_NOPBT_Outlook29"/>
      <sheetName val="COBO_Detail29"/>
      <sheetName val="COBO_Volume_YTD29"/>
      <sheetName val="COBO_NOPBT_YTD29"/>
      <sheetName val="Month_NOPBT_-_Top_1129"/>
      <sheetName val="YTD_NOPBT_-_Top_11_29"/>
      <sheetName val="Top_11_&amp;_29_-_Financial_Summa29"/>
      <sheetName val="Top_11_&amp;_29_-_Volumes29"/>
      <sheetName val="Insurance_Distribution_(2)29"/>
      <sheetName val="Macro_Market_Trends29"/>
      <sheetName val="Monthly_MMBTUs14"/>
      <sheetName val="Pd_MMBTUS14"/>
      <sheetName val="Sheet2"/>
      <sheetName val="Cover"/>
      <sheetName val="MFAR Data"/>
      <sheetName val="Reference"/>
      <sheetName val="Lookup"/>
      <sheetName val="PLPHIL"/>
      <sheetName val="P&amp;L"/>
      <sheetName val="Table"/>
      <sheetName val="FTM"/>
      <sheetName val="Macro"/>
      <sheetName val=""/>
      <sheetName val="TOTAL P&amp;L ACT"/>
      <sheetName val="Budget04OP"/>
      <sheetName val="ACT_RG1"/>
      <sheetName val="ACT_RG2"/>
      <sheetName val="IC's"/>
      <sheetName val="Q2F_Summary30"/>
      <sheetName val="Q2F_Summary_(2)30"/>
      <sheetName val="Summary_Outlook30"/>
      <sheetName val="Summary_(ex_Rev)30"/>
      <sheetName val="PCI_Month30"/>
      <sheetName val="BU_NOPBT_vs__Prior30"/>
      <sheetName val="PCI_YTD_COBO30"/>
      <sheetName val="PCI_YTD30"/>
      <sheetName val="BU_NOPBT_Month_Alone30"/>
      <sheetName val="BU_NOPBT_YTD30"/>
      <sheetName val="JV_Performance30"/>
      <sheetName val="PCI_OFCF_YTD30"/>
      <sheetName val="OFCF_by_BU30"/>
      <sheetName val="YTD_OFCF30"/>
      <sheetName val="Volume_Squeeze_Assessment30"/>
      <sheetName val="Volume__Assessment30"/>
      <sheetName val="Volume_Squeeze_Assessment_(2)30"/>
      <sheetName val="Volume_Squeeze_BU30"/>
      <sheetName val="Volume_Squeeze_-_Quarter30"/>
      <sheetName val="Q_Performance30"/>
      <sheetName val="NOPBT_Squeeze_-_Quarter30"/>
      <sheetName val="Volume_Comments_A30"/>
      <sheetName val="Volume_Comments_B30"/>
      <sheetName val="Key_Country_Month30"/>
      <sheetName val="Key_Country_YTD30"/>
      <sheetName val="OFCF_Squeeze30"/>
      <sheetName val="NOPBT_Squeeze30"/>
      <sheetName val="Key_NOPBT_A30"/>
      <sheetName val="Key_NOPBT_B30"/>
      <sheetName val="Key_Volume_A30"/>
      <sheetName val="Key_Volume_B30"/>
      <sheetName val="Key_OFCF_A30"/>
      <sheetName val="Key_OFCF_B30"/>
      <sheetName val="Volume_YTD30"/>
      <sheetName val="Volume_BOY30"/>
      <sheetName val="Volume_FY30"/>
      <sheetName val="YTD_NOPBT30"/>
      <sheetName val="YTD_Total_NOPBT_30"/>
      <sheetName val="Volume_Total_YTD30"/>
      <sheetName val="Fcst_Summary30"/>
      <sheetName val="LOB_230"/>
      <sheetName val="Volume_FOBO_(2)30"/>
      <sheetName val="Volume_FOBO30"/>
      <sheetName val="YTD_Total_OFCF30"/>
      <sheetName val="YTD_Total_OFCF_Var30"/>
      <sheetName val="FY_NOPBT_Outlook30"/>
      <sheetName val="COBO_Detail30"/>
      <sheetName val="COBO_Volume_YTD30"/>
      <sheetName val="COBO_NOPBT_YTD30"/>
      <sheetName val="Month_NOPBT_-_Top_1130"/>
      <sheetName val="YTD_NOPBT_-_Top_11_30"/>
      <sheetName val="Top_11_&amp;_29_-_Financial_Summa30"/>
      <sheetName val="Top_11_&amp;_29_-_Volumes30"/>
      <sheetName val="Insurance_Distribution_(2)30"/>
      <sheetName val="Macro_Market_Trends30"/>
      <sheetName val="Monthly_MMBTUs15"/>
      <sheetName val="Pd_MMBTUS15"/>
      <sheetName val="ACT_RG3"/>
      <sheetName val="MFAR_Data"/>
      <sheetName val="TOTAL_P&amp;L_ACT"/>
      <sheetName val="Q2F_Summary31"/>
      <sheetName val="Q2F_Summary_(2)31"/>
      <sheetName val="Summary_Outlook31"/>
      <sheetName val="Summary_(ex_Rev)31"/>
      <sheetName val="PCI_Month31"/>
      <sheetName val="BU_NOPBT_vs__Prior31"/>
      <sheetName val="PCI_YTD_COBO31"/>
      <sheetName val="PCI_YTD31"/>
      <sheetName val="BU_NOPBT_Month_Alone31"/>
      <sheetName val="BU_NOPBT_YTD31"/>
      <sheetName val="JV_Performance31"/>
      <sheetName val="PCI_OFCF_YTD31"/>
      <sheetName val="OFCF_by_BU31"/>
      <sheetName val="YTD_OFCF31"/>
      <sheetName val="Volume_Squeeze_Assessment31"/>
      <sheetName val="Volume__Assessment31"/>
      <sheetName val="Volume_Squeeze_Assessment_(2)31"/>
      <sheetName val="Volume_Squeeze_BU31"/>
      <sheetName val="Volume_Squeeze_-_Quarter31"/>
      <sheetName val="Q_Performance31"/>
      <sheetName val="NOPBT_Squeeze_-_Quarter31"/>
      <sheetName val="Volume_Comments_A31"/>
      <sheetName val="Volume_Comments_B31"/>
      <sheetName val="Key_Country_Month31"/>
      <sheetName val="Key_Country_YTD31"/>
      <sheetName val="OFCF_Squeeze31"/>
      <sheetName val="NOPBT_Squeeze31"/>
      <sheetName val="Key_NOPBT_A31"/>
      <sheetName val="Key_NOPBT_B31"/>
      <sheetName val="Key_Volume_A31"/>
      <sheetName val="Key_Volume_B31"/>
      <sheetName val="Key_OFCF_A31"/>
      <sheetName val="Key_OFCF_B31"/>
      <sheetName val="Volume_YTD31"/>
      <sheetName val="Volume_BOY31"/>
      <sheetName val="Volume_FY31"/>
      <sheetName val="YTD_NOPBT31"/>
      <sheetName val="YTD_Total_NOPBT_31"/>
      <sheetName val="Volume_Total_YTD31"/>
      <sheetName val="Fcst_Summary31"/>
      <sheetName val="LOB_231"/>
      <sheetName val="Volume_FOBO_(2)31"/>
      <sheetName val="Volume_FOBO31"/>
      <sheetName val="YTD_Total_OFCF31"/>
      <sheetName val="YTD_Total_OFCF_Var31"/>
      <sheetName val="FY_NOPBT_Outlook31"/>
      <sheetName val="COBO_Detail31"/>
      <sheetName val="COBO_Volume_YTD31"/>
      <sheetName val="COBO_NOPBT_YTD31"/>
      <sheetName val="Month_NOPBT_-_Top_1131"/>
      <sheetName val="YTD_NOPBT_-_Top_11_31"/>
      <sheetName val="Top_11_&amp;_29_-_Financial_Summa31"/>
      <sheetName val="Top_11_&amp;_29_-_Volumes31"/>
      <sheetName val="Insurance_Distribution_(2)31"/>
      <sheetName val="Macro_Market_Trends31"/>
      <sheetName val="Monthly_MMBTUs16"/>
      <sheetName val="Pd_MMBTUS16"/>
      <sheetName val="ACT_RG4"/>
      <sheetName val="MFAR_Data1"/>
      <sheetName val="TOTAL_P&amp;L_ACT1"/>
      <sheetName val="Q2F_Summary32"/>
      <sheetName val="Q2F_Summary_(2)32"/>
      <sheetName val="Summary_Outlook32"/>
      <sheetName val="Summary_(ex_Rev)32"/>
      <sheetName val="PCI_Month32"/>
      <sheetName val="BU_NOPBT_vs__Prior32"/>
      <sheetName val="PCI_YTD_COBO32"/>
      <sheetName val="PCI_YTD32"/>
      <sheetName val="BU_NOPBT_Month_Alone32"/>
      <sheetName val="BU_NOPBT_YTD32"/>
      <sheetName val="JV_Performance32"/>
      <sheetName val="PCI_OFCF_YTD32"/>
      <sheetName val="OFCF_by_BU32"/>
      <sheetName val="YTD_OFCF32"/>
      <sheetName val="Volume_Squeeze_Assessment32"/>
      <sheetName val="Volume__Assessment32"/>
      <sheetName val="Volume_Squeeze_Assessment_(2)32"/>
      <sheetName val="Volume_Squeeze_BU32"/>
      <sheetName val="Volume_Squeeze_-_Quarter32"/>
      <sheetName val="Q_Performance32"/>
      <sheetName val="NOPBT_Squeeze_-_Quarter32"/>
      <sheetName val="Volume_Comments_A32"/>
      <sheetName val="Volume_Comments_B32"/>
      <sheetName val="Key_Country_Month32"/>
      <sheetName val="Key_Country_YTD32"/>
      <sheetName val="OFCF_Squeeze32"/>
      <sheetName val="NOPBT_Squeeze32"/>
      <sheetName val="Key_NOPBT_A32"/>
      <sheetName val="Key_NOPBT_B32"/>
      <sheetName val="Key_Volume_A32"/>
      <sheetName val="Key_Volume_B32"/>
      <sheetName val="Key_OFCF_A32"/>
      <sheetName val="Key_OFCF_B32"/>
      <sheetName val="Volume_YTD32"/>
      <sheetName val="Volume_BOY32"/>
      <sheetName val="Volume_FY32"/>
      <sheetName val="YTD_NOPBT32"/>
      <sheetName val="YTD_Total_NOPBT_32"/>
      <sheetName val="Volume_Total_YTD32"/>
      <sheetName val="Fcst_Summary32"/>
      <sheetName val="LOB_232"/>
      <sheetName val="Volume_FOBO_(2)32"/>
      <sheetName val="Volume_FOBO32"/>
      <sheetName val="YTD_Total_OFCF32"/>
      <sheetName val="YTD_Total_OFCF_Var32"/>
      <sheetName val="FY_NOPBT_Outlook32"/>
      <sheetName val="COBO_Detail32"/>
      <sheetName val="COBO_Volume_YTD32"/>
      <sheetName val="COBO_NOPBT_YTD32"/>
      <sheetName val="Month_NOPBT_-_Top_1132"/>
      <sheetName val="YTD_NOPBT_-_Top_11_32"/>
      <sheetName val="Top_11_&amp;_29_-_Financial_Summa32"/>
      <sheetName val="Top_11_&amp;_29_-_Volumes32"/>
      <sheetName val="Insurance_Distribution_(2)32"/>
      <sheetName val="Macro_Market_Trends32"/>
      <sheetName val="Monthly_MMBTUs17"/>
      <sheetName val="Pd_MMBTUS17"/>
      <sheetName val="ACT_RG5"/>
      <sheetName val="MFAR_Data2"/>
      <sheetName val="TOTAL_P&amp;L_AC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/>
      <sheetData sheetId="1763"/>
      <sheetData sheetId="1764" refreshError="1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V"/>
      <sheetName val="Index"/>
      <sheetName val="Volume"/>
      <sheetName val="Exec Summary"/>
      <sheetName val="2008 BOY"/>
      <sheetName val=" 2009 Algorithm"/>
      <sheetName val="Key Cluster 09"/>
      <sheetName val="Key Clusters"/>
      <sheetName val="6 Box FY"/>
      <sheetName val="2008 P&amp;L"/>
      <sheetName val="PLan"/>
      <sheetName val="by BU"/>
      <sheetName val="Volume phasing"/>
      <sheetName val="Brands"/>
      <sheetName val="NCB by Country"/>
      <sheetName val="Vol_COC_Month"/>
      <sheetName val="Volume by Segment Beverage"/>
      <sheetName val="Volume Saudi bev"/>
      <sheetName val="Vol Ex Saudi"/>
      <sheetName val="Bev vs. Snk"/>
      <sheetName val="NR COC 08F Vs 09 AOP"/>
      <sheetName val="NR COC"/>
      <sheetName val="NOPBT COC 08F Vs 09AOP"/>
      <sheetName val="NOPBT COC"/>
      <sheetName val="NOPBT Key Ent"/>
      <sheetName val="Gross Margins"/>
      <sheetName val="Opco GP Margins"/>
      <sheetName val="HQ"/>
      <sheetName val="NOPBT Margin"/>
      <sheetName val="Detail P&amp;L"/>
      <sheetName val="Quarterly Phasing"/>
      <sheetName val="NCB P&amp;L"/>
      <sheetName val="STB_AM"/>
      <sheetName val="Capex by entity"/>
      <sheetName val="Capex phasing"/>
      <sheetName val="Opco's"/>
      <sheetName val="OCF"/>
      <sheetName val="4 Square"/>
      <sheetName val="October Vols"/>
      <sheetName val="A&amp;MSTBfor Non Key markets"/>
      <sheetName val="Sheet1"/>
      <sheetName val="MC"/>
      <sheetName val="Input"/>
      <sheetName val="Exec_Summary"/>
      <sheetName val="2008_BOY"/>
      <sheetName val="_2009_Algorithm"/>
      <sheetName val="Key_Cluster_09"/>
      <sheetName val="Key_Clusters"/>
      <sheetName val="6_Box_FY"/>
      <sheetName val="2008_P&amp;L"/>
      <sheetName val="by_BU"/>
      <sheetName val="Volume_phasing"/>
      <sheetName val="NCB_by_Country"/>
      <sheetName val="Volume_by_Segment_Beverage"/>
      <sheetName val="Volume_Saudi_bev"/>
      <sheetName val="Vol_Ex_Saudi"/>
      <sheetName val="Bev_vs__Snk"/>
      <sheetName val="NR_COC_08F_Vs_09_AOP"/>
      <sheetName val="NR_COC"/>
      <sheetName val="NOPBT_COC_08F_Vs_09AOP"/>
      <sheetName val="NOPBT_COC"/>
      <sheetName val="NOPBT_Key_Ent"/>
      <sheetName val="Gross_Margins"/>
      <sheetName val="Opco_GP_Margins"/>
      <sheetName val="NOPBT_Margin"/>
      <sheetName val="Detail_P&amp;L"/>
      <sheetName val="Quarterly_Phasing"/>
      <sheetName val="NCB_P&amp;L"/>
      <sheetName val="Capex_by_entity"/>
      <sheetName val="Capex_phasing"/>
      <sheetName val="4_Square"/>
      <sheetName val="October_Vols"/>
      <sheetName val="A&amp;MSTBfor_Non_Key_markets"/>
      <sheetName val="Exec_Summary1"/>
      <sheetName val="2008_BOY1"/>
      <sheetName val="_2009_Algorithm1"/>
      <sheetName val="Key_Cluster_091"/>
      <sheetName val="Key_Clusters1"/>
      <sheetName val="6_Box_FY1"/>
      <sheetName val="2008_P&amp;L1"/>
      <sheetName val="by_BU1"/>
      <sheetName val="Volume_phasing1"/>
      <sheetName val="NCB_by_Country1"/>
      <sheetName val="Volume_by_Segment_Beverage1"/>
      <sheetName val="Volume_Saudi_bev1"/>
      <sheetName val="Vol_Ex_Saudi1"/>
      <sheetName val="Bev_vs__Snk1"/>
      <sheetName val="NR_COC_08F_Vs_09_AOP1"/>
      <sheetName val="NR_COC1"/>
      <sheetName val="NOPBT_COC_08F_Vs_09AOP1"/>
      <sheetName val="NOPBT_COC1"/>
      <sheetName val="NOPBT_Key_Ent1"/>
      <sheetName val="Gross_Margins1"/>
      <sheetName val="Opco_GP_Margins1"/>
      <sheetName val="NOPBT_Margin1"/>
      <sheetName val="Detail_P&amp;L1"/>
      <sheetName val="Quarterly_Phasing1"/>
      <sheetName val="NCB_P&amp;L1"/>
      <sheetName val="Capex_by_entity1"/>
      <sheetName val="Capex_phasing1"/>
      <sheetName val="4_Square1"/>
      <sheetName val="October_Vols1"/>
      <sheetName val="A&amp;MSTBfor_Non_Key_markets1"/>
      <sheetName val="Exec_Summary2"/>
      <sheetName val="2008_BOY2"/>
      <sheetName val="_2009_Algorithm2"/>
      <sheetName val="Key_Cluster_092"/>
      <sheetName val="Key_Clusters2"/>
      <sheetName val="6_Box_FY2"/>
      <sheetName val="2008_P&amp;L2"/>
      <sheetName val="by_BU2"/>
      <sheetName val="Volume_phasing2"/>
      <sheetName val="NCB_by_Country2"/>
      <sheetName val="Volume_by_Segment_Beverage2"/>
      <sheetName val="Volume_Saudi_bev2"/>
      <sheetName val="Vol_Ex_Saudi2"/>
      <sheetName val="Bev_vs__Snk2"/>
      <sheetName val="NR_COC_08F_Vs_09_AOP2"/>
      <sheetName val="NR_COC2"/>
      <sheetName val="NOPBT_COC_08F_Vs_09AOP2"/>
      <sheetName val="NOPBT_COC2"/>
      <sheetName val="NOPBT_Key_Ent2"/>
      <sheetName val="Gross_Margins2"/>
      <sheetName val="Opco_GP_Margins2"/>
      <sheetName val="NOPBT_Margin2"/>
      <sheetName val="Detail_P&amp;L2"/>
      <sheetName val="Quarterly_Phasing2"/>
      <sheetName val="NCB_P&amp;L2"/>
      <sheetName val="Capex_by_entity2"/>
      <sheetName val="Capex_phasing2"/>
      <sheetName val="4_Square2"/>
      <sheetName val="October_Vols2"/>
      <sheetName val="A&amp;MSTBfor_Non_Key_market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V"/>
      <sheetName val="Index"/>
      <sheetName val="Volume"/>
      <sheetName val="Exec Summary"/>
      <sheetName val="2007 BOY"/>
      <sheetName val=" 2008 Algorithm"/>
      <sheetName val="Key Clusters"/>
      <sheetName val="by BU"/>
      <sheetName val="Volume phasing"/>
      <sheetName val="Volume by Segment Beverage"/>
      <sheetName val="Volume Saudi bev"/>
      <sheetName val="Vol Ex Saudi"/>
      <sheetName val="Bev Categories"/>
      <sheetName val="Bev vs. Snk"/>
      <sheetName val="NR COC"/>
      <sheetName val="NOPBT COC"/>
      <sheetName val="NOPBT Key Ent"/>
      <sheetName val="Opco GP Margins"/>
      <sheetName val="HQ"/>
      <sheetName val="NOPBT Margin"/>
      <sheetName val="Detail P&amp;L"/>
      <sheetName val="Quarterly Phasing"/>
      <sheetName val="NCB P&amp;L"/>
      <sheetName val="STB_AM"/>
      <sheetName val="Capex by entity"/>
      <sheetName val="Capex phasing"/>
      <sheetName val="Opco's"/>
      <sheetName val="OCF"/>
      <sheetName val="4 Square"/>
      <sheetName val="Exec_Summary"/>
      <sheetName val="2007_BOY"/>
      <sheetName val="_2008_Algorithm"/>
      <sheetName val="Key_Clusters"/>
      <sheetName val="by_BU"/>
      <sheetName val="Volume_phasing"/>
      <sheetName val="Volume_by_Segment_Beverage"/>
      <sheetName val="Volume_Saudi_bev"/>
      <sheetName val="Vol_Ex_Saudi"/>
      <sheetName val="Bev_Categories"/>
      <sheetName val="Bev_vs__Snk"/>
      <sheetName val="NR_COC"/>
      <sheetName val="NOPBT_COC"/>
      <sheetName val="NOPBT_Key_Ent"/>
      <sheetName val="Opco_GP_Margins"/>
      <sheetName val="NOPBT_Margin"/>
      <sheetName val="Detail_P&amp;L"/>
      <sheetName val="Quarterly_Phasing"/>
      <sheetName val="NCB_P&amp;L"/>
      <sheetName val="Capex_by_entity"/>
      <sheetName val="Capex_phasing"/>
      <sheetName val="4_Square"/>
      <sheetName val="Exec_Summary1"/>
      <sheetName val="2007_BOY1"/>
      <sheetName val="_2008_Algorithm1"/>
      <sheetName val="Key_Clusters1"/>
      <sheetName val="by_BU1"/>
      <sheetName val="Volume_phasing1"/>
      <sheetName val="Volume_by_Segment_Beverage1"/>
      <sheetName val="Volume_Saudi_bev1"/>
      <sheetName val="Vol_Ex_Saudi1"/>
      <sheetName val="Bev_Categories1"/>
      <sheetName val="Bev_vs__Snk1"/>
      <sheetName val="NR_COC1"/>
      <sheetName val="NOPBT_COC1"/>
      <sheetName val="NOPBT_Key_Ent1"/>
      <sheetName val="Opco_GP_Margins1"/>
      <sheetName val="NOPBT_Margin1"/>
      <sheetName val="Detail_P&amp;L1"/>
      <sheetName val="Quarterly_Phasing1"/>
      <sheetName val="NCB_P&amp;L1"/>
      <sheetName val="Capex_by_entity1"/>
      <sheetName val="Capex_phasing1"/>
      <sheetName val="4_Square1"/>
      <sheetName val="Exec_Summary2"/>
      <sheetName val="2007_BOY2"/>
      <sheetName val="_2008_Algorithm2"/>
      <sheetName val="Key_Clusters2"/>
      <sheetName val="by_BU2"/>
      <sheetName val="Volume_phasing2"/>
      <sheetName val="Volume_by_Segment_Beverage2"/>
      <sheetName val="Volume_Saudi_bev2"/>
      <sheetName val="Vol_Ex_Saudi2"/>
      <sheetName val="Bev_Categories2"/>
      <sheetName val="Bev_vs__Snk2"/>
      <sheetName val="NR_COC2"/>
      <sheetName val="NOPBT_COC2"/>
      <sheetName val="NOPBT_Key_Ent2"/>
      <sheetName val="Opco_GP_Margins2"/>
      <sheetName val="NOPBT_Margin2"/>
      <sheetName val="Detail_P&amp;L2"/>
      <sheetName val="Quarterly_Phasing2"/>
      <sheetName val="NCB_P&amp;L2"/>
      <sheetName val="Capex_by_entity2"/>
      <sheetName val="Capex_phasing2"/>
      <sheetName val="4_Squar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TFM FLNA QTD"/>
      <sheetName val="BFY FLNA QTD"/>
      <sheetName val="PLTFM FLNA YTD"/>
      <sheetName val="BFY FLNA YTD"/>
      <sheetName val="Q Comments"/>
      <sheetName val="YTD Comments"/>
      <sheetName val="BFY FLUS YTD"/>
      <sheetName val="PLTFM FLUS YTD"/>
      <sheetName val="FLUS Data"/>
      <sheetName val="BFY List"/>
      <sheetName val="YTD-HFL"/>
      <sheetName val="QTD-HFL"/>
      <sheetName val="YTD-QSUS"/>
      <sheetName val="QTD-QSUS"/>
      <sheetName val="YTD-QSCDN"/>
      <sheetName val="QTD Plan"/>
      <sheetName val="PRIOR Q YTD BFY"/>
      <sheetName val="PRIOR Q YTD PLTFM"/>
      <sheetName val="Lists"/>
      <sheetName val="PLTFM_FLNA_QTD"/>
      <sheetName val="BFY_FLNA_QTD"/>
      <sheetName val="PLTFM_FLNA_YTD"/>
      <sheetName val="BFY_FLNA_YTD"/>
      <sheetName val="Q_Comments"/>
      <sheetName val="YTD_Comments"/>
      <sheetName val="BFY_FLUS_YTD"/>
      <sheetName val="PLTFM_FLUS_YTD"/>
      <sheetName val="FLUS_Data"/>
      <sheetName val="BFY_List"/>
      <sheetName val="QTD_Plan"/>
      <sheetName val="PRIOR_Q_YTD_BFY"/>
      <sheetName val="PRIOR_Q_YTD_PLTFM"/>
      <sheetName val="FLNA Consol BFY &amp; Platform DESK"/>
      <sheetName val="A&amp;M Feb-Apr Details"/>
      <sheetName val="OCF Change"/>
      <sheetName val="PLTFM_FLNA_QTD1"/>
      <sheetName val="BFY_FLNA_QTD1"/>
      <sheetName val="PLTFM_FLNA_YTD1"/>
      <sheetName val="BFY_FLNA_YTD1"/>
      <sheetName val="Q_Comments1"/>
      <sheetName val="YTD_Comments1"/>
      <sheetName val="BFY_FLUS_YTD1"/>
      <sheetName val="PLTFM_FLUS_YTD1"/>
      <sheetName val="FLUS_Data1"/>
      <sheetName val="BFY_List1"/>
      <sheetName val="QTD_Plan1"/>
      <sheetName val="PRIOR_Q_YTD_BFY1"/>
      <sheetName val="PRIOR_Q_YTD_PLTFM1"/>
      <sheetName val="FLNA_Consol_BFY_&amp;_Platform_DESK"/>
      <sheetName val="A&amp;M_Feb-Apr_Details"/>
      <sheetName val="OCF_Change"/>
      <sheetName val="PLTFM_FLNA_QTD2"/>
      <sheetName val="BFY_FLNA_QTD2"/>
      <sheetName val="PLTFM_FLNA_YTD2"/>
      <sheetName val="BFY_FLNA_YTD2"/>
      <sheetName val="Q_Comments2"/>
      <sheetName val="YTD_Comments2"/>
      <sheetName val="BFY_FLUS_YTD2"/>
      <sheetName val="PLTFM_FLUS_YTD2"/>
      <sheetName val="FLUS_Data2"/>
      <sheetName val="BFY_List2"/>
      <sheetName val="QTD_Plan2"/>
      <sheetName val="PRIOR_Q_YTD_BFY2"/>
      <sheetName val="PRIOR_Q_YTD_PLTFM2"/>
      <sheetName val="FLNA_Consol_BFY_&amp;_Platform_DES1"/>
      <sheetName val="A&amp;M_Feb-Apr_Details1"/>
      <sheetName val="OCF_Change1"/>
      <sheetName val="PLTFM_FLNA_QTD3"/>
      <sheetName val="BFY_FLNA_QTD3"/>
      <sheetName val="PLTFM_FLNA_YTD3"/>
      <sheetName val="BFY_FLNA_YTD3"/>
      <sheetName val="Q_Comments3"/>
      <sheetName val="YTD_Comments3"/>
      <sheetName val="BFY_FLUS_YTD3"/>
      <sheetName val="PLTFM_FLUS_YTD3"/>
      <sheetName val="FLUS_Data3"/>
      <sheetName val="BFY_List3"/>
      <sheetName val="QTD_Plan3"/>
      <sheetName val="PRIOR_Q_YTD_BFY3"/>
      <sheetName val="PRIOR_Q_YTD_PLTFM3"/>
      <sheetName val="FLNA_Consol_BFY_&amp;_Platform_DES2"/>
      <sheetName val="A&amp;M_Feb-Apr_Details2"/>
      <sheetName val="OCF_Chang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 Up &amp; Instructions"/>
      <sheetName val="INPUT RATES "/>
      <sheetName val="US PEP rates"/>
      <sheetName val="SUMMARY"/>
      <sheetName val="Hyperion Load Year1"/>
      <sheetName val="Hyperion Load Year 2"/>
      <sheetName val="Hyperion Load Year 3"/>
      <sheetName val="Hyperion Load Year 4-10"/>
      <sheetName val="Validations(hide)"/>
      <sheetName val="STAFFING DATA"/>
      <sheetName val="T&amp;E"/>
      <sheetName val="SOFTWARE"/>
      <sheetName val="HARDWARE"/>
      <sheetName val="OTHER COSTS"/>
      <sheetName val="CONTINGENCY"/>
      <sheetName val="AMORTIZATION"/>
      <sheetName val="CAPITALIZED INT "/>
      <sheetName val="SUSTAIN FACTORY"/>
      <sheetName val="BENEFITS"/>
      <sheetName val="CREDIT STATS"/>
      <sheetName val="YTD-HFL"/>
      <sheetName val="FLUS Data"/>
      <sheetName val="YTD-QSCDN"/>
      <sheetName val="YTD-QSUS"/>
      <sheetName val="X rate"/>
      <sheetName val="Holiday-Sep"/>
      <sheetName val="Set_Up_&amp;_Instructions"/>
      <sheetName val="INPUT_RATES_"/>
      <sheetName val="US_PEP_rates"/>
      <sheetName val="Hyperion_Load_Year1"/>
      <sheetName val="Hyperion_Load_Year_2"/>
      <sheetName val="Hyperion_Load_Year_3"/>
      <sheetName val="Hyperion_Load_Year_4-10"/>
      <sheetName val="STAFFING_DATA"/>
      <sheetName val="OTHER_COSTS"/>
      <sheetName val="CAPITALIZED_INT_"/>
      <sheetName val="SUSTAIN_FACTORY"/>
      <sheetName val="CREDIT_STATS"/>
      <sheetName val="FLUS_Data"/>
      <sheetName val="X_rate"/>
      <sheetName val="Set_Up_&amp;_Instructions1"/>
      <sheetName val="INPUT_RATES_1"/>
      <sheetName val="US_PEP_rates1"/>
      <sheetName val="Hyperion_Load_Year11"/>
      <sheetName val="Hyperion_Load_Year_21"/>
      <sheetName val="Hyperion_Load_Year_31"/>
      <sheetName val="Hyperion_Load_Year_4-101"/>
      <sheetName val="STAFFING_DATA1"/>
      <sheetName val="OTHER_COSTS1"/>
      <sheetName val="CAPITALIZED_INT_1"/>
      <sheetName val="SUSTAIN_FACTORY1"/>
      <sheetName val="CREDIT_STATS1"/>
      <sheetName val="FLUS_Data1"/>
      <sheetName val="X_rate1"/>
      <sheetName val="Set_Up_&amp;_Instructions2"/>
      <sheetName val="INPUT_RATES_2"/>
      <sheetName val="US_PEP_rates2"/>
      <sheetName val="Hyperion_Load_Year12"/>
      <sheetName val="Hyperion_Load_Year_22"/>
      <sheetName val="Hyperion_Load_Year_32"/>
      <sheetName val="Hyperion_Load_Year_4-102"/>
      <sheetName val="STAFFING_DATA2"/>
      <sheetName val="OTHER_COSTS2"/>
      <sheetName val="CAPITALIZED_INT_2"/>
      <sheetName val="SUSTAIN_FACTORY2"/>
      <sheetName val="CREDIT_STATS2"/>
      <sheetName val="FLUS_Data2"/>
      <sheetName val="X_rate2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Standard Report Input Sheet"/>
      <sheetName val="Input"/>
      <sheetName val="Entities"/>
      <sheetName val="Cover"/>
      <sheetName val="CUSTOMER STRATEGIES"/>
      <sheetName val="CustOrg"/>
      <sheetName val="VOLUME-SHARE PLAN"/>
      <sheetName val="Input_Sheet"/>
      <sheetName val="Standard_Report_Input_Sheet"/>
      <sheetName val="CUSTOMER_STRATEGIES"/>
      <sheetName val="VOLUME-SHARE_PLAN"/>
      <sheetName val="Input_Sheet1"/>
      <sheetName val="Standard_Report_Input_Sheet1"/>
      <sheetName val="CUSTOMER_STRATEGIES1"/>
      <sheetName val="VOLUME-SHARE_PLAN1"/>
      <sheetName val="Input_Sheet2"/>
      <sheetName val="Standard_Report_Input_Sheet2"/>
      <sheetName val="CUSTOMER_STRATEGIES2"/>
      <sheetName val="VOLUME-SHARE_PLA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  <sheetName val="ENTITIES"/>
      <sheetName val="LRB-DATA US"/>
      <sheetName val="LRB-CSD-DATA US"/>
      <sheetName val="LRB-NCB-DATA US"/>
      <sheetName val="LRB-GAT-DATA US"/>
      <sheetName val="LRB-TROP-DATA US"/>
      <sheetName val="NOLA-DATA US"/>
      <sheetName val="SOLA-DATA US"/>
      <sheetName val="MEXICO-DATA US"/>
      <sheetName val="MEXICO_CSD"/>
      <sheetName val="MEXICO_NCB"/>
      <sheetName val="MEXICO_TROP"/>
      <sheetName val="MEXICO_GAT"/>
      <sheetName val="Highlights"/>
      <sheetName val="QOA"/>
      <sheetName val="NOPBTxCountry(Period)"/>
      <sheetName val="NOPBTxCountry(YTD)"/>
      <sheetName val="VOLbyBUS"/>
      <sheetName val="VOLbyREG"/>
      <sheetName val="VOL_REGION"/>
      <sheetName val="VOLbyBrand"/>
      <sheetName val="VOL_TOP10"/>
      <sheetName val="Innovation"/>
      <sheetName val="Period P&amp;L"/>
      <sheetName val="CAPEX-OCF"/>
      <sheetName val="Qtr Outlook"/>
      <sheetName val="BOY FCST"/>
      <sheetName val="Marketing Calendar"/>
      <sheetName val="Instructions"/>
      <sheetName val="LRB-DATA_US"/>
      <sheetName val="LRB-CSD-DATA_US"/>
      <sheetName val="LRB-NCB-DATA_US"/>
      <sheetName val="LRB-GAT-DATA_US"/>
      <sheetName val="LRB-TROP-DATA_US"/>
      <sheetName val="NOLA-DATA_US"/>
      <sheetName val="SOLA-DATA_US"/>
      <sheetName val="MEXICO-DATA_US"/>
      <sheetName val="Period_P&amp;L"/>
      <sheetName val="Qtr_Outlook"/>
      <sheetName val="BOY_FCST"/>
      <sheetName val="Marketing_Calendar"/>
      <sheetName val="LRB-DATA_US1"/>
      <sheetName val="LRB-CSD-DATA_US1"/>
      <sheetName val="LRB-NCB-DATA_US1"/>
      <sheetName val="LRB-GAT-DATA_US1"/>
      <sheetName val="LRB-TROP-DATA_US1"/>
      <sheetName val="NOLA-DATA_US1"/>
      <sheetName val="SOLA-DATA_US1"/>
      <sheetName val="MEXICO-DATA_US1"/>
      <sheetName val="Period_P&amp;L1"/>
      <sheetName val="Qtr_Outlook1"/>
      <sheetName val="BOY_FCST1"/>
      <sheetName val="Marketing_Calendar1"/>
      <sheetName val="LRB-DATA_US2"/>
      <sheetName val="LRB-CSD-DATA_US2"/>
      <sheetName val="LRB-NCB-DATA_US2"/>
      <sheetName val="LRB-GAT-DATA_US2"/>
      <sheetName val="LRB-TROP-DATA_US2"/>
      <sheetName val="NOLA-DATA_US2"/>
      <sheetName val="SOLA-DATA_US2"/>
      <sheetName val="MEXICO-DATA_US2"/>
      <sheetName val="Period_P&amp;L2"/>
      <sheetName val="Qtr_Outlook2"/>
      <sheetName val="BOY_FCST2"/>
      <sheetName val="Marketing_Calendar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Front Page and References"/>
      <sheetName val="Packaging Requirements"/>
      <sheetName val="Product Requirements"/>
      <sheetName val="Environmental Data"/>
      <sheetName val="Electrical Requirements"/>
      <sheetName val="Electrical Requirements RFQ"/>
      <sheetName val="Mechanical Requirements"/>
      <sheetName val="Mechanical Requirements RFQ"/>
      <sheetName val="Line"/>
      <sheetName val="Equipment Speed"/>
      <sheetName val="Blow Molder"/>
      <sheetName val="Blow Molder RFQ"/>
      <sheetName val="Bottle Storage Silo"/>
      <sheetName val="Bottle Storage Silo RFQ"/>
      <sheetName val="Bottle Unscrambler"/>
      <sheetName val="Bottle Unscrambler RFQ"/>
      <sheetName val="Bulk Bottle Depalletiser"/>
      <sheetName val="Bulk Bottle Depalletiser RFQ"/>
      <sheetName val="Glass Tempering System"/>
      <sheetName val="Glass Tempering System RFQ"/>
      <sheetName val="Bottle Rinser"/>
      <sheetName val="Bottle Rinser RFQ"/>
      <sheetName val="Filler"/>
      <sheetName val="Filler RFQ"/>
      <sheetName val="PL Capper"/>
      <sheetName val="PL Capper RFQ"/>
      <sheetName val="Lug Capper"/>
      <sheetName val="Lug Capper RFQ"/>
      <sheetName val="Bulk Cap Feeding System"/>
      <sheetName val="Bulk Cap Feeding System RFQ"/>
      <sheetName val="Bulk Lug Feeding System"/>
      <sheetName val="Bulk Lug Feeding System RFQ"/>
      <sheetName val="Thermal Processing Skid"/>
      <sheetName val="Thermal Processing Skid RFQ"/>
      <sheetName val="CIP Skid"/>
      <sheetName val="CIP Skid RFQ"/>
      <sheetName val="Elect Fill Level Inspector"/>
      <sheetName val="Elect Fill Level Inspector RFQ"/>
      <sheetName val="Bottle Coder"/>
      <sheetName val="Bottle Coder RFQ"/>
      <sheetName val="Bottle Inverter"/>
      <sheetName val="Bottle Inverter RFQ"/>
      <sheetName val="Metal Detector"/>
      <sheetName val="Metal Detector RFQ"/>
      <sheetName val="Bottle Cooler"/>
      <sheetName val="Bottle Cooler RFQ"/>
      <sheetName val="Labeller"/>
      <sheetName val="Labeller RFQ"/>
      <sheetName val="Labeller Mag"/>
      <sheetName val="Labeller Mag RFQ"/>
      <sheetName val="Dud Detector"/>
      <sheetName val="Dud Detector RFQ"/>
      <sheetName val="Fill Level Inspector#2"/>
      <sheetName val="Fill Level Inspector#2 RFQ"/>
      <sheetName val="Multi-Packer"/>
      <sheetName val="Multi-Packer RFQ"/>
      <sheetName val="Handle Applicator"/>
      <sheetName val="Handle Applicator RFQ"/>
      <sheetName val="Packer- Shrink Wrapper"/>
      <sheetName val="Packer- Shrink Wrapper RFQ"/>
      <sheetName val="Carton Former Packer Sealer"/>
      <sheetName val="Carton Former Packer Sealer RFQ"/>
      <sheetName val="Pack Coder"/>
      <sheetName val="Pack Coder RFQ"/>
      <sheetName val="Pack Labeller"/>
      <sheetName val="Pack Labeller RFQ"/>
      <sheetName val="Pack Palletiser"/>
      <sheetName val="Pack Palletiser RFQ"/>
      <sheetName val="Pack Pallet Stretchwrapper"/>
      <sheetName val="Pack Pallet Stretchwrapper RFQ"/>
      <sheetName val="Pallet Labeller"/>
      <sheetName val="Pallet Labeller RFQ"/>
      <sheetName val="Air Conveyor System"/>
      <sheetName val="Air Conveyor System RFQ"/>
      <sheetName val="Bottle Conveyor System"/>
      <sheetName val="Bottle Conveyor System RFQ"/>
      <sheetName val="Pack Conveyor System"/>
      <sheetName val="Pack Conveyor System RFQ"/>
      <sheetName val="Equipment Performance Standards"/>
      <sheetName val="Red_Dye_Test"/>
      <sheetName val="Pricing Summary Schedule"/>
      <sheetName val="Utility Summary Schedule"/>
      <sheetName val="Title_Page"/>
      <sheetName val="Front_Page_and_References"/>
      <sheetName val="Packaging_Requirements"/>
      <sheetName val="Product_Requirements"/>
      <sheetName val="Environmental_Data"/>
      <sheetName val="Electrical_Requirements"/>
      <sheetName val="Electrical_Requirements_RFQ"/>
      <sheetName val="Mechanical_Requirements"/>
      <sheetName val="Mechanical_Requirements_RFQ"/>
      <sheetName val="Equipment_Speed"/>
      <sheetName val="Blow_Molder"/>
      <sheetName val="Blow_Molder_RFQ"/>
      <sheetName val="Bottle_Storage_Silo"/>
      <sheetName val="Bottle_Storage_Silo_RFQ"/>
      <sheetName val="Bottle_Unscrambler"/>
      <sheetName val="Bottle_Unscrambler_RFQ"/>
      <sheetName val="Bulk_Bottle_Depalletiser"/>
      <sheetName val="Bulk_Bottle_Depalletiser_RFQ"/>
      <sheetName val="Glass_Tempering_System"/>
      <sheetName val="Glass_Tempering_System_RFQ"/>
      <sheetName val="Bottle_Rinser"/>
      <sheetName val="Bottle_Rinser_RFQ"/>
      <sheetName val="Filler_RFQ"/>
      <sheetName val="PL_Capper"/>
      <sheetName val="PL_Capper_RFQ"/>
      <sheetName val="Lug_Capper"/>
      <sheetName val="Lug_Capper_RFQ"/>
      <sheetName val="Bulk_Cap_Feeding_System"/>
      <sheetName val="Bulk_Cap_Feeding_System_RFQ"/>
      <sheetName val="Bulk_Lug_Feeding_System"/>
      <sheetName val="Bulk_Lug_Feeding_System_RFQ"/>
      <sheetName val="Thermal_Processing_Skid"/>
      <sheetName val="Thermal_Processing_Skid_RFQ"/>
      <sheetName val="CIP_Skid"/>
      <sheetName val="CIP_Skid_RFQ"/>
      <sheetName val="Elect_Fill_Level_Inspector"/>
      <sheetName val="Elect_Fill_Level_Inspector_RFQ"/>
      <sheetName val="Bottle_Coder"/>
      <sheetName val="Bottle_Coder_RFQ"/>
      <sheetName val="Bottle_Inverter"/>
      <sheetName val="Bottle_Inverter_RFQ"/>
      <sheetName val="Metal_Detector"/>
      <sheetName val="Metal_Detector_RFQ"/>
      <sheetName val="Bottle_Cooler"/>
      <sheetName val="Bottle_Cooler_RFQ"/>
      <sheetName val="Labeller_RFQ"/>
      <sheetName val="Labeller_Mag"/>
      <sheetName val="Labeller_Mag_RFQ"/>
      <sheetName val="Dud_Detector"/>
      <sheetName val="Dud_Detector_RFQ"/>
      <sheetName val="Fill_Level_Inspector#2"/>
      <sheetName val="Fill_Level_Inspector#2_RFQ"/>
      <sheetName val="Multi-Packer_RFQ"/>
      <sheetName val="Handle_Applicator"/>
      <sheetName val="Handle_Applicator_RFQ"/>
      <sheetName val="Packer-_Shrink_Wrapper"/>
      <sheetName val="Packer-_Shrink_Wrapper_RFQ"/>
      <sheetName val="Carton_Former_Packer_Sealer"/>
      <sheetName val="Carton_Former_Packer_Sealer_RFQ"/>
      <sheetName val="Pack_Coder"/>
      <sheetName val="Pack_Coder_RFQ"/>
      <sheetName val="Pack_Labeller"/>
      <sheetName val="Pack_Labeller_RFQ"/>
      <sheetName val="Pack_Palletiser"/>
      <sheetName val="Pack_Palletiser_RFQ"/>
      <sheetName val="Pack_Pallet_Stretchwrapper"/>
      <sheetName val="Pack_Pallet_Stretchwrapper_RFQ"/>
      <sheetName val="Pallet_Labeller"/>
      <sheetName val="Pallet_Labeller_RFQ"/>
      <sheetName val="Air_Conveyor_System"/>
      <sheetName val="Air_Conveyor_System_RFQ"/>
      <sheetName val="Bottle_Conveyor_System"/>
      <sheetName val="Bottle_Conveyor_System_RFQ"/>
      <sheetName val="Pack_Conveyor_System"/>
      <sheetName val="Pack_Conveyor_System_RFQ"/>
      <sheetName val="Equipment_Performance_Standards"/>
      <sheetName val="Pricing_Summary_Schedule"/>
      <sheetName val="Utility_Summary_Schedule"/>
      <sheetName val="Title_Page1"/>
      <sheetName val="Front_Page_and_References1"/>
      <sheetName val="Packaging_Requirements1"/>
      <sheetName val="Product_Requirements1"/>
      <sheetName val="Environmental_Data1"/>
      <sheetName val="Electrical_Requirements1"/>
      <sheetName val="Electrical_Requirements_RFQ1"/>
      <sheetName val="Mechanical_Requirements1"/>
      <sheetName val="Mechanical_Requirements_RFQ1"/>
      <sheetName val="Equipment_Speed1"/>
      <sheetName val="Blow_Molder1"/>
      <sheetName val="Blow_Molder_RFQ1"/>
      <sheetName val="Bottle_Storage_Silo1"/>
      <sheetName val="Bottle_Storage_Silo_RFQ1"/>
      <sheetName val="Bottle_Unscrambler1"/>
      <sheetName val="Bottle_Unscrambler_RFQ1"/>
      <sheetName val="Bulk_Bottle_Depalletiser1"/>
      <sheetName val="Bulk_Bottle_Depalletiser_RFQ1"/>
      <sheetName val="Glass_Tempering_System1"/>
      <sheetName val="Glass_Tempering_System_RFQ1"/>
      <sheetName val="Bottle_Rinser1"/>
      <sheetName val="Bottle_Rinser_RFQ1"/>
      <sheetName val="Filler_RFQ1"/>
      <sheetName val="PL_Capper1"/>
      <sheetName val="PL_Capper_RFQ1"/>
      <sheetName val="Lug_Capper1"/>
      <sheetName val="Lug_Capper_RFQ1"/>
      <sheetName val="Bulk_Cap_Feeding_System1"/>
      <sheetName val="Bulk_Cap_Feeding_System_RFQ1"/>
      <sheetName val="Bulk_Lug_Feeding_System1"/>
      <sheetName val="Bulk_Lug_Feeding_System_RFQ1"/>
      <sheetName val="Thermal_Processing_Skid1"/>
      <sheetName val="Thermal_Processing_Skid_RFQ1"/>
      <sheetName val="CIP_Skid1"/>
      <sheetName val="CIP_Skid_RFQ1"/>
      <sheetName val="Elect_Fill_Level_Inspector1"/>
      <sheetName val="Elect_Fill_Level_Inspector_RFQ1"/>
      <sheetName val="Bottle_Coder1"/>
      <sheetName val="Bottle_Coder_RFQ1"/>
      <sheetName val="Bottle_Inverter1"/>
      <sheetName val="Bottle_Inverter_RFQ1"/>
      <sheetName val="Metal_Detector1"/>
      <sheetName val="Metal_Detector_RFQ1"/>
      <sheetName val="Bottle_Cooler1"/>
      <sheetName val="Bottle_Cooler_RFQ1"/>
      <sheetName val="Labeller_RFQ1"/>
      <sheetName val="Labeller_Mag1"/>
      <sheetName val="Labeller_Mag_RFQ1"/>
      <sheetName val="Dud_Detector1"/>
      <sheetName val="Dud_Detector_RFQ1"/>
      <sheetName val="Fill_Level_Inspector#21"/>
      <sheetName val="Fill_Level_Inspector#2_RFQ1"/>
      <sheetName val="Multi-Packer_RFQ1"/>
      <sheetName val="Handle_Applicator1"/>
      <sheetName val="Handle_Applicator_RFQ1"/>
      <sheetName val="Packer-_Shrink_Wrapper1"/>
      <sheetName val="Packer-_Shrink_Wrapper_RFQ1"/>
      <sheetName val="Carton_Former_Packer_Sealer1"/>
      <sheetName val="Carton_Former_Packer_Sealer_RF1"/>
      <sheetName val="Pack_Coder1"/>
      <sheetName val="Pack_Coder_RFQ1"/>
      <sheetName val="Pack_Labeller1"/>
      <sheetName val="Pack_Labeller_RFQ1"/>
      <sheetName val="Pack_Palletiser1"/>
      <sheetName val="Pack_Palletiser_RFQ1"/>
      <sheetName val="Pack_Pallet_Stretchwrapper1"/>
      <sheetName val="Pack_Pallet_Stretchwrapper_RFQ1"/>
      <sheetName val="Pallet_Labeller1"/>
      <sheetName val="Pallet_Labeller_RFQ1"/>
      <sheetName val="Air_Conveyor_System1"/>
      <sheetName val="Air_Conveyor_System_RFQ1"/>
      <sheetName val="Bottle_Conveyor_System1"/>
      <sheetName val="Bottle_Conveyor_System_RFQ1"/>
      <sheetName val="Pack_Conveyor_System1"/>
      <sheetName val="Pack_Conveyor_System_RFQ1"/>
      <sheetName val="Equipment_Performance_Standard1"/>
      <sheetName val="Pricing_Summary_Schedule1"/>
      <sheetName val="Utility_Summary_Schedule1"/>
      <sheetName val="Title_Page2"/>
      <sheetName val="Front_Page_and_References2"/>
      <sheetName val="Packaging_Requirements2"/>
      <sheetName val="Product_Requirements2"/>
      <sheetName val="Environmental_Data2"/>
      <sheetName val="Electrical_Requirements2"/>
      <sheetName val="Electrical_Requirements_RFQ2"/>
      <sheetName val="Mechanical_Requirements2"/>
      <sheetName val="Mechanical_Requirements_RFQ2"/>
      <sheetName val="Equipment_Speed2"/>
      <sheetName val="Blow_Molder2"/>
      <sheetName val="Blow_Molder_RFQ2"/>
      <sheetName val="Bottle_Storage_Silo2"/>
      <sheetName val="Bottle_Storage_Silo_RFQ2"/>
      <sheetName val="Bottle_Unscrambler2"/>
      <sheetName val="Bottle_Unscrambler_RFQ2"/>
      <sheetName val="Bulk_Bottle_Depalletiser2"/>
      <sheetName val="Bulk_Bottle_Depalletiser_RFQ2"/>
      <sheetName val="Glass_Tempering_System2"/>
      <sheetName val="Glass_Tempering_System_RFQ2"/>
      <sheetName val="Bottle_Rinser2"/>
      <sheetName val="Bottle_Rinser_RFQ2"/>
      <sheetName val="Filler_RFQ2"/>
      <sheetName val="PL_Capper2"/>
      <sheetName val="PL_Capper_RFQ2"/>
      <sheetName val="Lug_Capper2"/>
      <sheetName val="Lug_Capper_RFQ2"/>
      <sheetName val="Bulk_Cap_Feeding_System2"/>
      <sheetName val="Bulk_Cap_Feeding_System_RFQ2"/>
      <sheetName val="Bulk_Lug_Feeding_System2"/>
      <sheetName val="Bulk_Lug_Feeding_System_RFQ2"/>
      <sheetName val="Thermal_Processing_Skid2"/>
      <sheetName val="Thermal_Processing_Skid_RFQ2"/>
      <sheetName val="CIP_Skid2"/>
      <sheetName val="CIP_Skid_RFQ2"/>
      <sheetName val="Elect_Fill_Level_Inspector2"/>
      <sheetName val="Elect_Fill_Level_Inspector_RFQ2"/>
      <sheetName val="Bottle_Coder2"/>
      <sheetName val="Bottle_Coder_RFQ2"/>
      <sheetName val="Bottle_Inverter2"/>
      <sheetName val="Bottle_Inverter_RFQ2"/>
      <sheetName val="Metal_Detector2"/>
      <sheetName val="Metal_Detector_RFQ2"/>
      <sheetName val="Bottle_Cooler2"/>
      <sheetName val="Bottle_Cooler_RFQ2"/>
      <sheetName val="Labeller_RFQ2"/>
      <sheetName val="Labeller_Mag2"/>
      <sheetName val="Labeller_Mag_RFQ2"/>
      <sheetName val="Dud_Detector2"/>
      <sheetName val="Dud_Detector_RFQ2"/>
      <sheetName val="Fill_Level_Inspector#22"/>
      <sheetName val="Fill_Level_Inspector#2_RFQ2"/>
      <sheetName val="Multi-Packer_RFQ2"/>
      <sheetName val="Handle_Applicator2"/>
      <sheetName val="Handle_Applicator_RFQ2"/>
      <sheetName val="Packer-_Shrink_Wrapper2"/>
      <sheetName val="Packer-_Shrink_Wrapper_RFQ2"/>
      <sheetName val="Carton_Former_Packer_Sealer2"/>
      <sheetName val="Carton_Former_Packer_Sealer_RF2"/>
      <sheetName val="Pack_Coder2"/>
      <sheetName val="Pack_Coder_RFQ2"/>
      <sheetName val="Pack_Labeller2"/>
      <sheetName val="Pack_Labeller_RFQ2"/>
      <sheetName val="Pack_Palletiser2"/>
      <sheetName val="Pack_Palletiser_RFQ2"/>
      <sheetName val="Pack_Pallet_Stretchwrapper2"/>
      <sheetName val="Pack_Pallet_Stretchwrapper_RFQ2"/>
      <sheetName val="Pallet_Labeller2"/>
      <sheetName val="Pallet_Labeller_RFQ2"/>
      <sheetName val="Air_Conveyor_System2"/>
      <sheetName val="Air_Conveyor_System_RFQ2"/>
      <sheetName val="Bottle_Conveyor_System2"/>
      <sheetName val="Bottle_Conveyor_System_RFQ2"/>
      <sheetName val="Pack_Conveyor_System2"/>
      <sheetName val="Pack_Conveyor_System_RFQ2"/>
      <sheetName val="Equipment_Performance_Standard2"/>
      <sheetName val="Pricing_Summary_Schedule2"/>
      <sheetName val="Utility_Summary_Sche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-09 target"/>
      <sheetName val="04-09 COC"/>
      <sheetName val="04 outlook"/>
      <sheetName val="Apr(P5) YTD"/>
      <sheetName val="May (P6) YTD"/>
      <sheetName val="Vol outlook"/>
      <sheetName val="Rev outlook"/>
      <sheetName val="LOB outlook"/>
      <sheetName val="NOPBT outlook"/>
      <sheetName val="NOPBT margin"/>
      <sheetName val="Macro_FX"/>
      <sheetName val="Bubble Chart"/>
      <sheetName val="AprYTD (BD)"/>
      <sheetName val="Q2 YTD (BD)"/>
      <sheetName val="Forex working"/>
      <sheetName val="Bev vol share"/>
      <sheetName val="Snacks value share"/>
      <sheetName val="Snacks Matrix"/>
      <sheetName val="NAB"/>
      <sheetName val="ASIA Quaker"/>
      <sheetName val="Reference"/>
      <sheetName val="Settings"/>
      <sheetName val="04-09_target"/>
      <sheetName val="04-09_COC"/>
      <sheetName val="04_outlook"/>
      <sheetName val="Apr(P5)_YTD"/>
      <sheetName val="May_(P6)_YTD"/>
      <sheetName val="Vol_outlook"/>
      <sheetName val="Rev_outlook"/>
      <sheetName val="LOB_outlook"/>
      <sheetName val="NOPBT_outlook"/>
      <sheetName val="NOPBT_margin"/>
      <sheetName val="Bubble_Chart"/>
      <sheetName val="AprYTD_(BD)"/>
      <sheetName val="Q2_YTD_(BD)"/>
      <sheetName val="Forex_working"/>
      <sheetName val="Bev_vol_share"/>
      <sheetName val="Snacks_value_share"/>
      <sheetName val="Snacks_Matrix"/>
      <sheetName val="ASIA_Quaker"/>
      <sheetName val="04-09_target1"/>
      <sheetName val="04-09_COC1"/>
      <sheetName val="04_outlook1"/>
      <sheetName val="Apr(P5)_YTD1"/>
      <sheetName val="May_(P6)_YTD1"/>
      <sheetName val="Vol_outlook1"/>
      <sheetName val="Rev_outlook1"/>
      <sheetName val="LOB_outlook1"/>
      <sheetName val="NOPBT_outlook1"/>
      <sheetName val="NOPBT_margin1"/>
      <sheetName val="Bubble_Chart1"/>
      <sheetName val="AprYTD_(BD)1"/>
      <sheetName val="Q2_YTD_(BD)1"/>
      <sheetName val="Forex_working1"/>
      <sheetName val="Bev_vol_share1"/>
      <sheetName val="Snacks_value_share1"/>
      <sheetName val="Snacks_Matrix1"/>
      <sheetName val="ASIA_Quaker1"/>
      <sheetName val="04-09_target2"/>
      <sheetName val="04-09_COC2"/>
      <sheetName val="04_outlook2"/>
      <sheetName val="Apr(P5)_YTD2"/>
      <sheetName val="May_(P6)_YTD2"/>
      <sheetName val="Vol_outlook2"/>
      <sheetName val="Rev_outlook2"/>
      <sheetName val="LOB_outlook2"/>
      <sheetName val="NOPBT_outlook2"/>
      <sheetName val="NOPBT_margin2"/>
      <sheetName val="Bubble_Chart2"/>
      <sheetName val="AprYTD_(BD)2"/>
      <sheetName val="Q2_YTD_(BD)2"/>
      <sheetName val="Forex_working2"/>
      <sheetName val="Bev_vol_share2"/>
      <sheetName val="Snacks_value_share2"/>
      <sheetName val="Snacks_Matrix2"/>
      <sheetName val="ASIA_Quaker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7"/>
      <sheetName val="Sheet7 (bak)"/>
      <sheetName val="CF_2002( Act)"/>
      <sheetName val="CF_2002( Fcst)"/>
      <sheetName val="CF_2002( AOP)"/>
      <sheetName val="CF_2001(Adj.)"/>
      <sheetName val="CF_2001(Cal by formula)"/>
      <sheetName val="CF02-99"/>
      <sheetName val="Sheet1"/>
      <sheetName val="Sheet7_(bak)"/>
      <sheetName val="CF_2002(_Act)"/>
      <sheetName val="CF_2002(_Fcst)"/>
      <sheetName val="CF_2002(_AOP)"/>
      <sheetName val="CF_2001(Adj_)"/>
      <sheetName val="CF_2001(Cal_by_formula)"/>
      <sheetName val="Sheet7_(bak)1"/>
      <sheetName val="CF_2002(_Act)1"/>
      <sheetName val="CF_2002(_Fcst)1"/>
      <sheetName val="CF_2002(_AOP)1"/>
      <sheetName val="CF_2001(Adj_)1"/>
      <sheetName val="CF_2001(Cal_by_formula)1"/>
      <sheetName val="Sheet7_(bak)2"/>
      <sheetName val="CF_2002(_Act)2"/>
      <sheetName val="CF_2002(_Fcst)2"/>
      <sheetName val="CF_2002(_AOP)2"/>
      <sheetName val="CF_2001(Adj_)2"/>
      <sheetName val="CF_2001(Cal_by_formula)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ALL"/>
      <sheetName val="ALL (2)"/>
      <sheetName val="Sorted"/>
      <sheetName val="Productivity"/>
      <sheetName val="Sustainability"/>
      <sheetName val="Innov &amp; capacity"/>
      <sheetName val="Nat S&amp;D"/>
      <sheetName val="IT"/>
      <sheetName val="Vending Summary"/>
      <sheetName val="Bluebird all"/>
      <sheetName val="TG"/>
      <sheetName val="RP"/>
      <sheetName val="CV"/>
      <sheetName val="SK"/>
      <sheetName val="Wiri"/>
      <sheetName val="Timaru"/>
      <sheetName val="Vending Capex Plan - kits&amp;mach"/>
      <sheetName val="RPT 51-VOLUME DATA-Industry"/>
      <sheetName val="#REF"/>
      <sheetName val="Sheet1"/>
      <sheetName val="INDIRECTS &amp; DEPR"/>
      <sheetName val="Puerto Rico"/>
      <sheetName val="Summary_"/>
      <sheetName val="ALL_(2)"/>
      <sheetName val="Innov_&amp;_capacity"/>
      <sheetName val="Nat_S&amp;D"/>
      <sheetName val="Vending_Summary"/>
      <sheetName val="Bluebird_all"/>
      <sheetName val="Vending_Capex_Plan_-_kits&amp;mach"/>
      <sheetName val="RPT_51-VOLUME_DATA-Industry"/>
      <sheetName val="INDIRECTS_&amp;_DEPR"/>
      <sheetName val="Puerto_Rico"/>
      <sheetName val="Summary_1"/>
      <sheetName val="ALL_(2)1"/>
      <sheetName val="Innov_&amp;_capacity1"/>
      <sheetName val="Nat_S&amp;D1"/>
      <sheetName val="Vending_Summary1"/>
      <sheetName val="Bluebird_all1"/>
      <sheetName val="Vending_Capex_Plan_-_kits&amp;mach1"/>
      <sheetName val="RPT_51-VOLUME_DATA-Industry1"/>
      <sheetName val="INDIRECTS_&amp;_DEPR1"/>
      <sheetName val="Puerto_Rico1"/>
      <sheetName val="Summary_2"/>
      <sheetName val="ALL_(2)2"/>
      <sheetName val="Innov_&amp;_capacity2"/>
      <sheetName val="Nat_S&amp;D2"/>
      <sheetName val="Vending_Summary2"/>
      <sheetName val="Bluebird_all2"/>
      <sheetName val="Vending_Capex_Plan_-_kits&amp;mach2"/>
      <sheetName val="RPT_51-VOLUME_DATA-Industry2"/>
      <sheetName val="INDIRECTS_&amp;_DEPR2"/>
      <sheetName val="Puerto_Rico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</row>
        <row r="2">
          <cell r="A2">
            <v>2</v>
          </cell>
        </row>
        <row r="3">
          <cell r="A3">
            <v>3</v>
          </cell>
          <cell r="E3" t="str">
            <v>2007 AOP</v>
          </cell>
          <cell r="G3" t="str">
            <v>ABC Priority : A = High - Must do; B = Med - Should do; C = Low - Can wait</v>
          </cell>
        </row>
        <row r="4">
          <cell r="A4">
            <v>4</v>
          </cell>
          <cell r="E4" t="str">
            <v>2008-2010 STRATEGIC PLAN</v>
          </cell>
        </row>
        <row r="5">
          <cell r="A5">
            <v>5</v>
          </cell>
          <cell r="E5" t="str">
            <v>CAPITAL EXPENDITURE</v>
          </cell>
        </row>
        <row r="6">
          <cell r="A6">
            <v>6</v>
          </cell>
        </row>
        <row r="7">
          <cell r="A7">
            <v>7</v>
          </cell>
          <cell r="B7" t="str">
            <v>INNOV &amp; Cap.</v>
          </cell>
          <cell r="E7" t="str">
            <v>INNOVATION</v>
          </cell>
          <cell r="F7" t="str">
            <v>PRIORITY</v>
          </cell>
          <cell r="H7" t="str">
            <v>DEPRN
RATE (%)</v>
          </cell>
          <cell r="I7" t="str">
            <v>APPROVED/
PROPOSED
CAPEX
AMOUNT
($'000)</v>
          </cell>
          <cell r="J7" t="str">
            <v>PLANNED 2007 
SPEND
($'000)</v>
          </cell>
          <cell r="K7" t="str">
            <v>2008 
SPEND
($'000)</v>
          </cell>
          <cell r="L7" t="str">
            <v>2009 
SPEND
($'000)</v>
          </cell>
          <cell r="M7" t="str">
            <v>2010 
SPEND
($'000)</v>
          </cell>
          <cell r="N7" t="str">
            <v>CARRY-OVER PROJECTS</v>
          </cell>
          <cell r="Q7" t="str">
            <v>PROJECT
EXPENSE
($'000)</v>
          </cell>
          <cell r="R7" t="str">
            <v>ASSET
DISPOSAL
($'000)</v>
          </cell>
          <cell r="S7" t="str">
            <v>ANNUAL
PROJECT
SAVINGS
($'000)</v>
          </cell>
          <cell r="U7" t="str">
            <v>2008 EXECUTION PLAN</v>
          </cell>
          <cell r="W7" t="str">
            <v>DESCRIPTION,  RATIONALE,  NOTES</v>
          </cell>
        </row>
        <row r="8">
          <cell r="A8">
            <v>8</v>
          </cell>
          <cell r="B8" t="str">
            <v>INNOV &amp; Cap.</v>
          </cell>
          <cell r="D8" t="str">
            <v>PROJECT TYPE</v>
          </cell>
          <cell r="E8" t="str">
            <v>PROJECT NAME</v>
          </cell>
          <cell r="N8" t="str">
            <v>PROJECT
NUMBER</v>
          </cell>
          <cell r="O8" t="str">
            <v>INTERNALORDER
NUMBER</v>
          </cell>
          <cell r="P8" t="str">
            <v>2007FY
AUC Level
($'000)</v>
          </cell>
          <cell r="T8" t="str">
            <v>PLANNED
APPROVAL
Q1,Q2,Q3,Q4</v>
          </cell>
          <cell r="U8" t="str">
            <v>PROJECT
START-UP
Q1,Q2,Q3,Q4</v>
          </cell>
          <cell r="V8" t="str">
            <v>2007
SPEND</v>
          </cell>
        </row>
        <row r="9">
          <cell r="A9">
            <v>9</v>
          </cell>
          <cell r="B9" t="str">
            <v>INNOV &amp; Cap.</v>
          </cell>
        </row>
        <row r="10">
          <cell r="A10">
            <v>10</v>
          </cell>
          <cell r="B10" t="str">
            <v>INNOV &amp; Cap.</v>
          </cell>
          <cell r="C10" t="str">
            <v>INNOV</v>
          </cell>
          <cell r="D10" t="str">
            <v>CAPACITY/  Growth</v>
          </cell>
          <cell r="H10" t="str">
            <v>Stated Launch Timing</v>
          </cell>
        </row>
        <row r="11">
          <cell r="A11">
            <v>11</v>
          </cell>
          <cell r="B11" t="str">
            <v>INNOV</v>
          </cell>
          <cell r="C11" t="str">
            <v>INNOV</v>
          </cell>
          <cell r="E11" t="str">
            <v>Sweet Potato Chips</v>
          </cell>
          <cell r="G11">
            <v>2009</v>
          </cell>
          <cell r="I11">
            <v>0</v>
          </cell>
          <cell r="L11" t="str">
            <v>x</v>
          </cell>
          <cell r="W11" t="str">
            <v>Produced on CKF line - one plant</v>
          </cell>
        </row>
        <row r="12">
          <cell r="A12">
            <v>12</v>
          </cell>
          <cell r="B12" t="str">
            <v>INNOV &amp; Cap.</v>
          </cell>
          <cell r="C12" t="str">
            <v>INNOV</v>
          </cell>
          <cell r="E12" t="str">
            <v>Resealable Packs</v>
          </cell>
          <cell r="G12">
            <v>2009</v>
          </cell>
          <cell r="I12">
            <v>0</v>
          </cell>
          <cell r="L12" t="str">
            <v>x</v>
          </cell>
          <cell r="W12" t="str">
            <v>3 machines per site - all sites.</v>
          </cell>
        </row>
        <row r="13">
          <cell r="A13">
            <v>13</v>
          </cell>
          <cell r="B13" t="str">
            <v>INNOV &amp; Cap.</v>
          </cell>
          <cell r="C13" t="str">
            <v>INNOV</v>
          </cell>
          <cell r="E13" t="str">
            <v>Vacuum Fryer</v>
          </cell>
          <cell r="G13">
            <v>2009</v>
          </cell>
          <cell r="I13">
            <v>29000</v>
          </cell>
          <cell r="M13">
            <v>2000</v>
          </cell>
          <cell r="W13" t="str">
            <v>Complete 2011….</v>
          </cell>
        </row>
        <row r="14">
          <cell r="A14">
            <v>14</v>
          </cell>
          <cell r="B14" t="str">
            <v>INNOV &amp; Cap.</v>
          </cell>
          <cell r="C14" t="str">
            <v>INNOV</v>
          </cell>
          <cell r="E14" t="str">
            <v>Nobbys 'stand-up' packs</v>
          </cell>
          <cell r="G14" t="str">
            <v>Q1 '08</v>
          </cell>
          <cell r="I14">
            <v>1000</v>
          </cell>
          <cell r="K14">
            <v>1000</v>
          </cell>
          <cell r="W14" t="str">
            <v>Replace existing 2 Hayssen bagmakers</v>
          </cell>
        </row>
        <row r="15">
          <cell r="A15">
            <v>15</v>
          </cell>
          <cell r="B15" t="str">
            <v>INNOV &amp; Cap.</v>
          </cell>
          <cell r="C15" t="str">
            <v>INNOV</v>
          </cell>
          <cell r="E15" t="str">
            <v>Parkers Slurry coated</v>
          </cell>
          <cell r="G15" t="str">
            <v>Q3 '08</v>
          </cell>
          <cell r="I15">
            <v>0</v>
          </cell>
          <cell r="K15" t="str">
            <v>x</v>
          </cell>
          <cell r="W15" t="str">
            <v>Use Phases seasoning system</v>
          </cell>
        </row>
        <row r="16">
          <cell r="A16">
            <v>16</v>
          </cell>
          <cell r="B16" t="str">
            <v>INNOV &amp; Cap.</v>
          </cell>
          <cell r="C16" t="str">
            <v>INNOV</v>
          </cell>
          <cell r="E16" t="str">
            <v>Box Multipack</v>
          </cell>
          <cell r="G16" t="str">
            <v>Q1 '08</v>
          </cell>
          <cell r="I16">
            <v>15800</v>
          </cell>
          <cell r="J16">
            <v>13800</v>
          </cell>
          <cell r="K16">
            <v>2000</v>
          </cell>
          <cell r="W16" t="str">
            <v>Underway</v>
          </cell>
        </row>
        <row r="17">
          <cell r="A17">
            <v>17</v>
          </cell>
          <cell r="B17" t="str">
            <v>INNOV &amp; Cap.</v>
          </cell>
          <cell r="C17" t="str">
            <v>INNOV</v>
          </cell>
          <cell r="E17" t="str">
            <v>H&amp;W multipack</v>
          </cell>
          <cell r="G17" t="str">
            <v>Q1 '09</v>
          </cell>
          <cell r="I17">
            <v>300</v>
          </cell>
          <cell r="K17">
            <v>300</v>
          </cell>
          <cell r="W17" t="str">
            <v>Unloading &amp; conveying system for M/P inners ex TOPC &amp; Sakata</v>
          </cell>
        </row>
        <row r="18">
          <cell r="A18">
            <v>18</v>
          </cell>
          <cell r="B18" t="str">
            <v>INNOV &amp; Cap.</v>
          </cell>
          <cell r="C18" t="str">
            <v>INNOV</v>
          </cell>
          <cell r="E18" t="str">
            <v>Doritos corn Crakas (box pack) -includes boost &amp; packing</v>
          </cell>
          <cell r="G18" t="str">
            <v>Q3 '08</v>
          </cell>
          <cell r="I18">
            <v>1500</v>
          </cell>
          <cell r="J18">
            <v>250</v>
          </cell>
          <cell r="K18">
            <v>1250</v>
          </cell>
          <cell r="W18" t="str">
            <v>2 BIB machines, casepackers and conveying. Assume processing is OK</v>
          </cell>
        </row>
        <row r="19">
          <cell r="A19">
            <v>99</v>
          </cell>
          <cell r="B19" t="str">
            <v>INNOV &amp; Cap.</v>
          </cell>
          <cell r="C19" t="str">
            <v>GROWTH</v>
          </cell>
          <cell r="E19" t="str">
            <v>TG TC Boost for Crakas</v>
          </cell>
          <cell r="I19">
            <v>1500</v>
          </cell>
          <cell r="K19">
            <v>1500</v>
          </cell>
          <cell r="W19" t="str">
            <v>Capacity requirement.</v>
          </cell>
        </row>
        <row r="20">
          <cell r="A20">
            <v>19</v>
          </cell>
          <cell r="B20" t="str">
            <v>INNOV &amp; Cap.</v>
          </cell>
          <cell r="C20" t="str">
            <v>INNOV</v>
          </cell>
          <cell r="E20" t="str">
            <v>Twisties Cups</v>
          </cell>
          <cell r="G20" t="str">
            <v>Q1 '08</v>
          </cell>
          <cell r="I20">
            <v>0</v>
          </cell>
          <cell r="J20" t="str">
            <v>x</v>
          </cell>
          <cell r="K20">
            <v>300</v>
          </cell>
          <cell r="W20" t="str">
            <v>Removed</v>
          </cell>
        </row>
        <row r="21">
          <cell r="A21">
            <v>20</v>
          </cell>
          <cell r="B21" t="str">
            <v>INNOV &amp; Cap.</v>
          </cell>
          <cell r="C21" t="str">
            <v>INNOV</v>
          </cell>
          <cell r="E21" t="str">
            <v>Twisties Springs</v>
          </cell>
          <cell r="G21" t="str">
            <v>Q3 '08</v>
          </cell>
          <cell r="I21">
            <v>2500</v>
          </cell>
          <cell r="J21">
            <v>250</v>
          </cell>
          <cell r="K21">
            <v>2250</v>
          </cell>
          <cell r="W21" t="str">
            <v>Schaaf Extruder, tooling in RPK first phase</v>
          </cell>
        </row>
        <row r="22">
          <cell r="A22">
            <v>21</v>
          </cell>
          <cell r="B22" t="str">
            <v>INNOV &amp; Cap.</v>
          </cell>
          <cell r="C22" t="str">
            <v>INNOV</v>
          </cell>
          <cell r="E22" t="str">
            <v>Multi-textured/filled Twisties</v>
          </cell>
          <cell r="G22" t="str">
            <v>Q1 '09</v>
          </cell>
          <cell r="I22">
            <v>700</v>
          </cell>
          <cell r="K22">
            <v>700</v>
          </cell>
          <cell r="W22" t="str">
            <v>Tooling on Schaaf RP</v>
          </cell>
        </row>
        <row r="23">
          <cell r="A23">
            <v>22</v>
          </cell>
          <cell r="B23" t="str">
            <v>INNOV &amp; Cap.</v>
          </cell>
          <cell r="C23" t="str">
            <v>INNOV</v>
          </cell>
          <cell r="E23" t="str">
            <v>Enrobed Twisties</v>
          </cell>
          <cell r="G23" t="str">
            <v>Q3 '09</v>
          </cell>
          <cell r="I23">
            <v>0</v>
          </cell>
          <cell r="L23" t="str">
            <v>x</v>
          </cell>
          <cell r="W23" t="str">
            <v>Enrober on Twisties line - one line</v>
          </cell>
        </row>
        <row r="24">
          <cell r="A24">
            <v>23</v>
          </cell>
          <cell r="B24" t="str">
            <v>INNOV &amp; Cap.</v>
          </cell>
          <cell r="C24" t="str">
            <v>INNOV</v>
          </cell>
          <cell r="E24" t="str">
            <v>Nuts Clusters etc</v>
          </cell>
          <cell r="G24" t="str">
            <v>Q1 '08</v>
          </cell>
          <cell r="I24">
            <v>0</v>
          </cell>
          <cell r="W24" t="str">
            <v>In Joy foods as phase 1, then installed in Smiths</v>
          </cell>
        </row>
        <row r="25">
          <cell r="A25">
            <v>24</v>
          </cell>
          <cell r="B25" t="str">
            <v>INNOV &amp; Cap.</v>
          </cell>
          <cell r="C25" t="str">
            <v>INNOV</v>
          </cell>
          <cell r="E25" t="str">
            <v>Wholegrain Stars</v>
          </cell>
          <cell r="G25" t="str">
            <v>Q3 '08</v>
          </cell>
          <cell r="I25">
            <v>50</v>
          </cell>
          <cell r="K25">
            <v>50</v>
          </cell>
          <cell r="W25" t="str">
            <v>Have no idea what this is!!</v>
          </cell>
        </row>
        <row r="26">
          <cell r="A26">
            <v>25</v>
          </cell>
          <cell r="B26" t="str">
            <v>INNOV &amp; Cap.</v>
          </cell>
          <cell r="C26" t="str">
            <v>INNOV</v>
          </cell>
          <cell r="E26" t="str">
            <v>Phases</v>
          </cell>
          <cell r="G26" t="str">
            <v>Q2 '08</v>
          </cell>
          <cell r="I26">
            <v>8000</v>
          </cell>
          <cell r="J26">
            <v>2000</v>
          </cell>
          <cell r="K26">
            <v>6000</v>
          </cell>
          <cell r="W26" t="str">
            <v>Underway</v>
          </cell>
        </row>
        <row r="27">
          <cell r="A27">
            <v>26</v>
          </cell>
          <cell r="B27" t="str">
            <v>INNOV &amp; Cap.</v>
          </cell>
          <cell r="C27" t="str">
            <v>INNOV</v>
          </cell>
          <cell r="E27" t="str">
            <v>Phase -Phase#2</v>
          </cell>
          <cell r="G27" t="str">
            <v>Q2 '10</v>
          </cell>
          <cell r="I27">
            <v>0</v>
          </cell>
          <cell r="M27" t="str">
            <v>x</v>
          </cell>
          <cell r="W27" t="str">
            <v>New facility for second Phases line</v>
          </cell>
        </row>
        <row r="28">
          <cell r="A28">
            <v>27</v>
          </cell>
          <cell r="B28" t="str">
            <v>INNOV &amp; Cap.</v>
          </cell>
          <cell r="C28" t="str">
            <v>INNOV</v>
          </cell>
          <cell r="E28" t="str">
            <v>Flavoured bread sticks</v>
          </cell>
          <cell r="G28" t="str">
            <v>Q1 '09</v>
          </cell>
          <cell r="I28">
            <v>200</v>
          </cell>
          <cell r="L28">
            <v>200</v>
          </cell>
          <cell r="W28" t="str">
            <v>Tooling for Schaaf</v>
          </cell>
        </row>
        <row r="29">
          <cell r="A29">
            <v>28</v>
          </cell>
          <cell r="B29" t="str">
            <v>INNOV &amp; Cap.</v>
          </cell>
          <cell r="C29" t="str">
            <v>INNOV</v>
          </cell>
          <cell r="E29" t="str">
            <v>Grainwaves Aust prodn</v>
          </cell>
          <cell r="G29" t="str">
            <v>Q3'09</v>
          </cell>
          <cell r="I29">
            <v>0</v>
          </cell>
          <cell r="L29" t="str">
            <v>x</v>
          </cell>
          <cell r="W29" t="str">
            <v>Accelerated growth initiative - $18MM</v>
          </cell>
        </row>
        <row r="30">
          <cell r="A30">
            <v>29</v>
          </cell>
          <cell r="B30" t="str">
            <v>INNOV &amp; Cap.</v>
          </cell>
          <cell r="C30" t="str">
            <v>INNOV</v>
          </cell>
          <cell r="E30" t="str">
            <v>RRD Flav Plus</v>
          </cell>
          <cell r="G30" t="str">
            <v>Q1 '08</v>
          </cell>
          <cell r="I30">
            <v>550</v>
          </cell>
          <cell r="K30">
            <v>550</v>
          </cell>
          <cell r="W30" t="str">
            <v>Underway</v>
          </cell>
        </row>
        <row r="31">
          <cell r="A31">
            <v>30</v>
          </cell>
          <cell r="B31" t="str">
            <v>INNOV &amp; Cap.</v>
          </cell>
          <cell r="C31" t="str">
            <v>INNOV</v>
          </cell>
          <cell r="E31" t="str">
            <v>RRD Olive Oil</v>
          </cell>
          <cell r="G31" t="str">
            <v>Q3 '08</v>
          </cell>
          <cell r="I31">
            <v>1000</v>
          </cell>
          <cell r="K31">
            <v>1000</v>
          </cell>
          <cell r="W31" t="str">
            <v>One line in Tingalpa - CKF 1000</v>
          </cell>
        </row>
        <row r="32">
          <cell r="A32">
            <v>31</v>
          </cell>
          <cell r="B32" t="str">
            <v>INNOV &amp; Cap.</v>
          </cell>
          <cell r="C32" t="str">
            <v>INNOV</v>
          </cell>
          <cell r="E32" t="str">
            <v>RRD Savoury snacks -differentiated packaging</v>
          </cell>
          <cell r="G32" t="str">
            <v>Q1 '09</v>
          </cell>
          <cell r="I32">
            <v>0</v>
          </cell>
          <cell r="K32" t="str">
            <v>x</v>
          </cell>
          <cell r="L32" t="str">
            <v>x</v>
          </cell>
        </row>
        <row r="33">
          <cell r="A33">
            <v>32</v>
          </cell>
          <cell r="B33" t="str">
            <v>INNOV &amp; Cap.</v>
          </cell>
          <cell r="C33" t="str">
            <v>INNOV</v>
          </cell>
          <cell r="E33" t="str">
            <v>Oil Blend for Smiths Selections</v>
          </cell>
          <cell r="G33" t="str">
            <v>Q2 '08</v>
          </cell>
          <cell r="I33">
            <v>600</v>
          </cell>
          <cell r="K33">
            <v>600</v>
          </cell>
          <cell r="W33" t="str">
            <v>Assume 100% Sunola (Blended oil will cost significantly more as need to duplicate existing blend system, and find room for storage tanks)</v>
          </cell>
        </row>
        <row r="34">
          <cell r="A34">
            <v>33</v>
          </cell>
          <cell r="B34" t="str">
            <v>INNOV &amp; Cap.</v>
          </cell>
          <cell r="C34" t="str">
            <v>GROWTH</v>
          </cell>
          <cell r="E34" t="str">
            <v>New PC Line</v>
          </cell>
          <cell r="I34">
            <v>10000</v>
          </cell>
          <cell r="L34" t="str">
            <v>x</v>
          </cell>
          <cell r="M34">
            <v>10000</v>
          </cell>
          <cell r="W34" t="str">
            <v>New MZ 36 in Tingalpa - move CKF 2 to RPK. High expense. Moved out to 2011 due to capex affordability - total cost is $60MM</v>
          </cell>
        </row>
        <row r="35">
          <cell r="A35">
            <v>34</v>
          </cell>
          <cell r="B35" t="str">
            <v>INNOV &amp; Cap.</v>
          </cell>
          <cell r="C35" t="str">
            <v>GROWTH</v>
          </cell>
          <cell r="E35" t="str">
            <v>TC Boost -R'Park</v>
          </cell>
          <cell r="I35">
            <v>4000</v>
          </cell>
          <cell r="L35">
            <v>2000</v>
          </cell>
          <cell r="M35">
            <v>2000</v>
          </cell>
          <cell r="W35" t="str">
            <v>Adds 400Kg/hr.</v>
          </cell>
        </row>
        <row r="36">
          <cell r="A36">
            <v>35</v>
          </cell>
          <cell r="B36" t="str">
            <v>INNOV &amp; Cap.</v>
          </cell>
          <cell r="C36" t="str">
            <v>GROWTH</v>
          </cell>
          <cell r="E36" t="str">
            <v>RPK M/P</v>
          </cell>
          <cell r="I36">
            <v>1000</v>
          </cell>
          <cell r="M36">
            <v>1000</v>
          </cell>
          <cell r="W36" t="str">
            <v>Phase 1 is bagmaker and ICAL replacement covered in RPK plan, Phase 2 is Box M/P. Total project cost is $10MM</v>
          </cell>
        </row>
        <row r="37">
          <cell r="A37">
            <v>36</v>
          </cell>
          <cell r="B37" t="str">
            <v>INNOV &amp; Cap.</v>
          </cell>
          <cell r="C37" t="str">
            <v>GROWTH</v>
          </cell>
          <cell r="E37" t="str">
            <v>New Kovan Presses for RPK</v>
          </cell>
          <cell r="I37">
            <v>1250</v>
          </cell>
          <cell r="K37">
            <v>1250</v>
          </cell>
          <cell r="W37" t="str">
            <v>Replace existing presses</v>
          </cell>
        </row>
        <row r="38">
          <cell r="A38">
            <v>37</v>
          </cell>
          <cell r="B38" t="str">
            <v>INNOV &amp; Cap.</v>
          </cell>
          <cell r="C38" t="str">
            <v>GROWTH</v>
          </cell>
          <cell r="E38" t="str">
            <v>install Anderson Press in CV</v>
          </cell>
          <cell r="I38">
            <v>0</v>
          </cell>
          <cell r="K38" t="str">
            <v>x</v>
          </cell>
          <cell r="W38" t="str">
            <v>Move Andersen press to CV</v>
          </cell>
        </row>
        <row r="39">
          <cell r="A39">
            <v>38</v>
          </cell>
          <cell r="B39" t="str">
            <v>INNOV &amp; Cap.</v>
          </cell>
          <cell r="C39" t="str">
            <v>INNOV</v>
          </cell>
          <cell r="I39">
            <v>0</v>
          </cell>
        </row>
        <row r="40">
          <cell r="A40">
            <v>39</v>
          </cell>
          <cell r="B40" t="str">
            <v>Sakata</v>
          </cell>
          <cell r="C40" t="str">
            <v>INNOV</v>
          </cell>
          <cell r="E40" t="str">
            <v>Sakata Portion Tray</v>
          </cell>
          <cell r="F40" t="str">
            <v>A</v>
          </cell>
          <cell r="H40">
            <v>0.1</v>
          </cell>
          <cell r="I40">
            <v>1800</v>
          </cell>
          <cell r="J40">
            <v>600</v>
          </cell>
          <cell r="K40">
            <v>1200</v>
          </cell>
          <cell r="T40" t="str">
            <v>Q4 07</v>
          </cell>
          <cell r="U40" t="str">
            <v>Q3 08</v>
          </cell>
          <cell r="V40">
            <v>600</v>
          </cell>
          <cell r="W40" t="str">
            <v>New presentation of product</v>
          </cell>
        </row>
        <row r="41">
          <cell r="A41">
            <v>40</v>
          </cell>
          <cell r="B41" t="str">
            <v>Sakata</v>
          </cell>
          <cell r="C41" t="str">
            <v>INNOV</v>
          </cell>
          <cell r="E41" t="str">
            <v xml:space="preserve">Sakata Multipack Automation </v>
          </cell>
          <cell r="F41" t="str">
            <v>A</v>
          </cell>
          <cell r="H41">
            <v>0.1</v>
          </cell>
          <cell r="I41">
            <v>900</v>
          </cell>
          <cell r="K41">
            <v>500</v>
          </cell>
          <cell r="L41">
            <v>400</v>
          </cell>
          <cell r="Q41">
            <v>30</v>
          </cell>
          <cell r="S41">
            <v>450</v>
          </cell>
          <cell r="T41" t="str">
            <v>Q2 08</v>
          </cell>
          <cell r="U41" t="str">
            <v>Q2 09</v>
          </cell>
          <cell r="V41">
            <v>0</v>
          </cell>
          <cell r="W41" t="str">
            <v xml:space="preserve">Relocation of bag maker ex Tingalpa or Cremer packer </v>
          </cell>
        </row>
        <row r="42">
          <cell r="A42">
            <v>41</v>
          </cell>
          <cell r="C42" t="str">
            <v>INNOV</v>
          </cell>
          <cell r="I42">
            <v>0</v>
          </cell>
        </row>
        <row r="43">
          <cell r="A43">
            <v>42</v>
          </cell>
          <cell r="B43" t="str">
            <v>WIRI</v>
          </cell>
          <cell r="C43" t="str">
            <v>INNOV</v>
          </cell>
          <cell r="E43" t="str">
            <v>Le Snak Innovation</v>
          </cell>
          <cell r="F43" t="str">
            <v>B</v>
          </cell>
          <cell r="I43">
            <v>800</v>
          </cell>
          <cell r="M43">
            <v>800</v>
          </cell>
        </row>
        <row r="44">
          <cell r="A44">
            <v>43</v>
          </cell>
          <cell r="B44" t="str">
            <v>WIRI</v>
          </cell>
          <cell r="C44" t="str">
            <v>INNOV</v>
          </cell>
          <cell r="E44" t="str">
            <v>Hula Hoops</v>
          </cell>
          <cell r="F44" t="str">
            <v>C</v>
          </cell>
          <cell r="I44">
            <v>1000</v>
          </cell>
          <cell r="M44">
            <v>1000</v>
          </cell>
        </row>
        <row r="45">
          <cell r="A45">
            <v>44</v>
          </cell>
          <cell r="C45" t="str">
            <v>INNOV</v>
          </cell>
          <cell r="I45">
            <v>0</v>
          </cell>
        </row>
        <row r="46">
          <cell r="A46">
            <v>45</v>
          </cell>
          <cell r="B46" t="str">
            <v>WIRI</v>
          </cell>
          <cell r="C46" t="str">
            <v>INNOV</v>
          </cell>
          <cell r="E46" t="str">
            <v>Le Snak double dip</v>
          </cell>
          <cell r="I46">
            <v>800</v>
          </cell>
          <cell r="M46">
            <v>800</v>
          </cell>
          <cell r="W46" t="str">
            <v>additional dip prep &amp; depsit and mould to 3 compartments</v>
          </cell>
        </row>
        <row r="47">
          <cell r="A47">
            <v>46</v>
          </cell>
          <cell r="B47" t="str">
            <v>WIRI</v>
          </cell>
          <cell r="C47" t="str">
            <v>INNOV</v>
          </cell>
          <cell r="E47" t="str">
            <v>Savoury bars</v>
          </cell>
          <cell r="I47">
            <v>50</v>
          </cell>
          <cell r="M47">
            <v>50</v>
          </cell>
          <cell r="W47" t="str">
            <v>oven/drier installed into muesli line similar to UTC Hi topps mods</v>
          </cell>
        </row>
        <row r="48">
          <cell r="A48">
            <v>47</v>
          </cell>
          <cell r="B48" t="str">
            <v>WIRI</v>
          </cell>
          <cell r="C48" t="str">
            <v>INNOV</v>
          </cell>
          <cell r="E48" t="str">
            <v>FFY tongue tattoos</v>
          </cell>
          <cell r="I48">
            <v>150</v>
          </cell>
          <cell r="M48">
            <v>150</v>
          </cell>
          <cell r="W48" t="str">
            <v>Food grade inkjet of artwork onto roll Ups</v>
          </cell>
        </row>
        <row r="49">
          <cell r="A49">
            <v>48</v>
          </cell>
          <cell r="B49" t="str">
            <v>WIRI</v>
          </cell>
          <cell r="C49" t="str">
            <v>INNOV</v>
          </cell>
          <cell r="E49" t="str">
            <v>Grainwaves co-extrusion</v>
          </cell>
          <cell r="I49">
            <v>800</v>
          </cell>
          <cell r="M49">
            <v>800</v>
          </cell>
          <cell r="W49" t="str">
            <v>co extrusion head and filling prep and supply</v>
          </cell>
        </row>
        <row r="50">
          <cell r="A50">
            <v>49</v>
          </cell>
          <cell r="B50" t="str">
            <v>WIRI</v>
          </cell>
          <cell r="C50" t="str">
            <v>INNOV</v>
          </cell>
          <cell r="E50" t="str">
            <v>Kettle flavour plus</v>
          </cell>
          <cell r="I50">
            <v>100</v>
          </cell>
          <cell r="M50">
            <v>100</v>
          </cell>
        </row>
        <row r="51">
          <cell r="A51">
            <v>50</v>
          </cell>
          <cell r="C51" t="str">
            <v>INNOV</v>
          </cell>
        </row>
        <row r="52">
          <cell r="A52">
            <v>51</v>
          </cell>
          <cell r="C52" t="str">
            <v>INNOV</v>
          </cell>
        </row>
        <row r="53">
          <cell r="A53">
            <v>52</v>
          </cell>
          <cell r="C53" t="str">
            <v>INNOV</v>
          </cell>
        </row>
        <row r="54">
          <cell r="A54">
            <v>53</v>
          </cell>
          <cell r="C54" t="str">
            <v>INNOV</v>
          </cell>
          <cell r="E54" t="str">
            <v>SUB-TOTAL</v>
          </cell>
          <cell r="I54">
            <v>85350</v>
          </cell>
          <cell r="J54">
            <v>16900</v>
          </cell>
          <cell r="K54">
            <v>20150</v>
          </cell>
          <cell r="L54">
            <v>2600</v>
          </cell>
          <cell r="M54">
            <v>18700</v>
          </cell>
          <cell r="N54">
            <v>0</v>
          </cell>
          <cell r="O54">
            <v>0</v>
          </cell>
          <cell r="P54">
            <v>0</v>
          </cell>
          <cell r="Q54">
            <v>30</v>
          </cell>
          <cell r="R54">
            <v>0</v>
          </cell>
          <cell r="S54">
            <v>450</v>
          </cell>
        </row>
        <row r="55">
          <cell r="A55">
            <v>54</v>
          </cell>
          <cell r="D55" t="str">
            <v>PRODUCTIVITY</v>
          </cell>
        </row>
        <row r="56">
          <cell r="A56">
            <v>55</v>
          </cell>
          <cell r="I56">
            <v>0</v>
          </cell>
        </row>
        <row r="57">
          <cell r="A57">
            <v>56</v>
          </cell>
          <cell r="I57">
            <v>0</v>
          </cell>
        </row>
        <row r="58">
          <cell r="A58">
            <v>57</v>
          </cell>
        </row>
        <row r="59">
          <cell r="A59">
            <v>58</v>
          </cell>
          <cell r="E59" t="str">
            <v>SUB-TOTAL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</row>
        <row r="60">
          <cell r="A60">
            <v>59</v>
          </cell>
          <cell r="D60" t="str">
            <v>SUSTAINABILITY</v>
          </cell>
          <cell r="E60" t="str">
            <v>INVESTMENTS TOWARDS REDUCTION IN WATER, ENERGY &amp; WASTE TO LANDFILL; management of effluent etc</v>
          </cell>
        </row>
        <row r="61">
          <cell r="A61">
            <v>60</v>
          </cell>
          <cell r="C61" t="str">
            <v>SUSTAIN.</v>
          </cell>
          <cell r="E61" t="str">
            <v>National ReCon</v>
          </cell>
          <cell r="I61">
            <v>7500</v>
          </cell>
          <cell r="K61">
            <v>500</v>
          </cell>
          <cell r="L61">
            <v>1500</v>
          </cell>
          <cell r="M61">
            <v>5500</v>
          </cell>
        </row>
        <row r="62">
          <cell r="A62">
            <v>61</v>
          </cell>
          <cell r="I62">
            <v>0</v>
          </cell>
        </row>
        <row r="63">
          <cell r="A63">
            <v>62</v>
          </cell>
        </row>
        <row r="64">
          <cell r="E64" t="str">
            <v>SUB-TOTAL</v>
          </cell>
          <cell r="I64">
            <v>7500</v>
          </cell>
          <cell r="J64">
            <v>0</v>
          </cell>
          <cell r="K64">
            <v>500</v>
          </cell>
          <cell r="L64">
            <v>1500</v>
          </cell>
          <cell r="M64">
            <v>5500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</row>
        <row r="65">
          <cell r="D65" t="str">
            <v>QUALITY /PRODUCT IMPR.</v>
          </cell>
        </row>
        <row r="66">
          <cell r="I66">
            <v>0</v>
          </cell>
        </row>
        <row r="67">
          <cell r="I67">
            <v>0</v>
          </cell>
        </row>
        <row r="69">
          <cell r="E69" t="str">
            <v>SUB-TOTAL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D70" t="str">
            <v>OTHER</v>
          </cell>
        </row>
        <row r="71">
          <cell r="I71">
            <v>0</v>
          </cell>
        </row>
        <row r="72">
          <cell r="I72">
            <v>0</v>
          </cell>
        </row>
        <row r="74">
          <cell r="E74" t="str">
            <v>SUB-TOTAL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6">
          <cell r="E76" t="str">
            <v>TOTAL</v>
          </cell>
          <cell r="I76">
            <v>92850</v>
          </cell>
          <cell r="J76">
            <v>16900</v>
          </cell>
          <cell r="K76">
            <v>20650</v>
          </cell>
          <cell r="L76">
            <v>4100</v>
          </cell>
          <cell r="M76">
            <v>24200</v>
          </cell>
          <cell r="N76">
            <v>0</v>
          </cell>
          <cell r="O76">
            <v>0</v>
          </cell>
          <cell r="P76">
            <v>0</v>
          </cell>
          <cell r="Q76">
            <v>30</v>
          </cell>
          <cell r="R76">
            <v>0</v>
          </cell>
          <cell r="S76">
            <v>450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</row>
        <row r="2">
          <cell r="A2">
            <v>2</v>
          </cell>
          <cell r="B2" t="str">
            <v>WIRI</v>
          </cell>
        </row>
        <row r="3">
          <cell r="A3">
            <v>3</v>
          </cell>
          <cell r="B3" t="str">
            <v>WIRI</v>
          </cell>
          <cell r="E3" t="str">
            <v>2007 AOP</v>
          </cell>
          <cell r="G3" t="str">
            <v>ABC Priority : A = High - Must do; B = Med - Should do; C = Low - Can wait</v>
          </cell>
        </row>
        <row r="4">
          <cell r="A4">
            <v>4</v>
          </cell>
          <cell r="B4" t="str">
            <v>WIRI</v>
          </cell>
          <cell r="E4" t="str">
            <v>2008-2010 STRATEGIC PLAN</v>
          </cell>
        </row>
        <row r="5">
          <cell r="A5">
            <v>5</v>
          </cell>
          <cell r="B5" t="str">
            <v>WIRI</v>
          </cell>
          <cell r="E5" t="str">
            <v>CAPITAL EXPENDITURE</v>
          </cell>
        </row>
        <row r="6">
          <cell r="A6">
            <v>6</v>
          </cell>
          <cell r="B6" t="str">
            <v>WIRI</v>
          </cell>
        </row>
        <row r="7">
          <cell r="A7">
            <v>7</v>
          </cell>
          <cell r="B7" t="str">
            <v>WIRI</v>
          </cell>
          <cell r="E7" t="str">
            <v>WIRI</v>
          </cell>
          <cell r="F7" t="str">
            <v>PRIORITY</v>
          </cell>
          <cell r="H7" t="str">
            <v>DEPRN
RATE (%)</v>
          </cell>
          <cell r="I7" t="str">
            <v>APPROVED/
PROPOSED
CAPEX
AMOUNT
($'000)</v>
          </cell>
          <cell r="J7" t="str">
            <v>PLANNED 2007 
SPEND
($'000)</v>
          </cell>
          <cell r="K7" t="str">
            <v>2008 
SPEND
($'000)</v>
          </cell>
          <cell r="L7" t="str">
            <v>2009 
SPEND
($'000)</v>
          </cell>
          <cell r="M7" t="str">
            <v>2010 
SPEND
($'000)</v>
          </cell>
          <cell r="N7" t="str">
            <v>CARRY-OVER PROJECTS</v>
          </cell>
          <cell r="Q7" t="str">
            <v>PROJECT
EXPENSE
($'000)</v>
          </cell>
          <cell r="R7" t="str">
            <v>ASSET
DISPOSAL
($'000)</v>
          </cell>
          <cell r="S7" t="str">
            <v>ANNUAL
PROJECT
SAVINGS
($'000)</v>
          </cell>
          <cell r="U7" t="str">
            <v>2008 EXECUTION PLAN</v>
          </cell>
          <cell r="W7" t="str">
            <v>DESCRIPTION,  RATIONALE,  NOTES</v>
          </cell>
        </row>
        <row r="8">
          <cell r="A8">
            <v>8</v>
          </cell>
          <cell r="B8" t="str">
            <v>WIRI</v>
          </cell>
          <cell r="D8" t="str">
            <v>PROJECT TYPE</v>
          </cell>
          <cell r="E8" t="str">
            <v>PROJECT NAME</v>
          </cell>
          <cell r="N8" t="str">
            <v>PROJECT
NUMBER</v>
          </cell>
          <cell r="O8" t="str">
            <v>INTERNALORDER
NUMBER</v>
          </cell>
          <cell r="P8" t="str">
            <v>2007FY
AUC Level
($'000)</v>
          </cell>
          <cell r="T8" t="str">
            <v>PLANNED
APPROVAL
Q1,Q2,Q3,Q4</v>
          </cell>
          <cell r="U8" t="str">
            <v>PROJECT
START-UP
Q1,Q2,Q3,Q4</v>
          </cell>
          <cell r="V8" t="str">
            <v>2007
SPEND</v>
          </cell>
        </row>
        <row r="9">
          <cell r="A9">
            <v>9</v>
          </cell>
          <cell r="B9" t="str">
            <v>WIRI</v>
          </cell>
        </row>
        <row r="10">
          <cell r="A10">
            <v>10</v>
          </cell>
          <cell r="B10" t="str">
            <v>WIRI</v>
          </cell>
          <cell r="D10" t="str">
            <v>CAPACITY/  Growth</v>
          </cell>
        </row>
        <row r="11">
          <cell r="A11">
            <v>99</v>
          </cell>
          <cell r="B11" t="str">
            <v>WIRI</v>
          </cell>
          <cell r="C11" t="str">
            <v>INNOV</v>
          </cell>
          <cell r="E11" t="str">
            <v>TC New Line</v>
          </cell>
          <cell r="F11" t="str">
            <v>A</v>
          </cell>
          <cell r="I11">
            <v>0</v>
          </cell>
        </row>
        <row r="12">
          <cell r="A12">
            <v>99</v>
          </cell>
          <cell r="B12" t="str">
            <v>WIRI</v>
          </cell>
          <cell r="C12" t="str">
            <v>INNOV</v>
          </cell>
          <cell r="E12" t="str">
            <v>GW Capacity Improvement</v>
          </cell>
          <cell r="F12" t="str">
            <v>B</v>
          </cell>
          <cell r="I12">
            <v>0</v>
          </cell>
        </row>
        <row r="13">
          <cell r="A13">
            <v>99</v>
          </cell>
          <cell r="B13" t="str">
            <v>WIRI</v>
          </cell>
          <cell r="C13" t="str">
            <v>INNOV</v>
          </cell>
          <cell r="E13" t="str">
            <v>Le Snak Innovation</v>
          </cell>
          <cell r="F13" t="str">
            <v>B</v>
          </cell>
          <cell r="K13" t="str">
            <v>on innov page</v>
          </cell>
        </row>
        <row r="14">
          <cell r="A14">
            <v>99</v>
          </cell>
          <cell r="B14" t="str">
            <v>WIRI</v>
          </cell>
          <cell r="C14" t="str">
            <v>INNOV</v>
          </cell>
          <cell r="E14" t="str">
            <v>Hula Hoops (Marlin extruder)</v>
          </cell>
          <cell r="F14" t="str">
            <v>C</v>
          </cell>
          <cell r="K14" t="str">
            <v>on innov page</v>
          </cell>
        </row>
        <row r="15">
          <cell r="A15">
            <v>16</v>
          </cell>
          <cell r="B15" t="str">
            <v>WIRI</v>
          </cell>
          <cell r="C15" t="str">
            <v>GROWTH</v>
          </cell>
          <cell r="E15" t="str">
            <v>Roll Up Line Upgrade</v>
          </cell>
          <cell r="F15" t="str">
            <v>C</v>
          </cell>
          <cell r="I15">
            <v>500</v>
          </cell>
          <cell r="J15">
            <v>200</v>
          </cell>
          <cell r="K15">
            <v>300</v>
          </cell>
        </row>
        <row r="16">
          <cell r="A16">
            <v>17</v>
          </cell>
          <cell r="B16" t="str">
            <v>WIRI</v>
          </cell>
          <cell r="C16" t="str">
            <v>GROWTH</v>
          </cell>
          <cell r="E16" t="str">
            <v>5th Palletising robot</v>
          </cell>
          <cell r="I16">
            <v>750</v>
          </cell>
          <cell r="M16">
            <v>750</v>
          </cell>
        </row>
        <row r="17">
          <cell r="A17">
            <v>18</v>
          </cell>
          <cell r="B17" t="str">
            <v>WIRI</v>
          </cell>
          <cell r="C17" t="str">
            <v>GROWTH</v>
          </cell>
          <cell r="E17" t="str">
            <v>Grainwaves line upgrade - HX, fryer, packing</v>
          </cell>
          <cell r="I17">
            <v>2500</v>
          </cell>
          <cell r="K17">
            <v>2500</v>
          </cell>
        </row>
        <row r="18">
          <cell r="A18">
            <v>20</v>
          </cell>
          <cell r="B18" t="str">
            <v>WIRI</v>
          </cell>
          <cell r="C18" t="str">
            <v>GROWTH</v>
          </cell>
        </row>
        <row r="19">
          <cell r="A19">
            <v>21</v>
          </cell>
          <cell r="B19" t="str">
            <v>WIRI</v>
          </cell>
          <cell r="E19" t="str">
            <v>SUB-TOTAL</v>
          </cell>
          <cell r="I19">
            <v>3750</v>
          </cell>
          <cell r="J19">
            <v>200</v>
          </cell>
          <cell r="K19">
            <v>2800</v>
          </cell>
          <cell r="L19">
            <v>0</v>
          </cell>
          <cell r="M19">
            <v>750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A20">
            <v>22</v>
          </cell>
          <cell r="B20" t="str">
            <v>WIRI</v>
          </cell>
          <cell r="D20" t="str">
            <v>PRODUCTIVITY</v>
          </cell>
        </row>
        <row r="21">
          <cell r="A21">
            <v>23</v>
          </cell>
          <cell r="B21" t="str">
            <v>WIRI</v>
          </cell>
          <cell r="C21" t="str">
            <v>PROD</v>
          </cell>
          <cell r="E21" t="str">
            <v>Gas Systems improvement</v>
          </cell>
          <cell r="F21" t="str">
            <v>A</v>
          </cell>
          <cell r="I21">
            <v>100</v>
          </cell>
          <cell r="L21">
            <v>100</v>
          </cell>
        </row>
        <row r="22">
          <cell r="A22">
            <v>24</v>
          </cell>
          <cell r="B22" t="str">
            <v>WIRI</v>
          </cell>
          <cell r="C22" t="str">
            <v>PROD</v>
          </cell>
          <cell r="E22" t="str">
            <v>Piece Integrity Equipment</v>
          </cell>
          <cell r="F22" t="str">
            <v>A</v>
          </cell>
          <cell r="I22">
            <v>1500</v>
          </cell>
          <cell r="J22">
            <v>500</v>
          </cell>
          <cell r="K22">
            <v>1000</v>
          </cell>
        </row>
        <row r="23">
          <cell r="A23">
            <v>25</v>
          </cell>
          <cell r="B23" t="str">
            <v>WIRI</v>
          </cell>
          <cell r="C23" t="str">
            <v>PROD</v>
          </cell>
          <cell r="E23" t="str">
            <v>CI Productivity Initiatives</v>
          </cell>
          <cell r="F23" t="str">
            <v>A</v>
          </cell>
          <cell r="I23">
            <v>400</v>
          </cell>
          <cell r="J23">
            <v>250</v>
          </cell>
          <cell r="K23">
            <v>50</v>
          </cell>
          <cell r="L23">
            <v>50</v>
          </cell>
          <cell r="M23">
            <v>50</v>
          </cell>
        </row>
        <row r="24">
          <cell r="A24">
            <v>26</v>
          </cell>
          <cell r="B24" t="str">
            <v>WIRI</v>
          </cell>
          <cell r="C24" t="str">
            <v>PROD</v>
          </cell>
          <cell r="E24" t="str">
            <v>Muesli line mechanical, electrical &amp; control upgrade</v>
          </cell>
          <cell r="F24" t="str">
            <v>A</v>
          </cell>
          <cell r="I24">
            <v>250</v>
          </cell>
          <cell r="J24">
            <v>150</v>
          </cell>
          <cell r="K24">
            <v>50</v>
          </cell>
          <cell r="M24">
            <v>50</v>
          </cell>
        </row>
        <row r="25">
          <cell r="A25">
            <v>27</v>
          </cell>
          <cell r="B25" t="str">
            <v>WIRI</v>
          </cell>
          <cell r="C25" t="str">
            <v>PROD</v>
          </cell>
          <cell r="E25" t="str">
            <v>Gen 2 Slicing</v>
          </cell>
          <cell r="F25" t="str">
            <v>B</v>
          </cell>
          <cell r="I25">
            <v>0</v>
          </cell>
        </row>
        <row r="26">
          <cell r="A26">
            <v>28</v>
          </cell>
          <cell r="B26" t="str">
            <v>WIRI</v>
          </cell>
          <cell r="C26" t="str">
            <v>PROD</v>
          </cell>
          <cell r="E26" t="str">
            <v>Electrical Systems</v>
          </cell>
          <cell r="F26" t="str">
            <v>C</v>
          </cell>
          <cell r="I26">
            <v>100</v>
          </cell>
          <cell r="K26">
            <v>50</v>
          </cell>
          <cell r="M26">
            <v>50</v>
          </cell>
        </row>
        <row r="27">
          <cell r="A27">
            <v>29</v>
          </cell>
          <cell r="B27" t="str">
            <v>WIRI</v>
          </cell>
          <cell r="C27" t="str">
            <v>PROD</v>
          </cell>
          <cell r="E27" t="str">
            <v>Packaging Automation</v>
          </cell>
          <cell r="F27" t="str">
            <v>C</v>
          </cell>
          <cell r="I27">
            <v>1000</v>
          </cell>
          <cell r="L27">
            <v>500</v>
          </cell>
          <cell r="M27">
            <v>500</v>
          </cell>
        </row>
        <row r="28">
          <cell r="A28">
            <v>30</v>
          </cell>
          <cell r="B28" t="str">
            <v>WIRI</v>
          </cell>
          <cell r="C28" t="str">
            <v>PROD</v>
          </cell>
          <cell r="E28" t="str">
            <v>Packing stations PC line x 3 + seasoning</v>
          </cell>
          <cell r="I28">
            <v>2000</v>
          </cell>
          <cell r="K28">
            <v>1000</v>
          </cell>
          <cell r="L28">
            <v>1000</v>
          </cell>
        </row>
        <row r="29">
          <cell r="A29">
            <v>31</v>
          </cell>
          <cell r="B29" t="str">
            <v>WIRI</v>
          </cell>
          <cell r="C29" t="str">
            <v>PROD</v>
          </cell>
        </row>
        <row r="30">
          <cell r="B30" t="str">
            <v>WIRI</v>
          </cell>
          <cell r="C30" t="str">
            <v>PROD</v>
          </cell>
          <cell r="E30" t="str">
            <v>SUB-TOTAL</v>
          </cell>
          <cell r="I30">
            <v>5350</v>
          </cell>
          <cell r="J30">
            <v>900</v>
          </cell>
          <cell r="K30">
            <v>2150</v>
          </cell>
          <cell r="L30">
            <v>1650</v>
          </cell>
          <cell r="M30">
            <v>650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A31">
            <v>32</v>
          </cell>
          <cell r="B31" t="str">
            <v>WIRI</v>
          </cell>
          <cell r="D31" t="str">
            <v>SUSTAINABILITY</v>
          </cell>
          <cell r="E31" t="str">
            <v>INVESTMENTS TOWARDS REDUCTION IN WATER, ENERGY &amp; WASTE TO LANDFILL; management of effluent etc</v>
          </cell>
        </row>
        <row r="32">
          <cell r="A32">
            <v>33</v>
          </cell>
          <cell r="B32" t="str">
            <v>WIRI</v>
          </cell>
          <cell r="C32" t="str">
            <v>SUSTAIN.</v>
          </cell>
          <cell r="E32" t="str">
            <v>Water Recycling</v>
          </cell>
          <cell r="F32" t="str">
            <v>A</v>
          </cell>
          <cell r="I32">
            <v>325</v>
          </cell>
          <cell r="J32">
            <v>25</v>
          </cell>
          <cell r="K32">
            <v>100</v>
          </cell>
          <cell r="L32">
            <v>100</v>
          </cell>
          <cell r="M32">
            <v>100</v>
          </cell>
        </row>
        <row r="33">
          <cell r="A33">
            <v>34</v>
          </cell>
          <cell r="B33" t="str">
            <v>WIRI</v>
          </cell>
          <cell r="C33" t="str">
            <v>SUSTAIN.</v>
          </cell>
          <cell r="E33" t="str">
            <v>Trade Waste Treatment</v>
          </cell>
          <cell r="F33" t="str">
            <v>B</v>
          </cell>
          <cell r="I33">
            <v>200</v>
          </cell>
          <cell r="M33">
            <v>200</v>
          </cell>
        </row>
        <row r="34">
          <cell r="A34">
            <v>35</v>
          </cell>
          <cell r="B34" t="str">
            <v>WIRI</v>
          </cell>
          <cell r="C34" t="str">
            <v>SUSTAIN.</v>
          </cell>
          <cell r="I34">
            <v>0</v>
          </cell>
        </row>
        <row r="35">
          <cell r="A35">
            <v>36</v>
          </cell>
          <cell r="B35" t="str">
            <v>WIRI</v>
          </cell>
          <cell r="C35" t="str">
            <v>SUSTAIN.</v>
          </cell>
          <cell r="I35">
            <v>0</v>
          </cell>
        </row>
        <row r="36">
          <cell r="A36">
            <v>37</v>
          </cell>
          <cell r="B36" t="str">
            <v>WIRI</v>
          </cell>
          <cell r="C36" t="str">
            <v>SUSTAIN.</v>
          </cell>
        </row>
        <row r="37">
          <cell r="A37">
            <v>38</v>
          </cell>
          <cell r="B37" t="str">
            <v>WIRI</v>
          </cell>
          <cell r="C37" t="str">
            <v>SUSTAIN.</v>
          </cell>
          <cell r="E37" t="str">
            <v>SUB-TOTAL</v>
          </cell>
          <cell r="I37">
            <v>525</v>
          </cell>
          <cell r="J37">
            <v>25</v>
          </cell>
          <cell r="K37">
            <v>100</v>
          </cell>
          <cell r="L37">
            <v>100</v>
          </cell>
          <cell r="M37">
            <v>300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</row>
        <row r="38">
          <cell r="A38">
            <v>39</v>
          </cell>
          <cell r="B38" t="str">
            <v>WIRI</v>
          </cell>
          <cell r="D38" t="str">
            <v>QUALITY /PRODUCT IMPR.</v>
          </cell>
        </row>
        <row r="39">
          <cell r="A39">
            <v>40</v>
          </cell>
          <cell r="B39" t="str">
            <v>WIRI</v>
          </cell>
          <cell r="C39" t="str">
            <v>QUALITY</v>
          </cell>
          <cell r="E39" t="str">
            <v>Upgrade PC Washing, Slicing and Prefry system</v>
          </cell>
          <cell r="F39" t="str">
            <v>A</v>
          </cell>
          <cell r="I39">
            <v>2100</v>
          </cell>
          <cell r="K39">
            <v>2100</v>
          </cell>
        </row>
        <row r="40">
          <cell r="A40">
            <v>41</v>
          </cell>
          <cell r="B40" t="str">
            <v>WIRI</v>
          </cell>
          <cell r="C40" t="str">
            <v>QUALITY</v>
          </cell>
          <cell r="E40" t="str">
            <v>Optical Sorter</v>
          </cell>
          <cell r="F40" t="str">
            <v>A</v>
          </cell>
          <cell r="I40">
            <v>1000</v>
          </cell>
          <cell r="K40">
            <v>1000</v>
          </cell>
        </row>
        <row r="41">
          <cell r="A41">
            <v>42</v>
          </cell>
          <cell r="B41" t="str">
            <v>WIRI</v>
          </cell>
          <cell r="C41" t="str">
            <v>QUALITY</v>
          </cell>
          <cell r="E41" t="str">
            <v>QA lab equipment</v>
          </cell>
          <cell r="I41">
            <v>300</v>
          </cell>
          <cell r="K41">
            <v>150</v>
          </cell>
          <cell r="L41">
            <v>100</v>
          </cell>
          <cell r="M41">
            <v>50</v>
          </cell>
        </row>
        <row r="42">
          <cell r="A42">
            <v>99</v>
          </cell>
          <cell r="B42" t="str">
            <v>WIRI</v>
          </cell>
          <cell r="C42" t="str">
            <v>QUALITY</v>
          </cell>
          <cell r="E42" t="str">
            <v>Quality Lab</v>
          </cell>
          <cell r="F42" t="str">
            <v>A</v>
          </cell>
          <cell r="I42">
            <v>0</v>
          </cell>
        </row>
        <row r="43">
          <cell r="A43">
            <v>44</v>
          </cell>
          <cell r="B43" t="str">
            <v>WIRI</v>
          </cell>
          <cell r="C43" t="str">
            <v>QUALITY</v>
          </cell>
          <cell r="E43" t="str">
            <v>Moisture Control and Fryer Automation</v>
          </cell>
          <cell r="F43" t="str">
            <v>A</v>
          </cell>
          <cell r="I43">
            <v>250</v>
          </cell>
          <cell r="K43">
            <v>250</v>
          </cell>
        </row>
        <row r="44">
          <cell r="A44">
            <v>45</v>
          </cell>
          <cell r="B44" t="str">
            <v>WIRI</v>
          </cell>
          <cell r="C44" t="str">
            <v>QUALITY</v>
          </cell>
          <cell r="E44" t="str">
            <v>Nitrogen Capability</v>
          </cell>
          <cell r="F44" t="str">
            <v>B</v>
          </cell>
          <cell r="I44">
            <v>450</v>
          </cell>
          <cell r="L44">
            <v>450</v>
          </cell>
        </row>
        <row r="45">
          <cell r="A45">
            <v>46</v>
          </cell>
          <cell r="B45" t="str">
            <v>WIRI</v>
          </cell>
          <cell r="C45" t="str">
            <v>QUALITY</v>
          </cell>
          <cell r="E45" t="str">
            <v>PC Seasoning Upgrade</v>
          </cell>
          <cell r="F45" t="str">
            <v>B</v>
          </cell>
          <cell r="I45">
            <v>1000</v>
          </cell>
          <cell r="L45">
            <v>1000</v>
          </cell>
        </row>
        <row r="46">
          <cell r="A46">
            <v>47</v>
          </cell>
          <cell r="B46" t="str">
            <v>WIRI</v>
          </cell>
          <cell r="C46" t="str">
            <v>QUALITY</v>
          </cell>
          <cell r="E46" t="str">
            <v>Sunola &amp; Oil Quality</v>
          </cell>
          <cell r="F46" t="str">
            <v>B</v>
          </cell>
          <cell r="I46">
            <v>300</v>
          </cell>
          <cell r="J46">
            <v>50</v>
          </cell>
          <cell r="K46">
            <v>250</v>
          </cell>
        </row>
        <row r="47">
          <cell r="A47">
            <v>48</v>
          </cell>
          <cell r="B47" t="str">
            <v>WIRI</v>
          </cell>
          <cell r="C47" t="str">
            <v>QUALITY</v>
          </cell>
          <cell r="E47" t="str">
            <v>Breakage Control</v>
          </cell>
          <cell r="F47" t="str">
            <v>C</v>
          </cell>
          <cell r="I47">
            <v>400</v>
          </cell>
          <cell r="M47">
            <v>400</v>
          </cell>
        </row>
        <row r="48">
          <cell r="A48">
            <v>49</v>
          </cell>
          <cell r="B48" t="str">
            <v>WIRI</v>
          </cell>
          <cell r="C48" t="str">
            <v>QUALITY</v>
          </cell>
          <cell r="E48" t="str">
            <v>Remove Blanching</v>
          </cell>
          <cell r="F48" t="str">
            <v>C</v>
          </cell>
          <cell r="I48">
            <v>100</v>
          </cell>
          <cell r="M48">
            <v>100</v>
          </cell>
        </row>
        <row r="49">
          <cell r="A49">
            <v>50</v>
          </cell>
          <cell r="B49" t="str">
            <v>WIRI</v>
          </cell>
          <cell r="C49" t="str">
            <v>QUALITY</v>
          </cell>
          <cell r="E49" t="str">
            <v>Cereals Seaoning Upgrade</v>
          </cell>
          <cell r="F49" t="str">
            <v>C</v>
          </cell>
          <cell r="I49">
            <v>375</v>
          </cell>
          <cell r="M49">
            <v>375</v>
          </cell>
        </row>
        <row r="50">
          <cell r="A50">
            <v>51</v>
          </cell>
          <cell r="B50" t="str">
            <v>WIRI</v>
          </cell>
          <cell r="C50" t="str">
            <v>QUALITY</v>
          </cell>
          <cell r="E50" t="str">
            <v>Kettles quality improvement</v>
          </cell>
          <cell r="I50">
            <v>100</v>
          </cell>
          <cell r="M50">
            <v>100</v>
          </cell>
          <cell r="W50" t="str">
            <v>slicer head double adjustment, install optical sorter from Krispa</v>
          </cell>
        </row>
        <row r="51">
          <cell r="A51">
            <v>52</v>
          </cell>
          <cell r="B51" t="str">
            <v>WIRI</v>
          </cell>
          <cell r="C51" t="str">
            <v>QUALITY</v>
          </cell>
          <cell r="I51">
            <v>0</v>
          </cell>
        </row>
        <row r="52">
          <cell r="A52">
            <v>53</v>
          </cell>
          <cell r="B52" t="str">
            <v>WIRI</v>
          </cell>
          <cell r="C52" t="str">
            <v>QUALITY</v>
          </cell>
        </row>
        <row r="53">
          <cell r="A53">
            <v>54</v>
          </cell>
          <cell r="B53" t="str">
            <v>WIRI</v>
          </cell>
          <cell r="C53" t="str">
            <v>QUALITY</v>
          </cell>
          <cell r="E53" t="str">
            <v>SUB-TOTAL</v>
          </cell>
          <cell r="I53">
            <v>6375</v>
          </cell>
          <cell r="J53">
            <v>50</v>
          </cell>
          <cell r="K53">
            <v>3750</v>
          </cell>
          <cell r="L53">
            <v>1550</v>
          </cell>
          <cell r="M53">
            <v>1025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</row>
        <row r="54">
          <cell r="A54">
            <v>55</v>
          </cell>
          <cell r="B54" t="str">
            <v>WIRI</v>
          </cell>
          <cell r="C54" t="str">
            <v>OTHER</v>
          </cell>
          <cell r="D54" t="str">
            <v>OTHER</v>
          </cell>
          <cell r="E54" t="str">
            <v>Wiri:</v>
          </cell>
        </row>
        <row r="55">
          <cell r="A55">
            <v>56</v>
          </cell>
          <cell r="B55" t="str">
            <v>WIRI</v>
          </cell>
          <cell r="C55" t="str">
            <v>OTHER</v>
          </cell>
          <cell r="E55" t="str">
            <v>Staff/Office Amentities - cafeteria upgrade (101M)</v>
          </cell>
          <cell r="I55">
            <v>300</v>
          </cell>
          <cell r="J55">
            <v>200</v>
          </cell>
          <cell r="L55">
            <v>50</v>
          </cell>
          <cell r="M55">
            <v>50</v>
          </cell>
        </row>
        <row r="56">
          <cell r="A56">
            <v>57</v>
          </cell>
          <cell r="B56" t="str">
            <v>WIRI</v>
          </cell>
          <cell r="C56" t="str">
            <v>OTHER</v>
          </cell>
          <cell r="E56" t="str">
            <v>Fire Services : Sprinklers</v>
          </cell>
          <cell r="I56">
            <v>225</v>
          </cell>
          <cell r="J56">
            <v>25</v>
          </cell>
          <cell r="M56">
            <v>200</v>
          </cell>
        </row>
        <row r="57">
          <cell r="A57">
            <v>58</v>
          </cell>
          <cell r="B57" t="str">
            <v>WIRI</v>
          </cell>
          <cell r="C57" t="str">
            <v>OTHER</v>
          </cell>
          <cell r="E57" t="str">
            <v xml:space="preserve">Safety </v>
          </cell>
          <cell r="I57">
            <v>225</v>
          </cell>
          <cell r="J57">
            <v>75</v>
          </cell>
          <cell r="K57">
            <v>50</v>
          </cell>
          <cell r="L57">
            <v>50</v>
          </cell>
          <cell r="M57">
            <v>50</v>
          </cell>
        </row>
        <row r="58">
          <cell r="A58">
            <v>59</v>
          </cell>
          <cell r="B58" t="str">
            <v>WIRI</v>
          </cell>
          <cell r="C58" t="str">
            <v>OTHER</v>
          </cell>
          <cell r="I58">
            <v>0</v>
          </cell>
        </row>
        <row r="59">
          <cell r="A59">
            <v>60</v>
          </cell>
          <cell r="B59" t="str">
            <v>WIRI</v>
          </cell>
          <cell r="C59" t="str">
            <v>OTHER</v>
          </cell>
        </row>
        <row r="60">
          <cell r="A60">
            <v>61</v>
          </cell>
          <cell r="B60" t="str">
            <v>WIRI</v>
          </cell>
          <cell r="C60" t="str">
            <v>OTHER</v>
          </cell>
          <cell r="E60" t="str">
            <v>SUB-TOTAL</v>
          </cell>
          <cell r="I60">
            <v>750</v>
          </cell>
          <cell r="J60">
            <v>300</v>
          </cell>
          <cell r="K60">
            <v>50</v>
          </cell>
          <cell r="L60">
            <v>100</v>
          </cell>
          <cell r="M60">
            <v>300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</row>
        <row r="61">
          <cell r="A61">
            <v>62</v>
          </cell>
          <cell r="B61" t="str">
            <v>WIRI</v>
          </cell>
          <cell r="C61" t="str">
            <v>OTHER</v>
          </cell>
          <cell r="D61" t="str">
            <v>FIP</v>
          </cell>
          <cell r="E61" t="str">
            <v>Wiri:</v>
          </cell>
        </row>
        <row r="62">
          <cell r="A62">
            <v>63</v>
          </cell>
          <cell r="B62" t="str">
            <v>WIRI</v>
          </cell>
          <cell r="C62" t="str">
            <v>OTHER</v>
          </cell>
          <cell r="E62" t="str">
            <v>Regulatory Compliance</v>
          </cell>
          <cell r="F62" t="str">
            <v>A</v>
          </cell>
          <cell r="I62">
            <v>200</v>
          </cell>
          <cell r="J62">
            <v>50</v>
          </cell>
          <cell r="K62">
            <v>50</v>
          </cell>
          <cell r="L62">
            <v>50</v>
          </cell>
          <cell r="M62">
            <v>50</v>
          </cell>
        </row>
        <row r="63">
          <cell r="A63">
            <v>64</v>
          </cell>
          <cell r="B63" t="str">
            <v>WIRI</v>
          </cell>
          <cell r="C63" t="str">
            <v>OTHER</v>
          </cell>
          <cell r="E63" t="str">
            <v>Insurance Audit Work</v>
          </cell>
          <cell r="F63" t="str">
            <v>A</v>
          </cell>
          <cell r="I63">
            <v>230</v>
          </cell>
          <cell r="J63">
            <v>180</v>
          </cell>
          <cell r="M63">
            <v>50</v>
          </cell>
          <cell r="N63" t="str">
            <v>07R302</v>
          </cell>
          <cell r="O63">
            <v>614673</v>
          </cell>
          <cell r="P63">
            <v>0</v>
          </cell>
        </row>
        <row r="64">
          <cell r="A64">
            <v>65</v>
          </cell>
          <cell r="B64" t="str">
            <v>WIRI</v>
          </cell>
          <cell r="C64" t="str">
            <v>OTHER</v>
          </cell>
          <cell r="E64" t="str">
            <v>RM Warehouse Racking</v>
          </cell>
          <cell r="F64" t="str">
            <v>B</v>
          </cell>
          <cell r="I64">
            <v>100</v>
          </cell>
          <cell r="K64">
            <v>100</v>
          </cell>
        </row>
        <row r="65">
          <cell r="A65">
            <v>66</v>
          </cell>
          <cell r="B65" t="str">
            <v>WIRI</v>
          </cell>
          <cell r="C65" t="str">
            <v>OTHER</v>
          </cell>
          <cell r="E65" t="str">
            <v>HVAC, Floors, Walls, Roof Improvement</v>
          </cell>
          <cell r="F65" t="str">
            <v>C</v>
          </cell>
          <cell r="I65">
            <v>330</v>
          </cell>
          <cell r="J65">
            <v>30</v>
          </cell>
          <cell r="K65">
            <v>100</v>
          </cell>
          <cell r="L65">
            <v>100</v>
          </cell>
          <cell r="M65">
            <v>100</v>
          </cell>
        </row>
        <row r="66">
          <cell r="A66">
            <v>67</v>
          </cell>
          <cell r="B66" t="str">
            <v>WIRI</v>
          </cell>
          <cell r="C66" t="str">
            <v>OTHER</v>
          </cell>
          <cell r="E66" t="str">
            <v>Security</v>
          </cell>
          <cell r="F66" t="str">
            <v>C</v>
          </cell>
          <cell r="I66">
            <v>500</v>
          </cell>
          <cell r="J66">
            <v>50</v>
          </cell>
          <cell r="K66">
            <v>200</v>
          </cell>
          <cell r="L66">
            <v>200</v>
          </cell>
          <cell r="M66">
            <v>50</v>
          </cell>
        </row>
        <row r="67">
          <cell r="A67">
            <v>68</v>
          </cell>
          <cell r="B67" t="str">
            <v>WIRI</v>
          </cell>
          <cell r="C67" t="str">
            <v>OTHER</v>
          </cell>
          <cell r="E67" t="str">
            <v>Water main</v>
          </cell>
          <cell r="I67">
            <v>300</v>
          </cell>
          <cell r="M67">
            <v>300</v>
          </cell>
        </row>
        <row r="68">
          <cell r="A68">
            <v>69</v>
          </cell>
          <cell r="B68" t="str">
            <v>WIRI</v>
          </cell>
          <cell r="C68" t="str">
            <v>OTHER</v>
          </cell>
          <cell r="I68">
            <v>0</v>
          </cell>
        </row>
        <row r="69">
          <cell r="A69">
            <v>70</v>
          </cell>
          <cell r="B69" t="str">
            <v>WIRI</v>
          </cell>
          <cell r="C69" t="str">
            <v>OTHER</v>
          </cell>
        </row>
        <row r="70">
          <cell r="A70">
            <v>71</v>
          </cell>
          <cell r="B70" t="str">
            <v>WIRI</v>
          </cell>
          <cell r="C70" t="str">
            <v>OTHER</v>
          </cell>
          <cell r="E70" t="str">
            <v>SUB-TOTAL</v>
          </cell>
          <cell r="I70">
            <v>1660</v>
          </cell>
          <cell r="J70">
            <v>310</v>
          </cell>
          <cell r="K70">
            <v>450</v>
          </cell>
          <cell r="L70">
            <v>350</v>
          </cell>
          <cell r="M70">
            <v>550</v>
          </cell>
          <cell r="N70">
            <v>0</v>
          </cell>
          <cell r="O70">
            <v>614673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72</v>
          </cell>
          <cell r="B71" t="str">
            <v>WIRI</v>
          </cell>
        </row>
        <row r="72">
          <cell r="A72">
            <v>72</v>
          </cell>
          <cell r="B72" t="str">
            <v>WIRI</v>
          </cell>
          <cell r="E72" t="str">
            <v>TOTAL</v>
          </cell>
          <cell r="I72">
            <v>18410</v>
          </cell>
          <cell r="J72">
            <v>1785</v>
          </cell>
          <cell r="K72">
            <v>9300</v>
          </cell>
          <cell r="L72">
            <v>3750</v>
          </cell>
          <cell r="M72">
            <v>3575</v>
          </cell>
          <cell r="N72">
            <v>0</v>
          </cell>
          <cell r="O72">
            <v>614673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>
        <row r="1">
          <cell r="A1">
            <v>1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1">
          <cell r="A1">
            <v>1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_Parameters"/>
      <sheetName val="2_FOREX Rates"/>
      <sheetName val="3_PL_INPUT"/>
      <sheetName val="4_PL_Link"/>
      <sheetName val="5_BS_Input"/>
      <sheetName val="6_BS_Link"/>
      <sheetName val="7_P&amp;L - LC"/>
      <sheetName val="8_P&amp;L - USD"/>
      <sheetName val="9_BS - LC"/>
      <sheetName val="10_BS - USD"/>
      <sheetName val="11_OCF - LC"/>
      <sheetName val="12_OCF - USD"/>
      <sheetName val="13_Brand - LC"/>
      <sheetName val="14_Brand - USD"/>
      <sheetName val="15_Kilo"/>
      <sheetName val="16_PL_VALIDATION"/>
      <sheetName val="17_BS_Validation"/>
      <sheetName val="18_Targets"/>
      <sheetName val="P&amp;L_orig"/>
      <sheetName val="Instruction"/>
      <sheetName val="Sensitivity"/>
      <sheetName val="INPUT"/>
      <sheetName val="Macro_FX"/>
      <sheetName val="SJ0032"/>
      <sheetName val="RPT 72-VOLUME DATA-Industry"/>
      <sheetName val=" Synthesis"/>
      <sheetName val="fawsVariables"/>
      <sheetName val="RPT 51-VOLUME DATA-Industry"/>
      <sheetName val="Innov &amp; capacity"/>
      <sheetName val="Wiri"/>
      <sheetName val="Sheet1"/>
      <sheetName val="Reference"/>
      <sheetName val="2_FOREX_Rates"/>
      <sheetName val="7_P&amp;L_-_LC"/>
      <sheetName val="8_P&amp;L_-_USD"/>
      <sheetName val="9_BS_-_LC"/>
      <sheetName val="10_BS_-_USD"/>
      <sheetName val="11_OCF_-_LC"/>
      <sheetName val="12_OCF_-_USD"/>
      <sheetName val="13_Brand_-_LC"/>
      <sheetName val="14_Brand_-_USD"/>
      <sheetName val="RPT_72-VOLUME_DATA-Industry"/>
      <sheetName val="_Synthesis"/>
      <sheetName val="Menu"/>
      <sheetName val="Large Bags and Others"/>
      <sheetName val="Medium Size"/>
      <sheetName val="COSTO IMPORTADO"/>
      <sheetName val="Junior Traga"/>
      <sheetName val="Sweets Cookies"/>
      <sheetName val="indice"/>
      <sheetName val="tit"/>
      <sheetName val="POV"/>
      <sheetName val="RPT_51-VOLUME_DATA-Industry"/>
      <sheetName val="2_FOREX_Rates1"/>
      <sheetName val="7_P&amp;L_-_LC1"/>
      <sheetName val="8_P&amp;L_-_USD1"/>
      <sheetName val="9_BS_-_LC1"/>
      <sheetName val="10_BS_-_USD1"/>
      <sheetName val="11_OCF_-_LC1"/>
      <sheetName val="12_OCF_-_USD1"/>
      <sheetName val="13_Brand_-_LC1"/>
      <sheetName val="14_Brand_-_USD1"/>
      <sheetName val="RPT_72-VOLUME_DATA-Industry1"/>
      <sheetName val="_Synthesis1"/>
      <sheetName val="Innov_&amp;_capacity"/>
      <sheetName val="Large_Bags_and_Others"/>
      <sheetName val="Medium_Size"/>
      <sheetName val="COSTO_IMPORTADO"/>
      <sheetName val="Junior_Traga"/>
      <sheetName val="Sweets_Cookies"/>
      <sheetName val="2_FOREX_Rates2"/>
      <sheetName val="7_P&amp;L_-_LC2"/>
      <sheetName val="8_P&amp;L_-_USD2"/>
      <sheetName val="9_BS_-_LC2"/>
      <sheetName val="10_BS_-_USD2"/>
      <sheetName val="11_OCF_-_LC2"/>
      <sheetName val="12_OCF_-_USD2"/>
      <sheetName val="13_Brand_-_LC2"/>
      <sheetName val="14_Brand_-_USD2"/>
      <sheetName val="RPT_72-VOLUME_DATA-Industry2"/>
      <sheetName val="_Synthesis2"/>
      <sheetName val="RPT_51-VOLUME_DATA-Industry1"/>
      <sheetName val="Innov_&amp;_capacity1"/>
      <sheetName val="Large_Bags_and_Others1"/>
      <sheetName val="Medium_Size1"/>
      <sheetName val="COSTO_IMPORTADO1"/>
      <sheetName val="Junior_Traga1"/>
      <sheetName val="Sweets_Cookies1"/>
      <sheetName val="2_FOREX_Rates3"/>
      <sheetName val="7_P&amp;L_-_LC3"/>
      <sheetName val="8_P&amp;L_-_USD3"/>
      <sheetName val="9_BS_-_LC3"/>
      <sheetName val="10_BS_-_USD3"/>
      <sheetName val="11_OCF_-_LC3"/>
      <sheetName val="12_OCF_-_USD3"/>
      <sheetName val="13_Brand_-_LC3"/>
      <sheetName val="14_Brand_-_USD3"/>
      <sheetName val="RPT_72-VOLUME_DATA-Industry3"/>
      <sheetName val="_Synthesis3"/>
      <sheetName val="RPT_51-VOLUME_DATA-Industry2"/>
      <sheetName val="Innov_&amp;_capacity2"/>
      <sheetName val="Large_Bags_and_Others2"/>
      <sheetName val="Medium_Size2"/>
      <sheetName val="COSTO_IMPORTADO2"/>
      <sheetName val="Junior_Traga2"/>
      <sheetName val="Sweets_Cookies2"/>
      <sheetName val="KF6"/>
      <sheetName val="ENTITIES"/>
      <sheetName val="Ago 99"/>
      <sheetName val="SETUP"/>
      <sheetName val="Dados_Dev"/>
      <sheetName val="Cxs_Int"/>
      <sheetName val="C03 WorkComp to Supply Chain"/>
      <sheetName val="PBF Casualty Review 6 Months"/>
      <sheetName val="YTD-HFL"/>
      <sheetName val="FLUS Data"/>
      <sheetName val="YTD-QSCDN"/>
      <sheetName val="YTD-QSUS"/>
      <sheetName val="LEON"/>
    </sheetNames>
    <sheetDataSet>
      <sheetData sheetId="0" refreshError="1">
        <row r="6">
          <cell r="C6" t="str">
            <v>FDMR19001.INP</v>
          </cell>
        </row>
        <row r="8">
          <cell r="C8" t="str">
            <v>FLI1900F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hart1"/>
      <sheetName val="Export Order"/>
      <sheetName val="MSB-JKJ"/>
      <sheetName val="TransferKCI"/>
      <sheetName val="Stock Report"/>
      <sheetName val="Reslease Report"/>
      <sheetName val="Released"/>
      <sheetName val="UO"/>
      <sheetName val="UnderIncubation"/>
      <sheetName val="PLE(UO)"/>
      <sheetName val="Reprocess"/>
      <sheetName val="Wastage"/>
      <sheetName val="Mail"/>
      <sheetName val="Middlewich with Budget"/>
      <sheetName val="1_Parameters"/>
      <sheetName val="Innov &amp; capacity"/>
      <sheetName val="Wiri"/>
      <sheetName val="#REF"/>
      <sheetName val="Export_Order"/>
      <sheetName val="Stock_Report"/>
      <sheetName val="Reslease_Report"/>
      <sheetName val="Middlewich_with_Budget"/>
      <sheetName val="Innov_&amp;_capacity"/>
      <sheetName val="Export_Order1"/>
      <sheetName val="Stock_Report1"/>
      <sheetName val="Reslease_Report1"/>
      <sheetName val="Middlewich_with_Budget1"/>
      <sheetName val="Innov_&amp;_capacity1"/>
      <sheetName val="Export_Order2"/>
      <sheetName val="Stock_Report2"/>
      <sheetName val="Reslease_Report2"/>
      <sheetName val="Middlewich_with_Budget2"/>
      <sheetName val="Innov_&amp;_capacity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  <sheetName val="INSIGHT"/>
      <sheetName val="IPO returns"/>
      <sheetName val="Reslease Report"/>
      <sheetName val="1_Parameters"/>
      <sheetName val="#REF"/>
      <sheetName val="IPO_returns"/>
      <sheetName val="Reslease_Report"/>
      <sheetName val="IPO_returns1"/>
      <sheetName val="Reslease_Report1"/>
      <sheetName val="IPO_returns2"/>
      <sheetName val="Reslease_Report2"/>
    </sheetNames>
    <definedNames>
      <definedName name="IsQuarter" refersTo="='Settings'!$B$10"/>
      <definedName name="MonthLabel" refersTo="='Settings'!$C$17"/>
    </definedNames>
    <sheetDataSet>
      <sheetData sheetId="0" refreshError="1">
        <row r="10">
          <cell r="B10" t="b">
            <v>0</v>
          </cell>
        </row>
        <row r="17">
          <cell r="C17" t="str">
            <v>November 2000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lacements"/>
      <sheetName val="YTD Reason Count"/>
      <sheetName val="YTD Cost by Reason"/>
      <sheetName val="YTD Cost by Brand &amp; Reason"/>
      <sheetName val="Cost by Brand &amp; Reason by Pd"/>
      <sheetName val="Cost by Brand by Pd"/>
      <sheetName val="Reason Count By Bottler by Pd"/>
      <sheetName val="Cost by Bottler by Pd"/>
      <sheetName val="Cost by Bottler by Reason by Pd"/>
      <sheetName val="Net by Brand by Pd"/>
      <sheetName val="Net by Reason by Pd"/>
      <sheetName val="Net by Brand &amp; Reason by Pd"/>
      <sheetName val="Lookup"/>
      <sheetName val="SKUs Replaced by Bottler by Pd"/>
      <sheetName val="Jan Volume"/>
      <sheetName val="Dec cos"/>
      <sheetName val="Initial Order"/>
      <sheetName val="Repl2000"/>
      <sheetName val="YTD_Reason_Count"/>
      <sheetName val="YTD_Cost_by_Reason"/>
      <sheetName val="YTD_Cost_by_Brand_&amp;_Reason"/>
      <sheetName val="Cost_by_Brand_&amp;_Reason_by_Pd"/>
      <sheetName val="Cost_by_Brand_by_Pd"/>
      <sheetName val="Reason_Count_By_Bottler_by_Pd"/>
      <sheetName val="Cost_by_Bottler_by_Pd"/>
      <sheetName val="Cost_by_Bottler_by_Reason_by_Pd"/>
      <sheetName val="Net_by_Brand_by_Pd"/>
      <sheetName val="Net_by_Reason_by_Pd"/>
      <sheetName val="Net_by_Brand_&amp;_Reason_by_Pd"/>
      <sheetName val="SKUs_Replaced_by_Bottler_by_Pd"/>
      <sheetName val="Jan_Volume"/>
      <sheetName val="Dec_cos"/>
      <sheetName val="Initial_Order"/>
      <sheetName val="YTD_Reason_Count1"/>
      <sheetName val="YTD_Cost_by_Reason1"/>
      <sheetName val="YTD_Cost_by_Brand_&amp;_Reason1"/>
      <sheetName val="Cost_by_Brand_&amp;_Reason_by_Pd1"/>
      <sheetName val="Cost_by_Brand_by_Pd1"/>
      <sheetName val="Reason_Count_By_Bottler_by_Pd1"/>
      <sheetName val="Cost_by_Bottler_by_Pd1"/>
      <sheetName val="Cost_by_Bottler_by_Reason_by_P1"/>
      <sheetName val="Net_by_Brand_by_Pd1"/>
      <sheetName val="Net_by_Reason_by_Pd1"/>
      <sheetName val="Net_by_Brand_&amp;_Reason_by_Pd1"/>
      <sheetName val="SKUs_Replaced_by_Bottler_by_Pd1"/>
      <sheetName val="Jan_Volume1"/>
      <sheetName val="Dec_cos1"/>
      <sheetName val="Initial_Order1"/>
      <sheetName val="YTD_Reason_Count2"/>
      <sheetName val="YTD_Cost_by_Reason2"/>
      <sheetName val="YTD_Cost_by_Brand_&amp;_Reason2"/>
      <sheetName val="Cost_by_Brand_&amp;_Reason_by_Pd2"/>
      <sheetName val="Cost_by_Brand_by_Pd2"/>
      <sheetName val="Reason_Count_By_Bottler_by_Pd2"/>
      <sheetName val="Cost_by_Bottler_by_Pd2"/>
      <sheetName val="Cost_by_Bottler_by_Reason_by_P2"/>
      <sheetName val="Net_by_Brand_by_Pd2"/>
      <sheetName val="Net_by_Reason_by_Pd2"/>
      <sheetName val="Net_by_Brand_&amp;_Reason_by_Pd2"/>
      <sheetName val="SKUs_Replaced_by_Bottler_by_Pd2"/>
      <sheetName val="Jan_Volume2"/>
      <sheetName val="Dec_cos2"/>
      <sheetName val="Initial_Order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justed DC Damage Write-Offs"/>
      <sheetName val="Other DC Damage Write-Offs"/>
      <sheetName val="YTD Adj $"/>
      <sheetName val="Other Write-Off $"/>
      <sheetName val="Adj DC Damage Write-Off Data"/>
      <sheetName val="Other DC Damage Write-Off Data"/>
      <sheetName val="DetailDev"/>
      <sheetName val="DC Damage Detail"/>
      <sheetName val="Lookup"/>
      <sheetName val="Replacements"/>
      <sheetName val="BO Summ"/>
      <sheetName val="Master"/>
      <sheetName val="Adjusted_DC_Damage_Write-Offs"/>
      <sheetName val="Other_DC_Damage_Write-Offs"/>
      <sheetName val="YTD_Adj_$"/>
      <sheetName val="Other_Write-Off_$"/>
      <sheetName val="Adj_DC_Damage_Write-Off_Data"/>
      <sheetName val="Other_DC_Damage_Write-Off_Data"/>
      <sheetName val="DC_Damage_Detail"/>
      <sheetName val="BO_Summ"/>
      <sheetName val="INPUT"/>
      <sheetName val="Adjusted_DC_Damage_Write-Offs1"/>
      <sheetName val="Other_DC_Damage_Write-Offs1"/>
      <sheetName val="YTD_Adj_$1"/>
      <sheetName val="Other_Write-Off_$1"/>
      <sheetName val="Adj_DC_Damage_Write-Off_Data1"/>
      <sheetName val="Other_DC_Damage_Write-Off_Data1"/>
      <sheetName val="DC_Damage_Detail1"/>
      <sheetName val="BO_Summ1"/>
      <sheetName val="Adjusted_DC_Damage_Write-Offs2"/>
      <sheetName val="Other_DC_Damage_Write-Offs2"/>
      <sheetName val="YTD_Adj_$2"/>
      <sheetName val="Other_Write-Off_$2"/>
      <sheetName val="Adj_DC_Damage_Write-Off_Data2"/>
      <sheetName val="Other_DC_Damage_Write-Off_Data2"/>
      <sheetName val="DC_Damage_Detail2"/>
      <sheetName val="BO_Summ2"/>
      <sheetName val="Adjusted_DC_Damage_Write-Offs3"/>
      <sheetName val="Other_DC_Damage_Write-Offs3"/>
      <sheetName val="YTD_Adj_$3"/>
      <sheetName val="Other_Write-Off_$3"/>
      <sheetName val="Adj_DC_Damage_Write-Off_Data3"/>
      <sheetName val="Other_DC_Damage_Write-Off_Data3"/>
      <sheetName val="DC_Damage_Detail3"/>
      <sheetName val="BO_Summ3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-HLT"/>
      <sheetName val="Reference Tables"/>
      <sheetName val="Lookup"/>
      <sheetName val="Reference_Tables"/>
      <sheetName val="Reference_Tables1"/>
      <sheetName val="Reference_Tables2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egories"/>
      <sheetName val="Macro1"/>
      <sheetName val="A&amp;MDetail (2)"/>
      <sheetName val="A&amp;MDetail"/>
      <sheetName val="Nigeria Upload"/>
      <sheetName val="Volumes (1)"/>
      <sheetName val="Tanz detail"/>
      <sheetName val="Tanzania"/>
      <sheetName val="Reunion"/>
      <sheetName val="Uganda"/>
      <sheetName val="Mauritius"/>
      <sheetName val="Namibia"/>
      <sheetName val="EA Exp"/>
      <sheetName val="Afr Exp"/>
      <sheetName val="Africa G&amp;A"/>
      <sheetName val="Flowchart"/>
      <sheetName val="Sales"/>
      <sheetName val="SysCategory"/>
      <sheetName val="INPUT"/>
      <sheetName val="Lookup"/>
      <sheetName val="A&amp;MDetail_(2)"/>
      <sheetName val="Nigeria_Upload"/>
      <sheetName val="Volumes_(1)"/>
      <sheetName val="Tanz_detail"/>
      <sheetName val="EA_Exp"/>
      <sheetName val="Afr_Exp"/>
      <sheetName val="Africa_G&amp;A"/>
      <sheetName val="A&amp;MDetail_(2)1"/>
      <sheetName val="Nigeria_Upload1"/>
      <sheetName val="Volumes_(1)1"/>
      <sheetName val="Tanz_detail1"/>
      <sheetName val="EA_Exp1"/>
      <sheetName val="Afr_Exp1"/>
      <sheetName val="Africa_G&amp;A1"/>
      <sheetName val="A&amp;MDetail_(2)2"/>
      <sheetName val="Nigeria_Upload2"/>
      <sheetName val="Volumes_(1)2"/>
      <sheetName val="Tanz_detail2"/>
      <sheetName val="EA_Exp2"/>
      <sheetName val="Afr_Exp2"/>
      <sheetName val="Africa_G&amp;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Hyperion"/>
      <sheetName val="objective 1"/>
      <sheetName val="objective 2"/>
      <sheetName val="Title"/>
      <sheetName val="Objective"/>
      <sheetName val="Objective (2)"/>
      <sheetName val="Exec Sum Cover"/>
      <sheetName val="BSR Results"/>
      <sheetName val="KPI"/>
      <sheetName val="KPI Input"/>
      <sheetName val="KPI Vs. AOP"/>
      <sheetName val="P&amp;L summary"/>
      <sheetName val="Ratios Formulas"/>
      <sheetName val="BSWatch Outs"/>
      <sheetName val="process review tracking"/>
      <sheetName val="BIWatchOuts"/>
      <sheetName val="BAICWATCH OUTs"/>
      <sheetName val="Reserve Summary"/>
      <sheetName val="Reserves Summary"/>
      <sheetName val="Audit"/>
      <sheetName val="Detail Cover"/>
      <sheetName val="Audit (2)"/>
      <sheetName val="Hyp Structure"/>
      <sheetName val="SumBS"/>
      <sheetName val="Cash Flows1"/>
      <sheetName val="cashflow 2"/>
      <sheetName val="CC&amp;STInv"/>
      <sheetName val="Notes &amp; Trade Receivables"/>
      <sheetName val="Highest 10 AR Trade Clients"/>
      <sheetName val="FOBO's AR"/>
      <sheetName val="DTS-DSD"/>
      <sheetName val="N&amp;OAR"/>
      <sheetName val="Inventories"/>
      <sheetName val="Inventories_CSD"/>
      <sheetName val="Inventories_AGING"/>
      <sheetName val="Agro"/>
      <sheetName val="agro tables"/>
      <sheetName val="PP&amp;OtherA"/>
      <sheetName val="Capex&amp;FA"/>
      <sheetName val="GW&amp;OtherInt"/>
      <sheetName val="Intercompany"/>
      <sheetName val="PepsiCo Affiliated Balances"/>
      <sheetName val="Acct Payable"/>
      <sheetName val="AL&amp;OLTL"/>
      <sheetName val="fobo marketing accruals"/>
      <sheetName val="tax"/>
      <sheetName val="Debt &amp; Equity"/>
      <sheetName val="KPIs"/>
      <sheetName val="KPIs Input (AOP)"/>
      <sheetName val="KPI definitions"/>
      <sheetName val="OFCF definitions"/>
      <sheetName val="Capex"/>
      <sheetName val="Tanzania"/>
      <sheetName val="Sheet1"/>
      <sheetName val="objective_1"/>
      <sheetName val="objective_2"/>
      <sheetName val="Objective_(2)"/>
      <sheetName val="Exec_Sum_Cover"/>
      <sheetName val="BSR_Results"/>
      <sheetName val="KPI_Input"/>
      <sheetName val="KPI_Vs__AOP"/>
      <sheetName val="P&amp;L_summary"/>
      <sheetName val="Ratios_Formulas"/>
      <sheetName val="BSWatch_Outs"/>
      <sheetName val="process_review_tracking"/>
      <sheetName val="BAICWATCH_OUTs"/>
      <sheetName val="Reserve_Summary"/>
      <sheetName val="Reserves_Summary"/>
      <sheetName val="Detail_Cover"/>
      <sheetName val="Audit_(2)"/>
      <sheetName val="Hyp_Structure"/>
      <sheetName val="Cash_Flows1"/>
      <sheetName val="cashflow_2"/>
      <sheetName val="Notes_&amp;_Trade_Receivables"/>
      <sheetName val="Highest_10_AR_Trade_Clients"/>
      <sheetName val="FOBO's_AR"/>
      <sheetName val="agro_tables"/>
      <sheetName val="PepsiCo_Affiliated_Balances"/>
      <sheetName val="Acct_Payable"/>
      <sheetName val="fobo_marketing_accruals"/>
      <sheetName val="Debt_&amp;_Equity"/>
      <sheetName val="KPIs_Input_(AOP)"/>
      <sheetName val="KPI_definitions"/>
      <sheetName val="OFCF_definitions"/>
      <sheetName val="objective_11"/>
      <sheetName val="objective_21"/>
      <sheetName val="Objective_(2)1"/>
      <sheetName val="Exec_Sum_Cover1"/>
      <sheetName val="BSR_Results1"/>
      <sheetName val="KPI_Input1"/>
      <sheetName val="KPI_Vs__AOP1"/>
      <sheetName val="P&amp;L_summary1"/>
      <sheetName val="Ratios_Formulas1"/>
      <sheetName val="BSWatch_Outs1"/>
      <sheetName val="process_review_tracking1"/>
      <sheetName val="BAICWATCH_OUTs1"/>
      <sheetName val="Reserve_Summary1"/>
      <sheetName val="Reserves_Summary1"/>
      <sheetName val="Detail_Cover1"/>
      <sheetName val="Audit_(2)1"/>
      <sheetName val="Hyp_Structure1"/>
      <sheetName val="Cash_Flows11"/>
      <sheetName val="cashflow_21"/>
      <sheetName val="Notes_&amp;_Trade_Receivables1"/>
      <sheetName val="Highest_10_AR_Trade_Clients1"/>
      <sheetName val="FOBO's_AR1"/>
      <sheetName val="agro_tables1"/>
      <sheetName val="PepsiCo_Affiliated_Balances1"/>
      <sheetName val="Acct_Payable1"/>
      <sheetName val="fobo_marketing_accruals1"/>
      <sheetName val="Debt_&amp;_Equity1"/>
      <sheetName val="KPIs_Input_(AOP)1"/>
      <sheetName val="KPI_definitions1"/>
      <sheetName val="OFCF_definitions1"/>
      <sheetName val="objective_12"/>
      <sheetName val="objective_22"/>
      <sheetName val="Objective_(2)2"/>
      <sheetName val="Exec_Sum_Cover2"/>
      <sheetName val="BSR_Results2"/>
      <sheetName val="KPI_Input2"/>
      <sheetName val="KPI_Vs__AOP2"/>
      <sheetName val="P&amp;L_summary2"/>
      <sheetName val="Ratios_Formulas2"/>
      <sheetName val="BSWatch_Outs2"/>
      <sheetName val="process_review_tracking2"/>
      <sheetName val="BAICWATCH_OUTs2"/>
      <sheetName val="Reserve_Summary2"/>
      <sheetName val="Reserves_Summary2"/>
      <sheetName val="Detail_Cover2"/>
      <sheetName val="Audit_(2)2"/>
      <sheetName val="Hyp_Structure2"/>
      <sheetName val="Cash_Flows12"/>
      <sheetName val="cashflow_22"/>
      <sheetName val="Notes_&amp;_Trade_Receivables2"/>
      <sheetName val="Highest_10_AR_Trade_Clients2"/>
      <sheetName val="FOBO's_AR2"/>
      <sheetName val="agro_tables2"/>
      <sheetName val="PepsiCo_Affiliated_Balances2"/>
      <sheetName val="Acct_Payable2"/>
      <sheetName val="fobo_marketing_accruals2"/>
      <sheetName val="Debt_&amp;_Equity2"/>
      <sheetName val="KPIs_Input_(AOP)2"/>
      <sheetName val="KPI_definitions2"/>
      <sheetName val="OFCF_definition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Forms"/>
      <sheetName val="Forms YTD-YTG"/>
      <sheetName val="Marketing Forms"/>
      <sheetName val="settings"/>
      <sheetName val="P&amp;L"/>
      <sheetName val="P&amp;L Powedered Bev."/>
      <sheetName val="P&amp;L Biscuits"/>
      <sheetName val="P&amp;L Grocery"/>
      <sheetName val="P&amp;L Condiments"/>
      <sheetName val="P&amp;L Cakes"/>
      <sheetName val="DATA SHEET"/>
      <sheetName val="20-24oz DATA"/>
      <sheetName val="MON-HLT"/>
      <sheetName val="Results PL"/>
      <sheetName val="Hyperion"/>
      <sheetName val="Tanzania"/>
      <sheetName val="POV"/>
      <sheetName val="Financial_Forms"/>
      <sheetName val="Forms_YTD-YTG"/>
      <sheetName val="Marketing_Forms"/>
      <sheetName val="P&amp;L_Powedered_Bev_"/>
      <sheetName val="P&amp;L_Biscuits"/>
      <sheetName val="P&amp;L_Grocery"/>
      <sheetName val="P&amp;L_Condiments"/>
      <sheetName val="P&amp;L_Cakes"/>
      <sheetName val="DATA_SHEET"/>
      <sheetName val="20-24oz_DATA"/>
      <sheetName val="Results_PL"/>
      <sheetName val="Financial_Forms1"/>
      <sheetName val="Forms_YTD-YTG1"/>
      <sheetName val="Marketing_Forms1"/>
      <sheetName val="P&amp;L_Powedered_Bev_1"/>
      <sheetName val="P&amp;L_Biscuits1"/>
      <sheetName val="P&amp;L_Grocery1"/>
      <sheetName val="P&amp;L_Condiments1"/>
      <sheetName val="P&amp;L_Cakes1"/>
      <sheetName val="DATA_SHEET1"/>
      <sheetName val="20-24oz_DATA1"/>
      <sheetName val="Results_PL1"/>
      <sheetName val="Financial_Forms2"/>
      <sheetName val="Forms_YTD-YTG2"/>
      <sheetName val="Marketing_Forms2"/>
      <sheetName val="P&amp;L_Powedered_Bev_2"/>
      <sheetName val="P&amp;L_Biscuits2"/>
      <sheetName val="P&amp;L_Grocery2"/>
      <sheetName val="P&amp;L_Condiments2"/>
      <sheetName val="P&amp;L_Cakes2"/>
      <sheetName val="DATA_SHEET2"/>
      <sheetName val="20-24oz_DATA2"/>
      <sheetName val="Results_P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Standard Report Input Sheet"/>
      <sheetName val="Input"/>
      <sheetName val="Entities"/>
      <sheetName val="Cover"/>
      <sheetName val="CUSTOMER STRATEGIES"/>
      <sheetName val="CustOrg"/>
      <sheetName val="VOLUME-SHARE PLAN"/>
      <sheetName val="Plan"/>
      <sheetName val="Prodn 2001"/>
      <sheetName val="PEPSI DATA"/>
      <sheetName val="12.10.2007 YCAR"/>
      <sheetName val="Input_Sheet"/>
      <sheetName val="Standard_Report_Input_Sheet"/>
      <sheetName val="CUSTOMER_STRATEGIES"/>
      <sheetName val="VOLUME-SHARE_PLAN"/>
      <sheetName val="Input_Sheet1"/>
      <sheetName val="Standard_Report_Input_Sheet1"/>
      <sheetName val="CUSTOMER_STRATEGIES1"/>
      <sheetName val="VOLUME-SHARE_PLAN1"/>
      <sheetName val="Input_Sheet2"/>
      <sheetName val="Standard_Report_Input_Sheet2"/>
      <sheetName val="CUSTOMER_STRATEGIES2"/>
      <sheetName val="VOLUME-SHARE_PLAN2"/>
      <sheetName val="Input_Sheet3"/>
      <sheetName val="Standard_Report_Input_Sheet3"/>
      <sheetName val="CUSTOMER_STRATEGIES3"/>
      <sheetName val="VOLUME-SHARE_PLAN3"/>
      <sheetName val="Input_Sheet4"/>
      <sheetName val="Standard_Report_Input_Sheet4"/>
      <sheetName val="CUSTOMER_STRATEGIES4"/>
      <sheetName val="VOLUME-SHARE_PLAN4"/>
      <sheetName val="Input_Sheet5"/>
      <sheetName val="Standard_Report_Input_Sheet5"/>
      <sheetName val="CUSTOMER_STRATEGIES5"/>
      <sheetName val="VOLUME-SHARE_PLAN5"/>
      <sheetName val="Input_Sheet6"/>
      <sheetName val="Standard_Report_Input_Sheet6"/>
      <sheetName val="CUSTOMER_STRATEGIES6"/>
      <sheetName val="VOLUME-SHARE_PLAN6"/>
      <sheetName val="Input_Sheet7"/>
      <sheetName val="Standard_Report_Input_Sheet7"/>
      <sheetName val="CUSTOMER_STRATEGIES7"/>
      <sheetName val="VOLUME-SHARE_PLAN7"/>
      <sheetName val="Input_Sheet8"/>
      <sheetName val="Standard_Report_Input_Sheet8"/>
      <sheetName val="CUSTOMER_STRATEGIES8"/>
      <sheetName val="VOLUME-SHARE_PLAN8"/>
      <sheetName val="Input_Sheet9"/>
      <sheetName val="Standard_Report_Input_Sheet9"/>
      <sheetName val="CUSTOMER_STRATEGIES9"/>
      <sheetName val="VOLUME-SHARE_PLAN9"/>
      <sheetName val="Input_Sheet10"/>
      <sheetName val="Standard_Report_Input_Sheet10"/>
      <sheetName val="CUSTOMER_STRATEGIES10"/>
      <sheetName val="VOLUME-SHARE_PLAN10"/>
      <sheetName val="Input_Sheet11"/>
      <sheetName val="Standard_Report_Input_Sheet11"/>
      <sheetName val="CUSTOMER_STRATEGIES11"/>
      <sheetName val="VOLUME-SHARE_PLAN11"/>
      <sheetName val="Input_Sheet12"/>
      <sheetName val="Standard_Report_Input_Sheet12"/>
      <sheetName val="CUSTOMER_STRATEGIES12"/>
      <sheetName val="VOLUME-SHARE_PLAN12"/>
      <sheetName val="Input_Sheet13"/>
      <sheetName val="Standard_Report_Input_Sheet13"/>
      <sheetName val="CUSTOMER_STRATEGIES13"/>
      <sheetName val="VOLUME-SHARE_PLAN13"/>
      <sheetName val="Input_Sheet14"/>
      <sheetName val="Standard_Report_Input_Sheet14"/>
      <sheetName val="CUSTOMER_STRATEGIES14"/>
      <sheetName val="VOLUME-SHARE_PLAN14"/>
      <sheetName val="Input_Sheet15"/>
      <sheetName val="Standard_Report_Input_Sheet15"/>
      <sheetName val="CUSTOMER_STRATEGIES15"/>
      <sheetName val="VOLUME-SHARE_PLAN15"/>
      <sheetName val="Input_Sheet16"/>
      <sheetName val="Standard_Report_Input_Sheet16"/>
      <sheetName val="CUSTOMER_STRATEGIES16"/>
      <sheetName val="VOLUME-SHARE_PLAN16"/>
      <sheetName val="Input_Sheet17"/>
      <sheetName val="Standard_Report_Input_Sheet17"/>
      <sheetName val="CUSTOMER_STRATEGIES17"/>
      <sheetName val="VOLUME-SHARE_PLAN17"/>
      <sheetName val="Input_Sheet18"/>
      <sheetName val="Standard_Report_Input_Sheet18"/>
      <sheetName val="CUSTOMER_STRATEGIES18"/>
      <sheetName val="VOLUME-SHARE_PLAN18"/>
      <sheetName val="Forex_and_Lookups"/>
      <sheetName val="Input_Sheet26"/>
      <sheetName val="Standard_Report_Input_Sheet26"/>
      <sheetName val="CUSTOMER_STRATEGIES26"/>
      <sheetName val="VOLUME-SHARE_PLAN26"/>
      <sheetName val="Input_Sheet19"/>
      <sheetName val="Standard_Report_Input_Sheet19"/>
      <sheetName val="CUSTOMER_STRATEGIES19"/>
      <sheetName val="VOLUME-SHARE_PLAN19"/>
      <sheetName val="Input_Sheet20"/>
      <sheetName val="Standard_Report_Input_Sheet20"/>
      <sheetName val="CUSTOMER_STRATEGIES20"/>
      <sheetName val="VOLUME-SHARE_PLAN20"/>
      <sheetName val="Input_Sheet21"/>
      <sheetName val="Standard_Report_Input_Sheet21"/>
      <sheetName val="CUSTOMER_STRATEGIES21"/>
      <sheetName val="VOLUME-SHARE_PLAN21"/>
      <sheetName val="Input_Sheet22"/>
      <sheetName val="Standard_Report_Input_Sheet22"/>
      <sheetName val="CUSTOMER_STRATEGIES22"/>
      <sheetName val="VOLUME-SHARE_PLAN22"/>
      <sheetName val="Input_Sheet23"/>
      <sheetName val="Standard_Report_Input_Sheet23"/>
      <sheetName val="CUSTOMER_STRATEGIES23"/>
      <sheetName val="VOLUME-SHARE_PLAN23"/>
      <sheetName val="Input_Sheet24"/>
      <sheetName val="Standard_Report_Input_Sheet24"/>
      <sheetName val="CUSTOMER_STRATEGIES24"/>
      <sheetName val="VOLUME-SHARE_PLAN24"/>
      <sheetName val="Input_Sheet25"/>
      <sheetName val="Standard_Report_Input_Sheet25"/>
      <sheetName val="CUSTOMER_STRATEGIES25"/>
      <sheetName val="VOLUME-SHARE_PLAN25"/>
      <sheetName val="Input_Sheet27"/>
      <sheetName val="Standard_Report_Input_Sheet27"/>
      <sheetName val="CUSTOMER_STRATEGIES27"/>
      <sheetName val="VOLUME-SHARE_PLAN27"/>
      <sheetName val="Input_Sheet28"/>
      <sheetName val="Standard_Report_Input_Sheet28"/>
      <sheetName val="CUSTOMER_STRATEGIES28"/>
      <sheetName val="VOLUME-SHARE_PLAN28"/>
      <sheetName val="Salfinanzas"/>
      <sheetName val="Synthèse"/>
      <sheetName val="Push Diag on Premise"/>
      <sheetName val="FStratPlan"/>
      <sheetName val="CChannel Attract Input"/>
      <sheetName val="ponderacion"/>
      <sheetName val="Macro Market Trends"/>
      <sheetName val="Financial Forms"/>
      <sheetName val="Schroder Small Caps"/>
      <sheetName val="HR_MTX"/>
      <sheetName val="HR_TAB"/>
      <sheetName val="LayB"/>
      <sheetName val="2002 Forex Plan"/>
      <sheetName val="Dels"/>
      <sheetName val="CAL"/>
      <sheetName val="Master"/>
      <sheetName val="Filling Line Summary"/>
      <sheetName val="DC"/>
      <sheetName val="Demand Points"/>
      <sheetName val="Outbound"/>
      <sheetName val="MRC to ML conversion"/>
      <sheetName val="Filling Line Detail"/>
      <sheetName val="Plants"/>
      <sheetName val="POV"/>
      <sheetName val="Linking"/>
      <sheetName val="Parametros"/>
      <sheetName val="Input_Sheet29"/>
      <sheetName val="Standard_Report_Input_Sheet29"/>
      <sheetName val="CUSTOMER_STRATEGIES29"/>
      <sheetName val="VOLUME-SHARE_PLAN29"/>
      <sheetName val="Prodn_2001"/>
      <sheetName val="PEPSI_DATA"/>
      <sheetName val="12_10_2007_YCAR"/>
      <sheetName val="Push_Diag_on_Premise"/>
      <sheetName val="CChannel_Attract_Input"/>
      <sheetName val="Macro_Market_Trends"/>
      <sheetName val="Financial_Forms"/>
      <sheetName val="Schroder_Small_Caps"/>
      <sheetName val="2002_Forex_Plan"/>
      <sheetName val="Filling_Line_Summary"/>
      <sheetName val="Demand_Points"/>
      <sheetName val="MRC_to_ML_conversion"/>
      <sheetName val="Filling_Line_Detail"/>
      <sheetName val="Input_Sheet30"/>
      <sheetName val="Standard_Report_Input_Sheet30"/>
      <sheetName val="CUSTOMER_STRATEGIES30"/>
      <sheetName val="VOLUME-SHARE_PLAN30"/>
      <sheetName val="Prodn_20011"/>
      <sheetName val="PEPSI_DATA1"/>
      <sheetName val="12_10_2007_YCAR1"/>
      <sheetName val="Push_Diag_on_Premise1"/>
      <sheetName val="CChannel_Attract_Input1"/>
      <sheetName val="Macro_Market_Trends1"/>
      <sheetName val="Financial_Forms1"/>
      <sheetName val="Schroder_Small_Caps1"/>
      <sheetName val="2002_Forex_Plan1"/>
      <sheetName val="Filling_Line_Summary1"/>
      <sheetName val="Demand_Points1"/>
      <sheetName val="MRC_to_ML_conversion1"/>
      <sheetName val="Filling_Line_Detail1"/>
      <sheetName val="Input_Sheet31"/>
      <sheetName val="Standard_Report_Input_Sheet31"/>
      <sheetName val="CUSTOMER_STRATEGIES31"/>
      <sheetName val="VOLUME-SHARE_PLAN31"/>
      <sheetName val="Prodn_20012"/>
      <sheetName val="PEPSI_DATA2"/>
      <sheetName val="12_10_2007_YCAR2"/>
      <sheetName val="Push_Diag_on_Premise2"/>
      <sheetName val="CChannel_Attract_Input2"/>
      <sheetName val="Macro_Market_Trends2"/>
      <sheetName val="Financial_Forms2"/>
      <sheetName val="Schroder_Small_Caps2"/>
      <sheetName val="2002_Forex_Plan2"/>
      <sheetName val="Filling_Line_Summary2"/>
      <sheetName val="Demand_Points2"/>
      <sheetName val="MRC_to_ML_conversion2"/>
      <sheetName val="Filling_Line_Detai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Hyperion"/>
      <sheetName val="Title"/>
      <sheetName val="Objective"/>
      <sheetName val="Objective (2)"/>
      <sheetName val="Exec Sum Cover"/>
      <sheetName val="Index"/>
      <sheetName val="ExecSum1"/>
      <sheetName val="execsum2"/>
      <sheetName val="SS- P&amp;L"/>
      <sheetName val="A-Sales"/>
      <sheetName val="SS-P&amp;L NR"/>
      <sheetName val="A-direct costs"/>
      <sheetName val="SS-P&amp;L Directs"/>
      <sheetName val="A-MOH"/>
      <sheetName val="SS-P&amp;L MOH1"/>
      <sheetName val="SS-P&amp;L MOH2"/>
      <sheetName val="A-G&amp; A"/>
      <sheetName val="A-S&amp;D"/>
      <sheetName val="SS- P&amp;L S&amp;D"/>
      <sheetName val="KPI Input"/>
      <sheetName val="BSWatch Outs"/>
      <sheetName val="BIWatchOuts"/>
      <sheetName val="Reserve Summary"/>
      <sheetName val="Audit"/>
      <sheetName val="Detail Cover"/>
      <sheetName val="Audit (2)"/>
      <sheetName val="Hyp Structure"/>
      <sheetName val="SumBS"/>
      <sheetName val="Cash Flows1"/>
      <sheetName val="CC&amp;STInv"/>
      <sheetName val="A-CC"/>
      <sheetName val="SS - CC&amp;STInv"/>
      <sheetName val="Trade Receivables"/>
      <sheetName val="Rx-MT-Wh"/>
      <sheetName val="FOBO's AR"/>
      <sheetName val="DTS-DSD"/>
      <sheetName val="N&amp;OAR"/>
      <sheetName val="SS-N&amp;OAR 1"/>
      <sheetName val="SS-N&amp;OAR 2"/>
      <sheetName val="SS- N&amp;OAR3"/>
      <sheetName val="A-Security deposit"/>
      <sheetName val="Inventories"/>
      <sheetName val="A-Inventories break up"/>
      <sheetName val="A-Stores &amp; Spares"/>
      <sheetName val="A-inventories quantity"/>
      <sheetName val="SS- Inventories"/>
      <sheetName val="Inventories_CSD"/>
      <sheetName val="Inventories_AGING"/>
      <sheetName val="Agro"/>
      <sheetName val="agro tables"/>
      <sheetName val="PP&amp;OtherA"/>
      <sheetName val="Capex&amp;FA"/>
      <sheetName val="A-Insurance Cover"/>
      <sheetName val="GW&amp;OtherInt"/>
      <sheetName val="Intercompany"/>
      <sheetName val="A-inter co balance"/>
      <sheetName val="PepsiCo Affiliated Balances"/>
      <sheetName val="Acct Payable"/>
      <sheetName val="A-AP"/>
      <sheetName val="AL&amp;OLTL"/>
      <sheetName val="A-Accrued Liabilities"/>
      <sheetName val="SS-AL&amp;OLTL"/>
      <sheetName val="fobo marketing accruals"/>
      <sheetName val="tax"/>
      <sheetName val="Debt &amp; Equity"/>
      <sheetName val="CTA"/>
      <sheetName val="KPI definitions"/>
      <sheetName val="OFCF definitions"/>
      <sheetName val="Input Sheet"/>
      <sheetName val="KVM Switching"/>
      <sheetName val="2. Parameter"/>
      <sheetName val="Financial Forms"/>
      <sheetName val="Objective_(2)"/>
      <sheetName val="Exec_Sum_Cover"/>
      <sheetName val="SS-_P&amp;L"/>
      <sheetName val="SS-P&amp;L_NR"/>
      <sheetName val="A-direct_costs"/>
      <sheetName val="SS-P&amp;L_Directs"/>
      <sheetName val="SS-P&amp;L_MOH1"/>
      <sheetName val="SS-P&amp;L_MOH2"/>
      <sheetName val="A-G&amp;_A"/>
      <sheetName val="SS-_P&amp;L_S&amp;D"/>
      <sheetName val="KPI_Input"/>
      <sheetName val="BSWatch_Outs"/>
      <sheetName val="Reserve_Summary"/>
      <sheetName val="Detail_Cover"/>
      <sheetName val="Audit_(2)"/>
      <sheetName val="Hyp_Structure"/>
      <sheetName val="Cash_Flows1"/>
      <sheetName val="SS_-_CC&amp;STInv"/>
      <sheetName val="Trade_Receivables"/>
      <sheetName val="FOBO's_AR"/>
      <sheetName val="SS-N&amp;OAR_1"/>
      <sheetName val="SS-N&amp;OAR_2"/>
      <sheetName val="SS-_N&amp;OAR3"/>
      <sheetName val="A-Security_deposit"/>
      <sheetName val="A-Inventories_break_up"/>
      <sheetName val="A-Stores_&amp;_Spares"/>
      <sheetName val="A-inventories_quantity"/>
      <sheetName val="SS-_Inventories"/>
      <sheetName val="agro_tables"/>
      <sheetName val="A-Insurance_Cover"/>
      <sheetName val="A-inter_co_balance"/>
      <sheetName val="PepsiCo_Affiliated_Balances"/>
      <sheetName val="Acct_Payable"/>
      <sheetName val="A-Accrued_Liabilities"/>
      <sheetName val="fobo_marketing_accruals"/>
      <sheetName val="Debt_&amp;_Equity"/>
      <sheetName val="KPI_definitions"/>
      <sheetName val="OFCF_definitions"/>
      <sheetName val="Input_Sheet"/>
      <sheetName val="KVM_Switching"/>
      <sheetName val="2__Parameter"/>
      <sheetName val="Financial_Forms"/>
      <sheetName val="Objective_(2)1"/>
      <sheetName val="Exec_Sum_Cover1"/>
      <sheetName val="SS-_P&amp;L1"/>
      <sheetName val="SS-P&amp;L_NR1"/>
      <sheetName val="A-direct_costs1"/>
      <sheetName val="SS-P&amp;L_Directs1"/>
      <sheetName val="SS-P&amp;L_MOH11"/>
      <sheetName val="SS-P&amp;L_MOH21"/>
      <sheetName val="A-G&amp;_A1"/>
      <sheetName val="SS-_P&amp;L_S&amp;D1"/>
      <sheetName val="KPI_Input1"/>
      <sheetName val="BSWatch_Outs1"/>
      <sheetName val="Reserve_Summary1"/>
      <sheetName val="Detail_Cover1"/>
      <sheetName val="Audit_(2)1"/>
      <sheetName val="Hyp_Structure1"/>
      <sheetName val="Cash_Flows11"/>
      <sheetName val="SS_-_CC&amp;STInv1"/>
      <sheetName val="Trade_Receivables1"/>
      <sheetName val="FOBO's_AR1"/>
      <sheetName val="SS-N&amp;OAR_11"/>
      <sheetName val="SS-N&amp;OAR_21"/>
      <sheetName val="SS-_N&amp;OAR31"/>
      <sheetName val="A-Security_deposit1"/>
      <sheetName val="A-Inventories_break_up1"/>
      <sheetName val="A-Stores_&amp;_Spares1"/>
      <sheetName val="A-inventories_quantity1"/>
      <sheetName val="SS-_Inventories1"/>
      <sheetName val="agro_tables1"/>
      <sheetName val="A-Insurance_Cover1"/>
      <sheetName val="A-inter_co_balance1"/>
      <sheetName val="PepsiCo_Affiliated_Balances1"/>
      <sheetName val="Acct_Payable1"/>
      <sheetName val="A-Accrued_Liabilities1"/>
      <sheetName val="fobo_marketing_accruals1"/>
      <sheetName val="Debt_&amp;_Equity1"/>
      <sheetName val="KPI_definitions1"/>
      <sheetName val="OFCF_definitions1"/>
      <sheetName val="Input_Sheet1"/>
      <sheetName val="KVM_Switching1"/>
      <sheetName val="2__Parameter1"/>
      <sheetName val="Financial_Forms1"/>
      <sheetName val="Objective_(2)2"/>
      <sheetName val="Exec_Sum_Cover2"/>
      <sheetName val="SS-_P&amp;L2"/>
      <sheetName val="SS-P&amp;L_NR2"/>
      <sheetName val="A-direct_costs2"/>
      <sheetName val="SS-P&amp;L_Directs2"/>
      <sheetName val="SS-P&amp;L_MOH12"/>
      <sheetName val="SS-P&amp;L_MOH22"/>
      <sheetName val="A-G&amp;_A2"/>
      <sheetName val="SS-_P&amp;L_S&amp;D2"/>
      <sheetName val="KPI_Input2"/>
      <sheetName val="BSWatch_Outs2"/>
      <sheetName val="Reserve_Summary2"/>
      <sheetName val="Detail_Cover2"/>
      <sheetName val="Audit_(2)2"/>
      <sheetName val="Hyp_Structure2"/>
      <sheetName val="Cash_Flows12"/>
      <sheetName val="SS_-_CC&amp;STInv2"/>
      <sheetName val="Trade_Receivables2"/>
      <sheetName val="FOBO's_AR2"/>
      <sheetName val="SS-N&amp;OAR_12"/>
      <sheetName val="SS-N&amp;OAR_22"/>
      <sheetName val="SS-_N&amp;OAR32"/>
      <sheetName val="A-Security_deposit2"/>
      <sheetName val="A-Inventories_break_up2"/>
      <sheetName val="A-Stores_&amp;_Spares2"/>
      <sheetName val="A-inventories_quantity2"/>
      <sheetName val="SS-_Inventories2"/>
      <sheetName val="agro_tables2"/>
      <sheetName val="A-Insurance_Cover2"/>
      <sheetName val="A-inter_co_balance2"/>
      <sheetName val="PepsiCo_Affiliated_Balances2"/>
      <sheetName val="Acct_Payable2"/>
      <sheetName val="A-Accrued_Liabilities2"/>
      <sheetName val="fobo_marketing_accruals2"/>
      <sheetName val="Debt_&amp;_Equity2"/>
      <sheetName val="KPI_definitions2"/>
      <sheetName val="OFCF_definitions2"/>
      <sheetName val="Input_Sheet2"/>
      <sheetName val="KVM_Switching2"/>
      <sheetName val="2__Parameter2"/>
      <sheetName val="Financial_Forms2"/>
      <sheetName val="MTP FCF for PP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 Menu"/>
      <sheetName val="Navigation Menu"/>
      <sheetName val="Driver"/>
      <sheetName val="Index"/>
      <sheetName val="Exec Summary"/>
      <sheetName val="A1 Macro Trends"/>
      <sheetName val="A2 Salty Snacks Market"/>
      <sheetName val="A3 Macro Snacks Market"/>
      <sheetName val="A4 Quaker Market"/>
      <sheetName val="A5 Volume Build-up"/>
      <sheetName val="A6 Innovation Salty"/>
      <sheetName val="A7 Innovation Non Salty"/>
      <sheetName val="A8 Salty Rev Build &amp; SDV Trend"/>
      <sheetName val="A9 Non Salty Rev Build &amp; SDV"/>
      <sheetName val="B1 P&amp;L LC"/>
      <sheetName val="B2 P&amp;L USD"/>
      <sheetName val="B3 OCF &amp; Balance Sheet KPIs"/>
      <sheetName val="B4 1 Year Algorithm"/>
      <sheetName val="B5 3 Year Algorithm"/>
      <sheetName val="C1 Capex Projects"/>
      <sheetName val="C2 Headcount"/>
      <sheetName val="C3 A&amp;M"/>
      <sheetName val="C4 Operations Metrics"/>
      <sheetName val="03-05 Algorithm"/>
      <sheetName val="D1 Integration Impact"/>
      <sheetName val="Hidden DataSheet"/>
      <sheetName val="D1 Integration Impact (2)"/>
      <sheetName val="ENTITY TABLE"/>
      <sheetName val="普查库示例"/>
      <sheetName val="Puerto Rico"/>
      <sheetName val="Hyperion"/>
      <sheetName val="Print_Menu"/>
      <sheetName val="Navigation_Menu"/>
      <sheetName val="Exec_Summary"/>
      <sheetName val="A1_Macro_Trends"/>
      <sheetName val="A2_Salty_Snacks_Market"/>
      <sheetName val="A3_Macro_Snacks_Market"/>
      <sheetName val="A4_Quaker_Market"/>
      <sheetName val="A5_Volume_Build-up"/>
      <sheetName val="A6_Innovation_Salty"/>
      <sheetName val="A7_Innovation_Non_Salty"/>
      <sheetName val="A8_Salty_Rev_Build_&amp;_SDV_Trend"/>
      <sheetName val="A9_Non_Salty_Rev_Build_&amp;_SDV"/>
      <sheetName val="B1_P&amp;L_LC"/>
      <sheetName val="B2_P&amp;L_USD"/>
      <sheetName val="B3_OCF_&amp;_Balance_Sheet_KPIs"/>
      <sheetName val="B4_1_Year_Algorithm"/>
      <sheetName val="B5_3_Year_Algorithm"/>
      <sheetName val="C1_Capex_Projects"/>
      <sheetName val="C2_Headcount"/>
      <sheetName val="C3_A&amp;M"/>
      <sheetName val="C4_Operations_Metrics"/>
      <sheetName val="03-05_Algorithm"/>
      <sheetName val="D1_Integration_Impact"/>
      <sheetName val="Hidden_DataSheet"/>
      <sheetName val="D1_Integration_Impact_(2)"/>
      <sheetName val="ENTITY_TABLE"/>
      <sheetName val="Puerto_Rico"/>
      <sheetName val="Print_Menu1"/>
      <sheetName val="Navigation_Menu1"/>
      <sheetName val="Exec_Summary1"/>
      <sheetName val="A1_Macro_Trends1"/>
      <sheetName val="A2_Salty_Snacks_Market1"/>
      <sheetName val="A3_Macro_Snacks_Market1"/>
      <sheetName val="A4_Quaker_Market1"/>
      <sheetName val="A5_Volume_Build-up1"/>
      <sheetName val="A6_Innovation_Salty1"/>
      <sheetName val="A7_Innovation_Non_Salty1"/>
      <sheetName val="A8_Salty_Rev_Build_&amp;_SDV_Trend1"/>
      <sheetName val="A9_Non_Salty_Rev_Build_&amp;_SDV1"/>
      <sheetName val="B1_P&amp;L_LC1"/>
      <sheetName val="B2_P&amp;L_USD1"/>
      <sheetName val="B3_OCF_&amp;_Balance_Sheet_KPIs1"/>
      <sheetName val="B4_1_Year_Algorithm1"/>
      <sheetName val="B5_3_Year_Algorithm1"/>
      <sheetName val="C1_Capex_Projects1"/>
      <sheetName val="C2_Headcount1"/>
      <sheetName val="C3_A&amp;M1"/>
      <sheetName val="C4_Operations_Metrics1"/>
      <sheetName val="03-05_Algorithm1"/>
      <sheetName val="D1_Integration_Impact1"/>
      <sheetName val="Hidden_DataSheet1"/>
      <sheetName val="D1_Integration_Impact_(2)1"/>
      <sheetName val="ENTITY_TABLE1"/>
      <sheetName val="Puerto_Rico1"/>
      <sheetName val="Print_Menu2"/>
      <sheetName val="Navigation_Menu2"/>
      <sheetName val="Exec_Summary2"/>
      <sheetName val="A1_Macro_Trends2"/>
      <sheetName val="A2_Salty_Snacks_Market2"/>
      <sheetName val="A3_Macro_Snacks_Market2"/>
      <sheetName val="A4_Quaker_Market2"/>
      <sheetName val="A5_Volume_Build-up2"/>
      <sheetName val="A6_Innovation_Salty2"/>
      <sheetName val="A7_Innovation_Non_Salty2"/>
      <sheetName val="A8_Salty_Rev_Build_&amp;_SDV_Trend2"/>
      <sheetName val="A9_Non_Salty_Rev_Build_&amp;_SDV2"/>
      <sheetName val="B1_P&amp;L_LC2"/>
      <sheetName val="B2_P&amp;L_USD2"/>
      <sheetName val="B3_OCF_&amp;_Balance_Sheet_KPIs2"/>
      <sheetName val="B4_1_Year_Algorithm2"/>
      <sheetName val="B5_3_Year_Algorithm2"/>
      <sheetName val="C1_Capex_Projects2"/>
      <sheetName val="C2_Headcount2"/>
      <sheetName val="C3_A&amp;M2"/>
      <sheetName val="C4_Operations_Metrics2"/>
      <sheetName val="03-05_Algorithm2"/>
      <sheetName val="D1_Integration_Impact2"/>
      <sheetName val="Hidden_DataSheet2"/>
      <sheetName val="D1_Integration_Impact_(2)2"/>
      <sheetName val="ENTITY_TABLE2"/>
      <sheetName val="Puerto_Rico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>
        <row r="3">
          <cell r="A3" t="str">
            <v>FLIHQ -  Macro Trends</v>
          </cell>
        </row>
        <row r="7">
          <cell r="C7" t="str">
            <v>Units</v>
          </cell>
          <cell r="E7">
            <v>2002</v>
          </cell>
          <cell r="F7">
            <v>2003</v>
          </cell>
          <cell r="G7">
            <v>2004</v>
          </cell>
          <cell r="H7">
            <v>2005</v>
          </cell>
          <cell r="I7">
            <v>2006</v>
          </cell>
          <cell r="J7">
            <v>2004</v>
          </cell>
          <cell r="K7">
            <v>2005</v>
          </cell>
          <cell r="M7" t="str">
            <v>CAGR 03-06</v>
          </cell>
        </row>
        <row r="9">
          <cell r="A9" t="str">
            <v>MACROS</v>
          </cell>
        </row>
        <row r="10">
          <cell r="A10" t="str">
            <v xml:space="preserve">   Population</v>
          </cell>
          <cell r="C10" t="str">
            <v>Millions</v>
          </cell>
          <cell r="M10" t="str">
            <v>nm</v>
          </cell>
        </row>
        <row r="11">
          <cell r="A11" t="str">
            <v xml:space="preserve">  GDP Growth (LC)</v>
          </cell>
          <cell r="C11" t="str">
            <v>%</v>
          </cell>
        </row>
        <row r="12">
          <cell r="A12" t="str">
            <v xml:space="preserve">  GDP/Capita (US$)</v>
          </cell>
          <cell r="C12" t="str">
            <v>$'000/Head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M12" t="str">
            <v>nm</v>
          </cell>
        </row>
        <row r="15">
          <cell r="A15" t="str">
            <v xml:space="preserve">   Forex Rate (Average)</v>
          </cell>
          <cell r="C15" t="str">
            <v>$1.00 =</v>
          </cell>
          <cell r="E15">
            <v>0</v>
          </cell>
          <cell r="F15">
            <v>0</v>
          </cell>
          <cell r="G15">
            <v>1</v>
          </cell>
          <cell r="H15">
            <v>1</v>
          </cell>
          <cell r="I15">
            <v>1</v>
          </cell>
          <cell r="M15" t="str">
            <v>nm</v>
          </cell>
        </row>
        <row r="16">
          <cell r="A16" t="str">
            <v xml:space="preserve">   Devaluation (Average)</v>
          </cell>
          <cell r="C16" t="str">
            <v>%</v>
          </cell>
          <cell r="F16" t="str">
            <v xml:space="preserve"> </v>
          </cell>
          <cell r="G16" t="str">
            <v xml:space="preserve"> </v>
          </cell>
          <cell r="H16">
            <v>0</v>
          </cell>
          <cell r="I16">
            <v>0</v>
          </cell>
          <cell r="J16">
            <v>-1</v>
          </cell>
          <cell r="K16" t="str">
            <v xml:space="preserve"> </v>
          </cell>
        </row>
        <row r="17">
          <cell r="A17" t="str">
            <v xml:space="preserve">   Forex Rate (Year-End)</v>
          </cell>
          <cell r="C17" t="str">
            <v>$1.00 =</v>
          </cell>
          <cell r="E17">
            <v>1</v>
          </cell>
          <cell r="F17">
            <v>0</v>
          </cell>
          <cell r="G17">
            <v>1</v>
          </cell>
          <cell r="H17">
            <v>1</v>
          </cell>
          <cell r="I17">
            <v>1</v>
          </cell>
          <cell r="M17" t="str">
            <v>nm</v>
          </cell>
        </row>
        <row r="18">
          <cell r="A18" t="str">
            <v xml:space="preserve">   Inflation Rate (CPI)</v>
          </cell>
          <cell r="C18" t="str">
            <v>%</v>
          </cell>
          <cell r="M18">
            <v>0</v>
          </cell>
        </row>
        <row r="19">
          <cell r="A19" t="str">
            <v xml:space="preserve">   Inflation Index</v>
          </cell>
          <cell r="C19" t="str">
            <v xml:space="preserve"> (2002=100)</v>
          </cell>
          <cell r="E19">
            <v>100</v>
          </cell>
          <cell r="F19">
            <v>100</v>
          </cell>
          <cell r="G19">
            <v>100</v>
          </cell>
          <cell r="H19">
            <v>100</v>
          </cell>
          <cell r="I19">
            <v>100</v>
          </cell>
          <cell r="J19">
            <v>100</v>
          </cell>
          <cell r="K19">
            <v>100</v>
          </cell>
        </row>
        <row r="29">
          <cell r="F29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>
        <row r="3">
          <cell r="A3" t="str">
            <v>FLIHQ -  Macro Trends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3">
          <cell r="A3" t="str">
            <v>FLIHQ -  Macro Trends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 Store"/>
      <sheetName val="By Category"/>
      <sheetName val="Banner by Period"/>
      <sheetName val="Banner YTD"/>
      <sheetName val="Stores"/>
      <sheetName val="1997 dump"/>
      <sheetName val="1998 dump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AM"/>
      <sheetName val="fcst review template"/>
      <sheetName val="Plan Review Template"/>
      <sheetName val="SUM"/>
      <sheetName val="Net$Sum"/>
      <sheetName val="Mix Shift"/>
      <sheetName val="FLC P&amp;L"/>
      <sheetName val="BrandSum"/>
      <sheetName val="Promo"/>
      <sheetName val="Profit"/>
      <sheetName val="FullRev"/>
      <sheetName val="TH detail"/>
      <sheetName val="SS detail"/>
      <sheetName val="FCST accuracy"/>
      <sheetName val="Innovation"/>
      <sheetName val="Innovation Phasing"/>
      <sheetName val="UnitKilo"/>
      <sheetName val="Printing"/>
      <sheetName val="QTG Annual"/>
      <sheetName val="TEMP_EXPORT_QUERY"/>
      <sheetName val="A1 Macro Trends"/>
      <sheetName val="Driver"/>
      <sheetName val="By_Store"/>
      <sheetName val="By_Category"/>
      <sheetName val="Banner_by_Period"/>
      <sheetName val="Banner_YTD"/>
      <sheetName val="1997_dump"/>
      <sheetName val="1998_dump"/>
      <sheetName val="fcst_review_template"/>
      <sheetName val="Plan_Review_Template"/>
      <sheetName val="Mix_Shift"/>
      <sheetName val="FLC_P&amp;L"/>
      <sheetName val="TH_detail"/>
      <sheetName val="SS_detail"/>
      <sheetName val="FCST_accuracy"/>
      <sheetName val="Innovation_Phasing"/>
      <sheetName val="QTG_Annual"/>
      <sheetName val="A1_Macro_Trends"/>
      <sheetName val="OC5-Push Diag"/>
      <sheetName val="Settings"/>
      <sheetName val="Franchise Input"/>
      <sheetName val="location listing"/>
      <sheetName val="By_Store1"/>
      <sheetName val="By_Category1"/>
      <sheetName val="Banner_by_Period1"/>
      <sheetName val="Banner_YTD1"/>
      <sheetName val="1997_dump1"/>
      <sheetName val="1998_dump1"/>
      <sheetName val="fcst_review_template1"/>
      <sheetName val="Plan_Review_Template1"/>
      <sheetName val="Mix_Shift1"/>
      <sheetName val="FLC_P&amp;L1"/>
      <sheetName val="TH_detail1"/>
      <sheetName val="SS_detail1"/>
      <sheetName val="FCST_accuracy1"/>
      <sheetName val="Innovation_Phasing1"/>
      <sheetName val="QTG_Annual1"/>
      <sheetName val="A1_Macro_Trends1"/>
      <sheetName val="OC5-Push_Diag"/>
      <sheetName val="Franchise_Input"/>
      <sheetName val="location_listing"/>
      <sheetName val="By_Store2"/>
      <sheetName val="By_Category2"/>
      <sheetName val="Banner_by_Period2"/>
      <sheetName val="Banner_YTD2"/>
      <sheetName val="1997_dump2"/>
      <sheetName val="1998_dump2"/>
      <sheetName val="fcst_review_template2"/>
      <sheetName val="Plan_Review_Template2"/>
      <sheetName val="Mix_Shift2"/>
      <sheetName val="FLC_P&amp;L2"/>
      <sheetName val="TH_detail2"/>
      <sheetName val="SS_detail2"/>
      <sheetName val="FCST_accuracy2"/>
      <sheetName val="Innovation_Phasing2"/>
      <sheetName val="QTG_Annual2"/>
      <sheetName val="A1_Macro_Trends2"/>
      <sheetName val="OC5-Push_Diag1"/>
      <sheetName val="Franchise_Input1"/>
      <sheetName val="location_listing1"/>
      <sheetName val="By_Store3"/>
      <sheetName val="By_Category3"/>
      <sheetName val="Banner_by_Period3"/>
      <sheetName val="Banner_YTD3"/>
      <sheetName val="1997_dump3"/>
      <sheetName val="1998_dump3"/>
      <sheetName val="fcst_review_template3"/>
      <sheetName val="Plan_Review_Template3"/>
      <sheetName val="Mix_Shift3"/>
      <sheetName val="FLC_P&amp;L3"/>
      <sheetName val="TH_detail3"/>
      <sheetName val="SS_detail3"/>
      <sheetName val="FCST_accuracy3"/>
      <sheetName val="Innovation_Phasing3"/>
      <sheetName val="QTG_Annual3"/>
      <sheetName val="A1_Macro_Trends3"/>
      <sheetName val="OC5-Push_Diag2"/>
      <sheetName val="Franchise_Input2"/>
      <sheetName val="location_listing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AL_BAL"/>
      <sheetName val="MTON"/>
      <sheetName val="M-1"/>
      <sheetName val="M-2"/>
      <sheetName val="M-3A"/>
      <sheetName val="M-3D"/>
      <sheetName val="M-4"/>
      <sheetName val="M-7"/>
      <sheetName val="M11"/>
      <sheetName val="M-2QP"/>
      <sheetName val="Q62"/>
      <sheetName val=" nfcst_py"/>
      <sheetName val="Stores"/>
      <sheetName val="Debt"/>
      <sheetName val="Instruction"/>
      <sheetName val="NZ Summary"/>
      <sheetName val="P&amp;L"/>
      <sheetName val="Jan Volume"/>
      <sheetName val="SR Trend_2007 YTD"/>
      <sheetName val="Demograhpics full"/>
      <sheetName val="Total Innovation"/>
      <sheetName val="PET-4"/>
      <sheetName val="PET-1"/>
      <sheetName val="_nfcst_py"/>
      <sheetName val="NZ_Summary"/>
      <sheetName val="Jan_Volume"/>
      <sheetName val="SR_Trend_2007_YTD"/>
      <sheetName val="Total_Innovation"/>
      <sheetName val="_nfcst_py1"/>
      <sheetName val="NZ_Summary1"/>
      <sheetName val="Jan_Volume1"/>
      <sheetName val="SR_Trend_2007_YTD1"/>
      <sheetName val="Total_Innovation1"/>
      <sheetName val="_nfcst_py2"/>
      <sheetName val="NZ_Summary2"/>
      <sheetName val="Jan_Volume2"/>
      <sheetName val="SR_Trend_2007_YTD2"/>
      <sheetName val="Total_Innovation2"/>
      <sheetName val="_nfcst_py3"/>
      <sheetName val="NZ_Summary3"/>
      <sheetName val="Jan_Volume3"/>
      <sheetName val="SR_Trend_2007_YTD3"/>
      <sheetName val="Total_Innovation3"/>
      <sheetName val="_nfcst_py4"/>
      <sheetName val="NZ_Summary4"/>
      <sheetName val="Jan_Volume4"/>
      <sheetName val="SR_Trend_2007_YTD4"/>
      <sheetName val="Total_Innovation4"/>
      <sheetName val="Constants"/>
      <sheetName val="NIUs"/>
      <sheetName val="Demograhpics_full"/>
      <sheetName val="_nfcst_py6"/>
      <sheetName val="NZ_Summary6"/>
      <sheetName val="Jan_Volume6"/>
      <sheetName val="SR_Trend_2007_YTD6"/>
      <sheetName val="Total_Innovation6"/>
      <sheetName val="_nfcst_py5"/>
      <sheetName val="NZ_Summary5"/>
      <sheetName val="Jan_Volume5"/>
      <sheetName val="SR_Trend_2007_YTD5"/>
      <sheetName val="Total_Innovation5"/>
      <sheetName val="_nfcst_py7"/>
      <sheetName val="NZ_Summary7"/>
      <sheetName val="Jan_Volume7"/>
      <sheetName val="SR_Trend_2007_YTD7"/>
      <sheetName val="Demograhpics_full1"/>
      <sheetName val="Total_Innovation7"/>
      <sheetName val="_nfcst_py8"/>
      <sheetName val="NZ_Summary8"/>
      <sheetName val="Jan_Volume8"/>
      <sheetName val="SR_Trend_2007_YTD8"/>
      <sheetName val="Demograhpics_full2"/>
      <sheetName val="Total_Innovation8"/>
      <sheetName val="_nfcst_py9"/>
      <sheetName val="NZ_Summary9"/>
      <sheetName val="Jan_Volume9"/>
      <sheetName val="SR_Trend_2007_YTD9"/>
      <sheetName val="Demograhpics_full3"/>
      <sheetName val="Total_Innovation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n"/>
      <sheetName val="qtr"/>
      <sheetName val="summary "/>
      <sheetName val="China"/>
      <sheetName val="Taiwan"/>
      <sheetName val="HK"/>
      <sheetName val="PICL fee"/>
      <sheetName val="JV Inc"/>
      <sheetName val="China JVs"/>
      <sheetName val="JV (RMB) "/>
      <sheetName val="2000-2002"/>
      <sheetName val="% rev"/>
      <sheetName val="2000P&amp;L(9.17)"/>
      <sheetName val="#REF"/>
      <sheetName val="RMB"/>
      <sheetName val="#REF!"/>
      <sheetName val="TRIAL_BAL"/>
      <sheetName val="Stores"/>
      <sheetName val="Cover"/>
      <sheetName val="Summary"/>
      <sheetName val="Sheet1"/>
      <sheetName val="Lst-BS"/>
      <sheetName val="MAR-F"/>
      <sheetName val="TAB损益"/>
      <sheetName val="TAB销售分析"/>
      <sheetName val="TAB BS"/>
      <sheetName val="康饮BS"/>
      <sheetName val="百饮BS"/>
      <sheetName val="康饮损益"/>
      <sheetName val="康饮销售分析"/>
      <sheetName val="康饮区域损益"/>
      <sheetName val="康饮品牌损益"/>
      <sheetName val="百饮损益"/>
      <sheetName val="百饮销售分析"/>
      <sheetName val="百饮品牌损益"/>
      <sheetName val="百饮区域损益"/>
      <sheetName val="Comm"/>
      <sheetName val="summary_"/>
      <sheetName val="PICL_fee"/>
      <sheetName val="JV_Inc"/>
      <sheetName val="China_JVs"/>
      <sheetName val="JV_(RMB)_"/>
      <sheetName val="%_rev"/>
      <sheetName val="2000P&amp;L(9_17)"/>
      <sheetName val="TAB_BS"/>
      <sheetName val="summary_1"/>
      <sheetName val="PICL_fee1"/>
      <sheetName val="JV_Inc1"/>
      <sheetName val="China_JVs1"/>
      <sheetName val="JV_(RMB)_1"/>
      <sheetName val="%_rev1"/>
      <sheetName val="2000P&amp;L(9_17)1"/>
      <sheetName val="TAB_BS1"/>
      <sheetName val="2000P&amp;L(9.17).xls"/>
      <sheetName val="CONTENTS"/>
      <sheetName val="普查库示例"/>
      <sheetName val="Input"/>
      <sheetName val="South"/>
      <sheetName val="Entity list"/>
      <sheetName val="Total"/>
      <sheetName val="wAccuracyChart"/>
      <sheetName val="wHist_Data"/>
      <sheetName val="wSKU_Accuracy (2)"/>
      <sheetName val="设置"/>
      <sheetName val="Coke"/>
      <sheetName val="Beverage Volume"/>
      <sheetName val="F7-1新进业代辅导员安排"/>
      <sheetName val="08、09年离职率对比"/>
      <sheetName val="0807-0903"/>
      <sheetName val="China ttl"/>
      <sheetName val="费用'1"/>
      <sheetName val="input_RGM"/>
      <sheetName val="output_RGM"/>
      <sheetName val="Coding"/>
      <sheetName val="封面"/>
      <sheetName val=" "/>
      <sheetName val="WORKING"/>
      <sheetName val="5月"/>
      <sheetName val="jhcyl"/>
      <sheetName val="产量"/>
      <sheetName val="3月销售日报表"/>
      <sheetName val="Local"/>
      <sheetName val="input data"/>
      <sheetName val="1"/>
      <sheetName val="Input Sheet"/>
      <sheetName val="比较 (2)"/>
      <sheetName val="源-各品项量"/>
      <sheetName val="Sum"/>
      <sheetName val="P1-推进进度&amp;问题解决"/>
      <sheetName val="原材料单价分析"/>
      <sheetName val="八 损益分析5月"/>
      <sheetName val="附3-2-离职分析原因别(累计)"/>
      <sheetName val="sundry"/>
      <sheetName val="附件3-在途明细"/>
      <sheetName val="FO1"/>
      <sheetName val="Reference"/>
      <sheetName val="summary_2"/>
      <sheetName val="PICL_fee2"/>
      <sheetName val="JV_Inc2"/>
      <sheetName val="China_JVs2"/>
      <sheetName val="JV_(RMB)_2"/>
      <sheetName val="%_rev2"/>
      <sheetName val="2000P&amp;L(9_17)2"/>
      <sheetName val="TAB_BS2"/>
      <sheetName val="2000P&amp;L(9_17)_xls"/>
      <sheetName val="Entity_list"/>
      <sheetName val="wSKU_Accuracy_(2)"/>
      <sheetName val="Beverage_Volume"/>
      <sheetName val="China_ttl"/>
      <sheetName val="_"/>
      <sheetName val="input_data"/>
      <sheetName val="Input_Sheet"/>
      <sheetName val="比较_(2)"/>
      <sheetName val="八_损益分析5月"/>
    </sheetNames>
    <definedNames>
      <definedName name="Macro1"/>
      <definedName name="Macro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abel new design"/>
      <sheetName val="Label_new_design"/>
      <sheetName val="Label_new_design1"/>
      <sheetName val="Label_new_design2"/>
    </sheetNames>
    <definedNames>
      <definedName name="Macro5"/>
    </definedNames>
    <sheetDataSet>
      <sheetData sheetId="0"/>
      <sheetData sheetId="1" refreshError="1"/>
      <sheetData sheetId="2"/>
      <sheetData sheetId="3"/>
      <sheetData sheetId="4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g1"/>
      <sheetName val="Org1 (2)"/>
      <sheetName val="Org1_(2)"/>
      <sheetName val="Org1_(2)1"/>
      <sheetName val="Org1_(2)2"/>
    </sheetNames>
    <sheetDataSet>
      <sheetData sheetId="0" refreshError="1"/>
      <sheetData sheetId="1" refreshError="1"/>
      <sheetData sheetId="2"/>
      <sheetData sheetId="3"/>
      <sheetData sheetId="4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Month by Region"/>
      <sheetName val="YTD by Region"/>
      <sheetName val="Month by BU &amp; Key Mkt"/>
      <sheetName val="YTD by BU &amp; Key Mkt"/>
      <sheetName val="Month by Top 29"/>
      <sheetName val="YTD by Top 29"/>
      <sheetName val="Sheet3"/>
      <sheetName val="Sheet2"/>
      <sheetName val="Sheet1"/>
      <sheetName val="Beverage Volume"/>
      <sheetName val="OCF Change"/>
      <sheetName val="RPT 71-VOLUME DATA-PCI "/>
      <sheetName val="RPT 72-VOLUME DATA-Industry"/>
      <sheetName val="Reference"/>
      <sheetName val="Month_by_Region"/>
      <sheetName val="YTD_by_Region"/>
      <sheetName val="Month_by_BU_&amp;_Key_Mkt"/>
      <sheetName val="YTD_by_BU_&amp;_Key_Mkt"/>
      <sheetName val="Month_by_Top_29"/>
      <sheetName val="YTD_by_Top_29"/>
      <sheetName val="Beverage_Volume"/>
      <sheetName val="OCF_Change"/>
      <sheetName val="RPT_71-VOLUME_DATA-PCI_"/>
      <sheetName val="RPT_72-VOLUME_DATA-Industry"/>
      <sheetName val="Month_by_Region1"/>
      <sheetName val="YTD_by_Region1"/>
      <sheetName val="Month_by_BU_&amp;_Key_Mkt1"/>
      <sheetName val="YTD_by_BU_&amp;_Key_Mkt1"/>
      <sheetName val="Month_by_Top_291"/>
      <sheetName val="YTD_by_Top_291"/>
      <sheetName val="Beverage_Volume1"/>
      <sheetName val="OCF_Change1"/>
      <sheetName val="RPT_71-VOLUME_DATA-PCI_1"/>
      <sheetName val="RPT_72-VOLUME_DATA-Industry1"/>
      <sheetName val="Month_by_Region2"/>
      <sheetName val="YTD_by_Region2"/>
      <sheetName val="Month_by_BU_&amp;_Key_Mkt2"/>
      <sheetName val="YTD_by_BU_&amp;_Key_Mkt2"/>
      <sheetName val="Month_by_Top_292"/>
      <sheetName val="YTD_by_Top_292"/>
      <sheetName val="Beverage_Volume2"/>
      <sheetName val="OCF_Change2"/>
      <sheetName val="RPT_71-VOLUME_DATA-PCI_2"/>
      <sheetName val="RPT_72-VOLUME_DATA-Industry2"/>
    </sheetNames>
    <sheetDataSet>
      <sheetData sheetId="0" refreshError="1">
        <row r="1">
          <cell r="B1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Month by Region"/>
      <sheetName val="YTD by Region"/>
      <sheetName val="Month by BU &amp; Key Mkt"/>
      <sheetName val="YTD by BU &amp; Key Mkt"/>
      <sheetName val="Month by Top 29"/>
      <sheetName val="YTD by Top 29"/>
      <sheetName val="Sheet3"/>
      <sheetName val="Sheet2"/>
      <sheetName val="Sheet1"/>
      <sheetName val="CSD_Pack"/>
      <sheetName val="CSD_ChannelRaw"/>
      <sheetName val="Month_by_Region"/>
      <sheetName val="YTD_by_Region"/>
      <sheetName val="Month_by_BU_&amp;_Key_Mkt"/>
      <sheetName val="YTD_by_BU_&amp;_Key_Mkt"/>
      <sheetName val="Month_by_Top_29"/>
      <sheetName val="YTD_by_Top_29"/>
      <sheetName val="Month_by_Region1"/>
      <sheetName val="YTD_by_Region1"/>
      <sheetName val="Month_by_BU_&amp;_Key_Mkt1"/>
      <sheetName val="YTD_by_BU_&amp;_Key_Mkt1"/>
      <sheetName val="Month_by_Top_291"/>
      <sheetName val="YTD_by_Top_291"/>
      <sheetName val="Month_by_Region2"/>
      <sheetName val="YTD_by_Region2"/>
      <sheetName val="Month_by_BU_&amp;_Key_Mkt2"/>
      <sheetName val="YTD_by_BU_&amp;_Key_Mkt2"/>
      <sheetName val="Month_by_Top_292"/>
      <sheetName val="YTD_by_Top_292"/>
    </sheetNames>
    <sheetDataSet>
      <sheetData sheetId="0" refreshError="1">
        <row r="4">
          <cell r="B4" t="str">
            <v>January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ENTITY LIST"/>
      <sheetName val="update details"/>
      <sheetName val="FOREX RATES"/>
      <sheetName val="NOPBT"/>
      <sheetName val="NET REVENUE"/>
      <sheetName val="SNACK VOLUME"/>
      <sheetName val="BEV VOLUME"/>
      <sheetName val="Rptd Mth of VS PY"/>
      <sheetName val="Database (Mth of vs PY)"/>
      <sheetName val="Rptd Mth of vs Plan"/>
      <sheetName val="Database (Mth of vs Plan)"/>
      <sheetName val="Rptd Mth of VS Fcst"/>
      <sheetName val="Database (Mth of vs Fcst)"/>
      <sheetName val="Rptd QTD vs PY"/>
      <sheetName val="Database (QTD vs PY)"/>
      <sheetName val="Rptd QTD vs Plan"/>
      <sheetName val="Database (QTD vs PLAN)"/>
      <sheetName val="Rptd QTD VS Fcst"/>
      <sheetName val="Database (QTD vs Fcst)"/>
      <sheetName val="Rptd YTD vs PY"/>
      <sheetName val="Database (YTD vs PY)"/>
      <sheetName val="Rptd YTD vs Plan"/>
      <sheetName val="Database (YTD vs PLAN)"/>
      <sheetName val="Rptd YTD VS Fcst"/>
      <sheetName val="Database (YTD vs Fcst)"/>
      <sheetName val="MASTER_ENTITY_LIST"/>
      <sheetName val="update_details"/>
      <sheetName val="FOREX_RATES"/>
      <sheetName val="NET_REVENUE"/>
      <sheetName val="SNACK_VOLUME"/>
      <sheetName val="BEV_VOLUME"/>
      <sheetName val="Rptd_Mth_of_VS_PY"/>
      <sheetName val="Database_(Mth_of_vs_PY)"/>
      <sheetName val="Rptd_Mth_of_vs_Plan"/>
      <sheetName val="Database_(Mth_of_vs_Plan)"/>
      <sheetName val="Rptd_Mth_of_VS_Fcst"/>
      <sheetName val="Database_(Mth_of_vs_Fcst)"/>
      <sheetName val="Rptd_QTD_vs_PY"/>
      <sheetName val="Database_(QTD_vs_PY)"/>
      <sheetName val="Rptd_QTD_vs_Plan"/>
      <sheetName val="Database_(QTD_vs_PLAN)"/>
      <sheetName val="Rptd_QTD_VS_Fcst"/>
      <sheetName val="Database_(QTD_vs_Fcst)"/>
      <sheetName val="Rptd_YTD_vs_PY"/>
      <sheetName val="Database_(YTD_vs_PY)"/>
      <sheetName val="Rptd_YTD_vs_Plan"/>
      <sheetName val="Database_(YTD_vs_PLAN)"/>
      <sheetName val="Rptd_YTD_VS_Fcst"/>
      <sheetName val="Database_(YTD_vs_Fcst)"/>
      <sheetName val="MASTER_ENTITY_LIST1"/>
      <sheetName val="update_details1"/>
      <sheetName val="FOREX_RATES1"/>
      <sheetName val="NET_REVENUE1"/>
      <sheetName val="SNACK_VOLUME1"/>
      <sheetName val="BEV_VOLUME1"/>
      <sheetName val="Rptd_Mth_of_VS_PY1"/>
      <sheetName val="Database_(Mth_of_vs_PY)1"/>
      <sheetName val="Rptd_Mth_of_vs_Plan1"/>
      <sheetName val="Database_(Mth_of_vs_Plan)1"/>
      <sheetName val="Rptd_Mth_of_VS_Fcst1"/>
      <sheetName val="Database_(Mth_of_vs_Fcst)1"/>
      <sheetName val="Rptd_QTD_vs_PY1"/>
      <sheetName val="Database_(QTD_vs_PY)1"/>
      <sheetName val="Rptd_QTD_vs_Plan1"/>
      <sheetName val="Database_(QTD_vs_PLAN)1"/>
      <sheetName val="Rptd_QTD_VS_Fcst1"/>
      <sheetName val="Database_(QTD_vs_Fcst)1"/>
      <sheetName val="Rptd_YTD_vs_PY1"/>
      <sheetName val="Database_(YTD_vs_PY)1"/>
      <sheetName val="Rptd_YTD_vs_Plan1"/>
      <sheetName val="Database_(YTD_vs_PLAN)1"/>
      <sheetName val="Rptd_YTD_VS_Fcst1"/>
      <sheetName val="Database_(YTD_vs_Fcst)1"/>
      <sheetName val="MASTER_ENTITY_LIST2"/>
      <sheetName val="update_details2"/>
      <sheetName val="FOREX_RATES2"/>
      <sheetName val="NET_REVENUE2"/>
      <sheetName val="SNACK_VOLUME2"/>
      <sheetName val="BEV_VOLUME2"/>
      <sheetName val="Rptd_Mth_of_VS_PY2"/>
      <sheetName val="Database_(Mth_of_vs_PY)2"/>
      <sheetName val="Rptd_Mth_of_vs_Plan2"/>
      <sheetName val="Database_(Mth_of_vs_Plan)2"/>
      <sheetName val="Rptd_Mth_of_VS_Fcst2"/>
      <sheetName val="Database_(Mth_of_vs_Fcst)2"/>
      <sheetName val="Rptd_QTD_vs_PY2"/>
      <sheetName val="Database_(QTD_vs_PY)2"/>
      <sheetName val="Rptd_QTD_vs_Plan2"/>
      <sheetName val="Database_(QTD_vs_PLAN)2"/>
      <sheetName val="Rptd_QTD_VS_Fcst2"/>
      <sheetName val="Database_(QTD_vs_Fcst)2"/>
      <sheetName val="Rptd_YTD_vs_PY2"/>
      <sheetName val="Database_(YTD_vs_PY)2"/>
      <sheetName val="Rptd_YTD_vs_Plan2"/>
      <sheetName val="Database_(YTD_vs_PLAN)2"/>
      <sheetName val="Rptd_YTD_VS_Fcst2"/>
      <sheetName val="Database_(YTD_vs_Fcst)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Monthly Summary by BU"/>
      <sheetName val="Monthly Summary by Top 25"/>
      <sheetName val="Monthly Summary by Key Market"/>
      <sheetName val="YTD Summary by BU"/>
      <sheetName val="YTD Summary by Top 25"/>
      <sheetName val="YTD Summary by Key Market"/>
      <sheetName val="A&amp;M Spend"/>
      <sheetName val="Capex by Category"/>
      <sheetName val="Investments"/>
      <sheetName val="P&amp;L Instructions"/>
      <sheetName val="Synergies"/>
      <sheetName val="Hungary"/>
      <sheetName val="CAT"/>
      <sheetName val="Monthly_Summary_by_BU"/>
      <sheetName val="Monthly_Summary_by_Top_25"/>
      <sheetName val="Monthly_Summary_by_Key_Market"/>
      <sheetName val="YTD_Summary_by_BU"/>
      <sheetName val="YTD_Summary_by_Top_25"/>
      <sheetName val="YTD_Summary_by_Key_Market"/>
      <sheetName val="A&amp;M_Spend"/>
      <sheetName val="Capex_by_Category"/>
      <sheetName val="P&amp;L_Instructions"/>
      <sheetName val="Monthly_Summary_by_BU1"/>
      <sheetName val="Monthly_Summary_by_Top_251"/>
      <sheetName val="Monthly_Summary_by_Key_Market1"/>
      <sheetName val="YTD_Summary_by_BU1"/>
      <sheetName val="YTD_Summary_by_Top_251"/>
      <sheetName val="YTD_Summary_by_Key_Market1"/>
      <sheetName val="A&amp;M_Spend1"/>
      <sheetName val="Capex_by_Category1"/>
      <sheetName val="P&amp;L_Instructions1"/>
      <sheetName val="Monthly_Summary_by_BU2"/>
      <sheetName val="Monthly_Summary_by_Top_252"/>
      <sheetName val="Monthly_Summary_by_Key_Market2"/>
      <sheetName val="YTD_Summary_by_BU2"/>
      <sheetName val="YTD_Summary_by_Top_252"/>
      <sheetName val="YTD_Summary_by_Key_Market2"/>
      <sheetName val="A&amp;M_Spend2"/>
      <sheetName val="Capex_by_Category2"/>
      <sheetName val="P&amp;L_Instruction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JV total (1-12)"/>
      <sheetName val="Per RC (1-12)"/>
      <sheetName val="COC(1-12)"/>
      <sheetName val="EJV total(12-11)"/>
      <sheetName val="Per RC (12-11)"/>
      <sheetName val="COC(12-11)"/>
      <sheetName val="South total (12-11)"/>
      <sheetName val="North total (12-11) with NJ"/>
      <sheetName val="West total (12-11) with WH"/>
      <sheetName val="East total (12-11) only SH"/>
      <sheetName val="BJ BS"/>
      <sheetName val="BJ P&amp;L"/>
      <sheetName val="CC BS"/>
      <sheetName val="CC P&amp;L"/>
      <sheetName val="TJ BS"/>
      <sheetName val="TJ P&amp;L"/>
      <sheetName val="CQ BS"/>
      <sheetName val="CQ P&amp;L"/>
      <sheetName val="NJ BS"/>
      <sheetName val="NJ P&amp;L"/>
      <sheetName val="SH BS"/>
      <sheetName val="SH P&amp;L"/>
      <sheetName val="WH BS"/>
      <sheetName val="WH P&amp;L"/>
      <sheetName val="GZ BS"/>
      <sheetName val="GZ P&amp;L"/>
      <sheetName val="SZ BS"/>
      <sheetName val="SZ P&amp;L"/>
      <sheetName val="BBY BS"/>
      <sheetName val="BBy P&amp;L"/>
      <sheetName val="Asia BS"/>
      <sheetName val="Asia P&amp;L"/>
      <sheetName val="NJ BS (C)"/>
      <sheetName val="NJ P&amp;L (C)"/>
      <sheetName val="SH BS (C)"/>
      <sheetName val="SH P&amp;L (C)"/>
      <sheetName val="WH BS (C)"/>
      <sheetName val="WH P&amp;L (C)"/>
      <sheetName val="North total (12-11)"/>
      <sheetName val="West total (12-11)"/>
      <sheetName val="East total (12-11)"/>
      <sheetName val="YTD P&amp;L"/>
      <sheetName val="JV BS"/>
      <sheetName val="Module1"/>
      <sheetName val="update details"/>
      <sheetName val="EJV_total_(1-12)"/>
      <sheetName val="Per_RC_(1-12)"/>
      <sheetName val="EJV_total(12-11)"/>
      <sheetName val="Per_RC_(12-11)"/>
      <sheetName val="South_total_(12-11)"/>
      <sheetName val="North_total_(12-11)_with_NJ"/>
      <sheetName val="West_total_(12-11)_with_WH"/>
      <sheetName val="East_total_(12-11)_only_SH"/>
      <sheetName val="BJ_BS"/>
      <sheetName val="BJ_P&amp;L"/>
      <sheetName val="CC_BS"/>
      <sheetName val="CC_P&amp;L"/>
      <sheetName val="TJ_BS"/>
      <sheetName val="TJ_P&amp;L"/>
      <sheetName val="CQ_BS"/>
      <sheetName val="CQ_P&amp;L"/>
      <sheetName val="NJ_BS"/>
      <sheetName val="NJ_P&amp;L"/>
      <sheetName val="SH_BS"/>
      <sheetName val="SH_P&amp;L"/>
      <sheetName val="WH_BS"/>
      <sheetName val="WH_P&amp;L"/>
      <sheetName val="GZ_BS"/>
      <sheetName val="GZ_P&amp;L"/>
      <sheetName val="SZ_BS"/>
      <sheetName val="SZ_P&amp;L"/>
      <sheetName val="BBY_BS"/>
      <sheetName val="BBy_P&amp;L"/>
      <sheetName val="Asia_BS"/>
      <sheetName val="Asia_P&amp;L"/>
      <sheetName val="NJ_BS_(C)"/>
      <sheetName val="NJ_P&amp;L_(C)"/>
      <sheetName val="SH_BS_(C)"/>
      <sheetName val="SH_P&amp;L_(C)"/>
      <sheetName val="WH_BS_(C)"/>
      <sheetName val="WH_P&amp;L_(C)"/>
      <sheetName val="North_total_(12-11)"/>
      <sheetName val="West_total_(12-11)"/>
      <sheetName val="East_total_(12-11)"/>
      <sheetName val="YTD_P&amp;L"/>
      <sheetName val="JV_BS"/>
      <sheetName val="update_details"/>
      <sheetName val="EJV_total_(1-12)1"/>
      <sheetName val="Per_RC_(1-12)1"/>
      <sheetName val="EJV_total(12-11)1"/>
      <sheetName val="Per_RC_(12-11)1"/>
      <sheetName val="South_total_(12-11)1"/>
      <sheetName val="North_total_(12-11)_with_NJ1"/>
      <sheetName val="West_total_(12-11)_with_WH1"/>
      <sheetName val="East_total_(12-11)_only_SH1"/>
      <sheetName val="BJ_BS1"/>
      <sheetName val="BJ_P&amp;L1"/>
      <sheetName val="CC_BS1"/>
      <sheetName val="CC_P&amp;L1"/>
      <sheetName val="TJ_BS1"/>
      <sheetName val="TJ_P&amp;L1"/>
      <sheetName val="CQ_BS1"/>
      <sheetName val="CQ_P&amp;L1"/>
      <sheetName val="NJ_BS1"/>
      <sheetName val="NJ_P&amp;L1"/>
      <sheetName val="SH_BS1"/>
      <sheetName val="SH_P&amp;L1"/>
      <sheetName val="WH_BS1"/>
      <sheetName val="WH_P&amp;L1"/>
      <sheetName val="GZ_BS1"/>
      <sheetName val="GZ_P&amp;L1"/>
      <sheetName val="SZ_BS1"/>
      <sheetName val="SZ_P&amp;L1"/>
      <sheetName val="BBY_BS1"/>
      <sheetName val="BBy_P&amp;L1"/>
      <sheetName val="Asia_BS1"/>
      <sheetName val="Asia_P&amp;L1"/>
      <sheetName val="NJ_BS_(C)1"/>
      <sheetName val="NJ_P&amp;L_(C)1"/>
      <sheetName val="SH_BS_(C)1"/>
      <sheetName val="SH_P&amp;L_(C)1"/>
      <sheetName val="WH_BS_(C)1"/>
      <sheetName val="WH_P&amp;L_(C)1"/>
      <sheetName val="North_total_(12-11)1"/>
      <sheetName val="West_total_(12-11)1"/>
      <sheetName val="East_total_(12-11)1"/>
      <sheetName val="YTD_P&amp;L1"/>
      <sheetName val="JV_BS1"/>
      <sheetName val="update_details1"/>
      <sheetName val="EJV_total_(1-12)2"/>
      <sheetName val="Per_RC_(1-12)2"/>
      <sheetName val="EJV_total(12-11)2"/>
      <sheetName val="Per_RC_(12-11)2"/>
      <sheetName val="South_total_(12-11)2"/>
      <sheetName val="North_total_(12-11)_with_NJ2"/>
      <sheetName val="West_total_(12-11)_with_WH2"/>
      <sheetName val="East_total_(12-11)_only_SH2"/>
      <sheetName val="BJ_BS2"/>
      <sheetName val="BJ_P&amp;L2"/>
      <sheetName val="CC_BS2"/>
      <sheetName val="CC_P&amp;L2"/>
      <sheetName val="TJ_BS2"/>
      <sheetName val="TJ_P&amp;L2"/>
      <sheetName val="CQ_BS2"/>
      <sheetName val="CQ_P&amp;L2"/>
      <sheetName val="NJ_BS2"/>
      <sheetName val="NJ_P&amp;L2"/>
      <sheetName val="SH_BS2"/>
      <sheetName val="SH_P&amp;L2"/>
      <sheetName val="WH_BS2"/>
      <sheetName val="WH_P&amp;L2"/>
      <sheetName val="GZ_BS2"/>
      <sheetName val="GZ_P&amp;L2"/>
      <sheetName val="SZ_BS2"/>
      <sheetName val="SZ_P&amp;L2"/>
      <sheetName val="BBY_BS2"/>
      <sheetName val="BBy_P&amp;L2"/>
      <sheetName val="Asia_BS2"/>
      <sheetName val="Asia_P&amp;L2"/>
      <sheetName val="NJ_BS_(C)2"/>
      <sheetName val="NJ_P&amp;L_(C)2"/>
      <sheetName val="SH_BS_(C)2"/>
      <sheetName val="SH_P&amp;L_(C)2"/>
      <sheetName val="WH_BS_(C)2"/>
      <sheetName val="WH_P&amp;L_(C)2"/>
      <sheetName val="North_total_(12-11)2"/>
      <sheetName val="West_total_(12-11)2"/>
      <sheetName val="East_total_(12-11)2"/>
      <sheetName val="YTD_P&amp;L2"/>
      <sheetName val="JV_BS2"/>
      <sheetName val="update_detail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igator"/>
      <sheetName val="map"/>
      <sheetName val="PL (LC)"/>
      <sheetName val="PL (US)"/>
      <sheetName val="COCH LC"/>
      <sheetName val="PLOutlook"/>
      <sheetName val="COCH US"/>
      <sheetName val="PLCapex"/>
      <sheetName val="PL_(LC)"/>
      <sheetName val="PL_(US)"/>
      <sheetName val="COCH_LC"/>
      <sheetName val="COCH_US"/>
      <sheetName val="PL_(LC)1"/>
      <sheetName val="PL_(US)1"/>
      <sheetName val="COCH_LC1"/>
      <sheetName val="COCH_US1"/>
      <sheetName val="PL_(LC)2"/>
      <sheetName val="PL_(US)2"/>
      <sheetName val="COCH_LC2"/>
      <sheetName val="COCH_U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Analysis"/>
      <sheetName val="SummGraph"/>
      <sheetName val="NOPBYAnaly"/>
      <sheetName val="Q3FAnalysis"/>
      <sheetName val="FXAnalysis"/>
      <sheetName val="Detail&gt;"/>
      <sheetName val="PL"/>
      <sheetName val="VolGraphs"/>
      <sheetName val="FYVolAnalysis"/>
      <sheetName val="P6FAnalysis"/>
      <sheetName val="P6FG&amp;A"/>
      <sheetName val="FYP6F"/>
      <sheetName val="$cs"/>
      <sheetName val="%NR"/>
      <sheetName val="NYSumm"/>
      <sheetName val="NYSummT29"/>
      <sheetName val="NYSummT29Q4"/>
      <sheetName val="NYSummJuly"/>
      <sheetName val="NYSummT29Q3"/>
      <sheetName val="NYFXAnalysis"/>
      <sheetName val="OFCFAnalysis"/>
      <sheetName val="AOP"/>
      <sheetName val="P&amp;L"/>
      <sheetName val="ICB1"/>
      <sheetName val="SH P&amp;L"/>
      <sheetName val="MPRs"/>
      <sheetName val=""/>
      <sheetName val="SH_P&amp;L"/>
      <sheetName val="Variance analysis BSD"/>
      <sheetName val="B3 OCF &amp; Balance Sheet KPIs"/>
      <sheetName val="Data"/>
      <sheetName val="SH_P&amp;L1"/>
      <sheetName val="Variance_analysis_BSD"/>
      <sheetName val="B3_OCF_&amp;_Balance_Sheet_KPIs"/>
      <sheetName val="SH_P&amp;L2"/>
      <sheetName val="Variance_analysis_BSD1"/>
      <sheetName val="B3_OCF_&amp;_Balance_Sheet_KPIs1"/>
      <sheetName val="SH_P&amp;L3"/>
      <sheetName val="Variance_analysis_BSD2"/>
      <sheetName val="B3_OCF_&amp;_Balance_Sheet_KPI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RATES"/>
      <sheetName val="Forex Reference"/>
      <sheetName val="Forex_Reference"/>
      <sheetName val="Ecmod"/>
      <sheetName val="PL"/>
      <sheetName val="Cover"/>
      <sheetName val="ELECTRIC, POWER, FUEL-1"/>
      <sheetName val="PI"/>
      <sheetName val="Lookup"/>
      <sheetName val="Input"/>
      <sheetName val="Forex_Reference1"/>
      <sheetName val="ELECTRIC,_POWER,_FUEL-1"/>
      <sheetName val="1_Parameters"/>
      <sheetName val="Variance analysis BSD"/>
      <sheetName val="LEGAL GUJ"/>
      <sheetName val="map"/>
      <sheetName val="Agrupaciones"/>
      <sheetName val="Centros"/>
      <sheetName val="Gerencias"/>
      <sheetName val="Employee data"/>
      <sheetName val="2001 Base"/>
      <sheetName val="Сводная"/>
      <sheetName val="Forex_Reference2"/>
      <sheetName val="ELECTRIC,_POWER,_FUEL-11"/>
      <sheetName val="Variance_analysis_BSD"/>
      <sheetName val="LEGAL_GUJ"/>
      <sheetName val="Hoja1"/>
      <sheetName val="Forex_Reference3"/>
      <sheetName val="ELECTRIC,_POWER,_FUEL-12"/>
      <sheetName val="Variance_analysis_BSD1"/>
      <sheetName val="LEGAL_GUJ1"/>
      <sheetName val="Employee_data"/>
      <sheetName val="2001_Base"/>
      <sheetName val="Forex_Reference4"/>
      <sheetName val="ELECTRIC,_POWER,_FUEL-13"/>
      <sheetName val="Variance_analysis_BSD2"/>
      <sheetName val="LEGAL_GUJ2"/>
      <sheetName val="Employee_data1"/>
      <sheetName val="2001_Base1"/>
      <sheetName val="Forex_Reference5"/>
      <sheetName val="ELECTRIC,_POWER,_FUEL-14"/>
      <sheetName val="Variance_analysis_BSD3"/>
      <sheetName val="LEGAL_GUJ3"/>
      <sheetName val="Employee_data2"/>
      <sheetName val="2001_Base2"/>
      <sheetName val="MDandM_summary_data"/>
      <sheetName val="Baked PIVOT"/>
      <sheetName val="PIVOT"/>
      <sheetName val="DOWNLOAD"/>
      <sheetName val="TRIAL_BAL"/>
    </sheetNames>
    <sheetDataSet>
      <sheetData sheetId="0" refreshError="1"/>
      <sheetData sheetId="1" refreshError="1">
        <row r="2">
          <cell r="A2">
            <v>6</v>
          </cell>
          <cell r="F2">
            <v>2</v>
          </cell>
        </row>
        <row r="5">
          <cell r="A5">
            <v>1</v>
          </cell>
        </row>
      </sheetData>
      <sheetData sheetId="2">
        <row r="2">
          <cell r="A2">
            <v>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2">
          <cell r="A2">
            <v>6</v>
          </cell>
        </row>
      </sheetData>
      <sheetData sheetId="23"/>
      <sheetData sheetId="24"/>
      <sheetData sheetId="25"/>
      <sheetData sheetId="26" refreshError="1"/>
      <sheetData sheetId="27">
        <row r="2">
          <cell r="A2">
            <v>6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2">
          <cell r="A2">
            <v>6</v>
          </cell>
        </row>
      </sheetData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Page"/>
      <sheetName val="Manager"/>
      <sheetName val="Sensitivities"/>
      <sheetName val="DCF"/>
      <sheetName val="ProdSummary"/>
      <sheetName val="ProductP&amp;L"/>
      <sheetName val="DetailedProdSummary"/>
      <sheetName val="Macro"/>
      <sheetName val="MarketModel"/>
      <sheetName val="ToplineGrowth"/>
      <sheetName val="GrowthRates"/>
      <sheetName val="Volume"/>
      <sheetName val="Pricing"/>
      <sheetName val="GrossRev"/>
      <sheetName val="D&amp;A"/>
      <sheetName val="NetRev"/>
      <sheetName val="COGS"/>
      <sheetName val="GrossProfit"/>
      <sheetName val="S&amp;D"/>
      <sheetName val="A&amp;M"/>
      <sheetName val="G&amp;A"/>
      <sheetName val="WC"/>
      <sheetName val="Depr"/>
      <sheetName val="Amort"/>
      <sheetName val="&lt;&lt;Deck&gt;&gt;"/>
      <sheetName val="Deck-Assumptions"/>
      <sheetName val="Deck-Yr0 vs. Budget"/>
      <sheetName val="Deck-P&amp;L"/>
      <sheetName val="Deck-OCF"/>
      <sheetName val="Deck-Volume"/>
      <sheetName val="Product Info"/>
      <sheetName val="Forex Reference"/>
      <sheetName val="Deck-Yr0_vs__Budget"/>
      <sheetName val="Product_Info"/>
      <sheetName val="Forex_Reference"/>
      <sheetName val="Deck-Yr0_vs__Budget1"/>
      <sheetName val="Product_Info1"/>
      <sheetName val="Forex_Reference1"/>
      <sheetName val="Deck-Yr0_vs__Budget2"/>
      <sheetName val="Product_Info2"/>
      <sheetName val="Forex_Reference2"/>
    </sheetNames>
    <sheetDataSet>
      <sheetData sheetId="0" refreshError="1"/>
      <sheetData sheetId="1" refreshError="1">
        <row r="1">
          <cell r="A1" t="str">
            <v>Project Dark Green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 Menu"/>
      <sheetName val="Navigation Menu"/>
      <sheetName val="Driver"/>
      <sheetName val="Index"/>
      <sheetName val="Exec Summary"/>
      <sheetName val="A1 Macro Trends"/>
      <sheetName val="A2 Salty Snacks Market"/>
      <sheetName val="A3 Macro Snacks Market"/>
      <sheetName val="A4 Quaker Market"/>
      <sheetName val="A5 Volume Build-up"/>
      <sheetName val="A6 Innovation Salty"/>
      <sheetName val="A7 Innovation Non Salty"/>
      <sheetName val="A8 Salty Rev Build &amp; SDV Trend"/>
      <sheetName val="A9 Non Salty Rev Build &amp; SDV"/>
      <sheetName val="B1 P&amp;L LC"/>
      <sheetName val="B2 P&amp;L USD"/>
      <sheetName val="B3 OCF &amp; Balance Sheet KPIs"/>
      <sheetName val="B4 1 Year Algorithm"/>
      <sheetName val="B5 3 Year Algorithm"/>
      <sheetName val="C1 Capex Projects"/>
      <sheetName val="C2 Headcount"/>
      <sheetName val="C3 A&amp;M"/>
      <sheetName val="C4 Operations Metrics"/>
      <sheetName val="D1 Integration Impact"/>
      <sheetName val="Hidden DataSheet"/>
      <sheetName val="ENTITY TABLE"/>
      <sheetName val="Forex Reference"/>
      <sheetName val="Print_Menu"/>
      <sheetName val="Navigation_Menu"/>
      <sheetName val="Exec_Summary"/>
      <sheetName val="A1_Macro_Trends"/>
      <sheetName val="A2_Salty_Snacks_Market"/>
      <sheetName val="A3_Macro_Snacks_Market"/>
      <sheetName val="A4_Quaker_Market"/>
      <sheetName val="A5_Volume_Build-up"/>
      <sheetName val="A6_Innovation_Salty"/>
      <sheetName val="A7_Innovation_Non_Salty"/>
      <sheetName val="A8_Salty_Rev_Build_&amp;_SDV_Trend"/>
      <sheetName val="A9_Non_Salty_Rev_Build_&amp;_SDV"/>
      <sheetName val="B1_P&amp;L_LC"/>
      <sheetName val="B2_P&amp;L_USD"/>
      <sheetName val="B3_OCF_&amp;_Balance_Sheet_KPIs"/>
      <sheetName val="B4_1_Year_Algorithm"/>
      <sheetName val="B5_3_Year_Algorithm"/>
      <sheetName val="C1_Capex_Projects"/>
      <sheetName val="C2_Headcount"/>
      <sheetName val="C3_A&amp;M"/>
      <sheetName val="C4_Operations_Metrics"/>
      <sheetName val="D1_Integration_Impact"/>
      <sheetName val="Hidden_DataSheet"/>
      <sheetName val="ENTITY_TABLE"/>
      <sheetName val="Forex_Reference"/>
      <sheetName val="Print_Menu1"/>
      <sheetName val="Navigation_Menu1"/>
      <sheetName val="Exec_Summary1"/>
      <sheetName val="A1_Macro_Trends1"/>
      <sheetName val="A2_Salty_Snacks_Market1"/>
      <sheetName val="A3_Macro_Snacks_Market1"/>
      <sheetName val="A4_Quaker_Market1"/>
      <sheetName val="A5_Volume_Build-up1"/>
      <sheetName val="A6_Innovation_Salty1"/>
      <sheetName val="A7_Innovation_Non_Salty1"/>
      <sheetName val="A8_Salty_Rev_Build_&amp;_SDV_Trend1"/>
      <sheetName val="A9_Non_Salty_Rev_Build_&amp;_SDV1"/>
      <sheetName val="B1_P&amp;L_LC1"/>
      <sheetName val="B2_P&amp;L_USD1"/>
      <sheetName val="B3_OCF_&amp;_Balance_Sheet_KPIs1"/>
      <sheetName val="B4_1_Year_Algorithm1"/>
      <sheetName val="B5_3_Year_Algorithm1"/>
      <sheetName val="C1_Capex_Projects1"/>
      <sheetName val="C2_Headcount1"/>
      <sheetName val="C3_A&amp;M1"/>
      <sheetName val="C4_Operations_Metrics1"/>
      <sheetName val="D1_Integration_Impact1"/>
      <sheetName val="Hidden_DataSheet1"/>
      <sheetName val="ENTITY_TABLE1"/>
      <sheetName val="Forex_Reference1"/>
      <sheetName val="Print_Menu2"/>
      <sheetName val="Navigation_Menu2"/>
      <sheetName val="Exec_Summary2"/>
      <sheetName val="A1_Macro_Trends2"/>
      <sheetName val="A2_Salty_Snacks_Market2"/>
      <sheetName val="A3_Macro_Snacks_Market2"/>
      <sheetName val="A4_Quaker_Market2"/>
      <sheetName val="A5_Volume_Build-up2"/>
      <sheetName val="A6_Innovation_Salty2"/>
      <sheetName val="A7_Innovation_Non_Salty2"/>
      <sheetName val="A8_Salty_Rev_Build_&amp;_SDV_Trend2"/>
      <sheetName val="A9_Non_Salty_Rev_Build_&amp;_SDV2"/>
      <sheetName val="B1_P&amp;L_LC2"/>
      <sheetName val="B2_P&amp;L_USD2"/>
      <sheetName val="B3_OCF_&amp;_Balance_Sheet_KPIs2"/>
      <sheetName val="B4_1_Year_Algorithm2"/>
      <sheetName val="B5_3_Year_Algorithm2"/>
      <sheetName val="C1_Capex_Projects2"/>
      <sheetName val="C2_Headcount2"/>
      <sheetName val="C3_A&amp;M2"/>
      <sheetName val="C4_Operations_Metrics2"/>
      <sheetName val="D1_Integration_Impact2"/>
      <sheetName val="Hidden_DataSheet2"/>
      <sheetName val="ENTITY_TABLE2"/>
      <sheetName val="Forex_Referenc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Walkers, UK -  Macro Trends</v>
          </cell>
        </row>
        <row r="7">
          <cell r="C7" t="str">
            <v>Units</v>
          </cell>
          <cell r="E7">
            <v>2002</v>
          </cell>
          <cell r="F7">
            <v>2003</v>
          </cell>
          <cell r="G7">
            <v>2004</v>
          </cell>
          <cell r="H7">
            <v>2005</v>
          </cell>
          <cell r="I7">
            <v>2006</v>
          </cell>
          <cell r="J7">
            <v>2004</v>
          </cell>
          <cell r="K7">
            <v>2005</v>
          </cell>
          <cell r="M7" t="str">
            <v>CAGR 03-06</v>
          </cell>
        </row>
        <row r="9">
          <cell r="A9" t="str">
            <v>MACROS</v>
          </cell>
        </row>
        <row r="10">
          <cell r="A10" t="str">
            <v xml:space="preserve">   Population</v>
          </cell>
          <cell r="C10" t="str">
            <v>Millions</v>
          </cell>
          <cell r="E10">
            <v>60</v>
          </cell>
          <cell r="F10">
            <v>60</v>
          </cell>
          <cell r="G10">
            <v>60</v>
          </cell>
          <cell r="H10">
            <v>60</v>
          </cell>
          <cell r="I10">
            <v>60</v>
          </cell>
          <cell r="M10">
            <v>0</v>
          </cell>
        </row>
        <row r="11">
          <cell r="A11" t="str">
            <v xml:space="preserve">  GDP Growth (LC)</v>
          </cell>
          <cell r="C11" t="str">
            <v>%</v>
          </cell>
        </row>
        <row r="12">
          <cell r="A12" t="str">
            <v xml:space="preserve">  GDP/Capita (US$)</v>
          </cell>
          <cell r="C12" t="str">
            <v>$'000/Head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M12" t="str">
            <v>nm</v>
          </cell>
        </row>
        <row r="15">
          <cell r="A15" t="str">
            <v xml:space="preserve">   Forex Rate (Average)</v>
          </cell>
          <cell r="C15" t="str">
            <v>$1.00 =</v>
          </cell>
          <cell r="E15">
            <v>0</v>
          </cell>
          <cell r="F15">
            <v>0</v>
          </cell>
          <cell r="G15">
            <v>0.6261740763932373</v>
          </cell>
          <cell r="H15">
            <v>0.62733730182903413</v>
          </cell>
          <cell r="I15">
            <v>0.62713302395662773</v>
          </cell>
          <cell r="M15" t="str">
            <v>nm</v>
          </cell>
        </row>
        <row r="16">
          <cell r="A16" t="str">
            <v xml:space="preserve">   Devaluation (Average)</v>
          </cell>
          <cell r="C16" t="str">
            <v>%</v>
          </cell>
          <cell r="F16" t="str">
            <v xml:space="preserve"> </v>
          </cell>
          <cell r="G16" t="str">
            <v xml:space="preserve"> </v>
          </cell>
          <cell r="H16">
            <v>1.8576710209674552E-3</v>
          </cell>
          <cell r="I16">
            <v>-3.256268546614205E-4</v>
          </cell>
          <cell r="J16">
            <v>-1</v>
          </cell>
          <cell r="K16" t="str">
            <v xml:space="preserve"> </v>
          </cell>
        </row>
        <row r="17">
          <cell r="A17" t="str">
            <v xml:space="preserve">   Forex Rate (Year-End)</v>
          </cell>
          <cell r="C17" t="str">
            <v>$1.00 =</v>
          </cell>
          <cell r="E17">
            <v>0</v>
          </cell>
          <cell r="F17">
            <v>0</v>
          </cell>
          <cell r="G17">
            <v>0.62774639045825487</v>
          </cell>
          <cell r="H17">
            <v>0.62692858907213311</v>
          </cell>
          <cell r="I17">
            <v>0.62733761679458078</v>
          </cell>
          <cell r="M17" t="str">
            <v>nm</v>
          </cell>
        </row>
        <row r="18">
          <cell r="A18" t="str">
            <v xml:space="preserve">   Inflation Rate (CPI)</v>
          </cell>
          <cell r="C18" t="str">
            <v>%</v>
          </cell>
          <cell r="E18">
            <v>2.3E-2</v>
          </cell>
          <cell r="F18">
            <v>2.3E-2</v>
          </cell>
          <cell r="G18">
            <v>2.3E-2</v>
          </cell>
          <cell r="H18">
            <v>2.3E-2</v>
          </cell>
          <cell r="I18">
            <v>2.3E-2</v>
          </cell>
          <cell r="M18">
            <v>0</v>
          </cell>
        </row>
        <row r="19">
          <cell r="A19" t="str">
            <v xml:space="preserve">   Inflation Index</v>
          </cell>
          <cell r="C19" t="str">
            <v xml:space="preserve"> (2002=100)</v>
          </cell>
          <cell r="E19">
            <v>100</v>
          </cell>
          <cell r="F19">
            <v>102.3</v>
          </cell>
          <cell r="G19">
            <v>104.65289999999999</v>
          </cell>
          <cell r="H19">
            <v>107.05991669999997</v>
          </cell>
          <cell r="I19">
            <v>109.52229478409997</v>
          </cell>
          <cell r="J19">
            <v>109.52229478409997</v>
          </cell>
          <cell r="K19">
            <v>109.52229478409997</v>
          </cell>
        </row>
        <row r="29">
          <cell r="F29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>
        <row r="3">
          <cell r="A3" t="str">
            <v>Walkers, UK -  Macro Trends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3">
          <cell r="A3" t="str">
            <v>Walkers, UK -  Macro Trends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Macro Market Trends"/>
      <sheetName val="BEV MMR"/>
      <sheetName val="Macro_Market_Trends"/>
      <sheetName val="BEV_MMR"/>
      <sheetName val="Macro_Market_Trends1"/>
      <sheetName val="BEV_MMR1"/>
      <sheetName val="Macro_Market_Trends2"/>
      <sheetName val="BEV_MMR2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 Menu"/>
      <sheetName val="Navigation Menu"/>
      <sheetName val="Driver"/>
      <sheetName val="Index"/>
      <sheetName val="Exec Summary"/>
      <sheetName val="A1 Macro Trends"/>
      <sheetName val="A2 Salty Snacks Market"/>
      <sheetName val="A3 Macro Snacks Market"/>
      <sheetName val="A4 Quaker Market"/>
      <sheetName val="A5 Volume Build-up"/>
      <sheetName val="A6 Innovation Salty"/>
      <sheetName val="A7 Innovation Non Salty"/>
      <sheetName val="A8 Salty Rev Build &amp; SDV Trend"/>
      <sheetName val="A9 Non Salty Rev Build &amp; SDV"/>
      <sheetName val="B1 P&amp;L LC"/>
      <sheetName val="B2 P&amp;L USD"/>
      <sheetName val="B3 OCF &amp; Balance Sheet KPIs"/>
      <sheetName val="B4 1 Year Algorithm"/>
      <sheetName val="B5 3 Year Algorithm"/>
      <sheetName val="C1 Capex Projects"/>
      <sheetName val="C2 Headcount"/>
      <sheetName val="C3 A&amp;M"/>
      <sheetName val="C4 Operations Metrics"/>
      <sheetName val="D1 Integration Impact"/>
      <sheetName val="Hidden DataSheet"/>
      <sheetName val="ENTITY TABLE"/>
      <sheetName val="SUM"/>
      <sheetName val="KPI Definition"/>
      <sheetName val="Print_Menu"/>
      <sheetName val="Navigation_Menu"/>
      <sheetName val="Exec_Summary"/>
      <sheetName val="A1_Macro_Trends"/>
      <sheetName val="A2_Salty_Snacks_Market"/>
      <sheetName val="A3_Macro_Snacks_Market"/>
      <sheetName val="A4_Quaker_Market"/>
      <sheetName val="A5_Volume_Build-up"/>
      <sheetName val="A6_Innovation_Salty"/>
      <sheetName val="A7_Innovation_Non_Salty"/>
      <sheetName val="A8_Salty_Rev_Build_&amp;_SDV_Trend"/>
      <sheetName val="A9_Non_Salty_Rev_Build_&amp;_SDV"/>
      <sheetName val="B1_P&amp;L_LC"/>
      <sheetName val="B2_P&amp;L_USD"/>
      <sheetName val="B3_OCF_&amp;_Balance_Sheet_KPIs"/>
      <sheetName val="B4_1_Year_Algorithm"/>
      <sheetName val="B5_3_Year_Algorithm"/>
      <sheetName val="C1_Capex_Projects"/>
      <sheetName val="C2_Headcount"/>
      <sheetName val="C3_A&amp;M"/>
      <sheetName val="C4_Operations_Metrics"/>
      <sheetName val="D1_Integration_Impact"/>
      <sheetName val="Hidden_DataSheet"/>
      <sheetName val="ENTITY_TABLE"/>
      <sheetName val="KPI_Definition"/>
      <sheetName val="Print_Menu1"/>
      <sheetName val="Navigation_Menu1"/>
      <sheetName val="Exec_Summary1"/>
      <sheetName val="A1_Macro_Trends1"/>
      <sheetName val="A2_Salty_Snacks_Market1"/>
      <sheetName val="A3_Macro_Snacks_Market1"/>
      <sheetName val="A4_Quaker_Market1"/>
      <sheetName val="A5_Volume_Build-up1"/>
      <sheetName val="A6_Innovation_Salty1"/>
      <sheetName val="A7_Innovation_Non_Salty1"/>
      <sheetName val="A8_Salty_Rev_Build_&amp;_SDV_Trend1"/>
      <sheetName val="A9_Non_Salty_Rev_Build_&amp;_SDV1"/>
      <sheetName val="B1_P&amp;L_LC1"/>
      <sheetName val="B2_P&amp;L_USD1"/>
      <sheetName val="B3_OCF_&amp;_Balance_Sheet_KPIs1"/>
      <sheetName val="B4_1_Year_Algorithm1"/>
      <sheetName val="B5_3_Year_Algorithm1"/>
      <sheetName val="C1_Capex_Projects1"/>
      <sheetName val="C2_Headcount1"/>
      <sheetName val="C3_A&amp;M1"/>
      <sheetName val="C4_Operations_Metrics1"/>
      <sheetName val="D1_Integration_Impact1"/>
      <sheetName val="Hidden_DataSheet1"/>
      <sheetName val="ENTITY_TABLE1"/>
      <sheetName val="KPI_Definition1"/>
      <sheetName val="Print_Menu2"/>
      <sheetName val="Navigation_Menu2"/>
      <sheetName val="Exec_Summary2"/>
      <sheetName val="A1_Macro_Trends2"/>
      <sheetName val="A2_Salty_Snacks_Market2"/>
      <sheetName val="A3_Macro_Snacks_Market2"/>
      <sheetName val="A4_Quaker_Market2"/>
      <sheetName val="A5_Volume_Build-up2"/>
      <sheetName val="A6_Innovation_Salty2"/>
      <sheetName val="A7_Innovation_Non_Salty2"/>
      <sheetName val="A8_Salty_Rev_Build_&amp;_SDV_Trend2"/>
      <sheetName val="A9_Non_Salty_Rev_Build_&amp;_SDV2"/>
      <sheetName val="B1_P&amp;L_LC2"/>
      <sheetName val="B2_P&amp;L_USD2"/>
      <sheetName val="B3_OCF_&amp;_Balance_Sheet_KPIs2"/>
      <sheetName val="B4_1_Year_Algorithm2"/>
      <sheetName val="B5_3_Year_Algorithm2"/>
      <sheetName val="C1_Capex_Projects2"/>
      <sheetName val="C2_Headcount2"/>
      <sheetName val="C3_A&amp;M2"/>
      <sheetName val="C4_Operations_Metrics2"/>
      <sheetName val="D1_Integration_Impact2"/>
      <sheetName val="Hidden_DataSheet2"/>
      <sheetName val="ENTITY_TABLE2"/>
      <sheetName val="KPI_Definitio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Walkers, UK -  Macro Trends</v>
          </cell>
        </row>
        <row r="7">
          <cell r="C7" t="str">
            <v>Units</v>
          </cell>
          <cell r="E7">
            <v>2002</v>
          </cell>
          <cell r="F7">
            <v>2003</v>
          </cell>
          <cell r="G7">
            <v>2004</v>
          </cell>
          <cell r="H7">
            <v>2005</v>
          </cell>
          <cell r="I7">
            <v>2006</v>
          </cell>
          <cell r="J7">
            <v>2004</v>
          </cell>
          <cell r="K7">
            <v>2005</v>
          </cell>
          <cell r="M7" t="str">
            <v>CAGR 03-06</v>
          </cell>
        </row>
        <row r="9">
          <cell r="A9" t="str">
            <v>MACROS</v>
          </cell>
        </row>
        <row r="10">
          <cell r="A10" t="str">
            <v xml:space="preserve">   Population</v>
          </cell>
          <cell r="C10" t="str">
            <v>Millions</v>
          </cell>
          <cell r="E10">
            <v>60</v>
          </cell>
          <cell r="F10">
            <v>60</v>
          </cell>
          <cell r="G10">
            <v>60</v>
          </cell>
          <cell r="H10">
            <v>60</v>
          </cell>
          <cell r="I10">
            <v>60</v>
          </cell>
          <cell r="M10">
            <v>0</v>
          </cell>
        </row>
        <row r="11">
          <cell r="A11" t="str">
            <v xml:space="preserve">  GDP Growth (LC)</v>
          </cell>
          <cell r="C11" t="str">
            <v>%</v>
          </cell>
        </row>
        <row r="12">
          <cell r="A12" t="str">
            <v xml:space="preserve">  GDP/Capita (US$)</v>
          </cell>
          <cell r="C12" t="str">
            <v>$'000/Head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M12" t="str">
            <v>nm</v>
          </cell>
        </row>
        <row r="15">
          <cell r="A15" t="str">
            <v xml:space="preserve">   Forex Rate (Average)</v>
          </cell>
          <cell r="C15" t="str">
            <v>$1.00 =</v>
          </cell>
          <cell r="E15">
            <v>0</v>
          </cell>
          <cell r="F15">
            <v>0</v>
          </cell>
          <cell r="G15">
            <v>0.6261740763932373</v>
          </cell>
          <cell r="H15">
            <v>0.62733730182903413</v>
          </cell>
          <cell r="I15">
            <v>0.62713302395662773</v>
          </cell>
          <cell r="M15" t="str">
            <v>nm</v>
          </cell>
        </row>
        <row r="16">
          <cell r="A16" t="str">
            <v xml:space="preserve">   Devaluation (Average)</v>
          </cell>
          <cell r="C16" t="str">
            <v>%</v>
          </cell>
          <cell r="F16" t="str">
            <v xml:space="preserve"> </v>
          </cell>
          <cell r="G16" t="str">
            <v xml:space="preserve"> </v>
          </cell>
          <cell r="H16">
            <v>1.8576710209674552E-3</v>
          </cell>
          <cell r="I16">
            <v>-3.256268546614205E-4</v>
          </cell>
          <cell r="J16">
            <v>-1</v>
          </cell>
          <cell r="K16" t="str">
            <v xml:space="preserve"> </v>
          </cell>
        </row>
        <row r="17">
          <cell r="A17" t="str">
            <v xml:space="preserve">   Forex Rate (Year-End)</v>
          </cell>
          <cell r="C17" t="str">
            <v>$1.00 =</v>
          </cell>
          <cell r="E17">
            <v>0</v>
          </cell>
          <cell r="F17">
            <v>0</v>
          </cell>
          <cell r="G17">
            <v>0.62774639045825487</v>
          </cell>
          <cell r="H17">
            <v>0.62692858907213311</v>
          </cell>
          <cell r="I17">
            <v>0.62733761679458078</v>
          </cell>
          <cell r="M17" t="str">
            <v>nm</v>
          </cell>
        </row>
        <row r="18">
          <cell r="A18" t="str">
            <v xml:space="preserve">   Inflation Rate (CPI)</v>
          </cell>
          <cell r="C18" t="str">
            <v>%</v>
          </cell>
          <cell r="E18">
            <v>2.3E-2</v>
          </cell>
          <cell r="F18">
            <v>2.3E-2</v>
          </cell>
          <cell r="G18">
            <v>2.3E-2</v>
          </cell>
          <cell r="H18">
            <v>2.3E-2</v>
          </cell>
          <cell r="I18">
            <v>2.3E-2</v>
          </cell>
          <cell r="M18">
            <v>0</v>
          </cell>
        </row>
        <row r="19">
          <cell r="A19" t="str">
            <v xml:space="preserve">   Inflation Index</v>
          </cell>
          <cell r="C19" t="str">
            <v xml:space="preserve"> (2002=100)</v>
          </cell>
          <cell r="E19">
            <v>100</v>
          </cell>
          <cell r="F19">
            <v>102.3</v>
          </cell>
          <cell r="G19">
            <v>104.65289999999999</v>
          </cell>
          <cell r="H19">
            <v>107.05991669999997</v>
          </cell>
          <cell r="I19">
            <v>109.52229478409997</v>
          </cell>
          <cell r="J19">
            <v>109.52229478409997</v>
          </cell>
          <cell r="K19">
            <v>109.52229478409997</v>
          </cell>
        </row>
        <row r="29">
          <cell r="F29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>
        <row r="3">
          <cell r="A3" t="str">
            <v>Walkers, UK -  Macro Trends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3">
          <cell r="A3" t="str">
            <v>Walkers, UK -  Macro Trends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RATES"/>
      <sheetName val="Forex Reference"/>
      <sheetName val="PL"/>
      <sheetName val="Top 10 08-09 - PBI"/>
      <sheetName val="North Summary"/>
      <sheetName val="Forex_Reference"/>
      <sheetName val="Input"/>
      <sheetName val="Macro Market Trends"/>
      <sheetName val="封皮"/>
      <sheetName val="04FxActual"/>
      <sheetName val="Forex_Reference1"/>
      <sheetName val="Top_10_08-09_-_PBI"/>
      <sheetName val="North_Summary"/>
      <sheetName val="Macro_Market_Trends"/>
      <sheetName val="Forex_Reference2"/>
      <sheetName val="Top_10_08-09_-_PBI1"/>
      <sheetName val="North_Summary1"/>
      <sheetName val="Macro_Market_Trends1"/>
      <sheetName val="Forex_Reference3"/>
      <sheetName val="Top_10_08-09_-_PBI2"/>
      <sheetName val="North_Summary2"/>
      <sheetName val="Macro_Market_Trend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 Target"/>
      <sheetName val="Puerto Rico"/>
      <sheetName val="P&amp;L MONTH $"/>
      <sheetName val="*****01"/>
      <sheetName val="Panamco Q1 Bench"/>
      <sheetName val="Charts P&amp;L"/>
      <sheetName val="Charts OFCF"/>
      <sheetName val="Cflow"/>
      <sheetName val="COC with Forex JV"/>
      <sheetName val="COC NO Forex JV "/>
      <sheetName val="Percase"/>
      <sheetName val="%"/>
      <sheetName val="5yrproj"/>
      <sheetName val="5yrproj percase"/>
      <sheetName val="5yrproj %"/>
      <sheetName val="CAPTURA"/>
      <sheetName val="P13"/>
      <sheetName val="Orig_Target"/>
      <sheetName val="Puerto_Rico"/>
      <sheetName val="P&amp;L_MONTH_$"/>
      <sheetName val="Panamco_Q1_Bench"/>
      <sheetName val="Charts_P&amp;L"/>
      <sheetName val="Charts_OFCF"/>
      <sheetName val="COC_with_Forex_JV"/>
      <sheetName val="COC_NO_Forex_JV_"/>
      <sheetName val="5yrproj_percase"/>
      <sheetName val="5yrproj_%"/>
      <sheetName val="Orig_Target1"/>
      <sheetName val="Puerto_Rico1"/>
      <sheetName val="P&amp;L_MONTH_$1"/>
      <sheetName val="Panamco_Q1_Bench1"/>
      <sheetName val="Charts_P&amp;L1"/>
      <sheetName val="Charts_OFCF1"/>
      <sheetName val="COC_with_Forex_JV1"/>
      <sheetName val="COC_NO_Forex_JV_1"/>
      <sheetName val="5yrproj_percase1"/>
      <sheetName val="5yrproj_%1"/>
      <sheetName val="Orig_Target2"/>
      <sheetName val="Puerto_Rico2"/>
      <sheetName val="P&amp;L_MONTH_$2"/>
      <sheetName val="Panamco_Q1_Bench2"/>
      <sheetName val="Charts_P&amp;L2"/>
      <sheetName val="Charts_OFCF2"/>
      <sheetName val="COC_with_Forex_JV2"/>
      <sheetName val="COC_NO_Forex_JV_2"/>
      <sheetName val="5yrproj_percase2"/>
      <sheetName val="5yrproj_%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50"/>
      <sheetName val="W502A"/>
      <sheetName val="W502B"/>
      <sheetName val="W604A"/>
      <sheetName val="W604B"/>
      <sheetName val="SCH 500(labor)"/>
      <sheetName val="SCH 500(Ovh)"/>
      <sheetName val="Opex 2000 Datos"/>
      <sheetName val="Sum. (2)"/>
      <sheetName val="FQ1.2000"/>
      <sheetName val="TRAVEL"/>
      <sheetName val="Sum."/>
      <sheetName val="CCters AOP"/>
      <sheetName val="CCters 1999"/>
      <sheetName val="Var.vs AOP"/>
      <sheetName val="Var.vs1999"/>
      <sheetName val="1999"/>
      <sheetName val="AOP"/>
      <sheetName val="Sheet1"/>
      <sheetName val="封皮"/>
      <sheetName val="Orig Target"/>
      <sheetName val="OJ9596.XLS"/>
      <sheetName val="STOR9596.XLS"/>
      <sheetName val="Forex Reference"/>
      <sheetName val="TASAL1"/>
      <sheetName val="SCH_500(labor)"/>
      <sheetName val="SCH_500(Ovh)"/>
      <sheetName val="Opex_2000_Datos"/>
      <sheetName val="Sum__(2)"/>
      <sheetName val="FQ1_2000"/>
      <sheetName val="Sum_"/>
      <sheetName val="CCters_AOP"/>
      <sheetName val="CCters_1999"/>
      <sheetName val="Var_vs_AOP"/>
      <sheetName val="Var_vs1999"/>
      <sheetName val="Orig_Target"/>
      <sheetName val="OJ9596_XLS"/>
      <sheetName val="STOR9596_XLS"/>
      <sheetName val="Forex_Reference"/>
      <sheetName val="Plan"/>
      <sheetName val="Macro Market Trends"/>
      <sheetName val="SUM"/>
      <sheetName val="P&amp;L"/>
      <sheetName val="Depreciation P&amp;L"/>
      <sheetName val="SCH_500(labor)1"/>
      <sheetName val="SCH_500(Ovh)1"/>
      <sheetName val="Opex_2000_Datos1"/>
      <sheetName val="Sum__(2)1"/>
      <sheetName val="FQ1_20001"/>
      <sheetName val="Sum_1"/>
      <sheetName val="CCters_AOP1"/>
      <sheetName val="CCters_19991"/>
      <sheetName val="Var_vs_AOP1"/>
      <sheetName val="Var_vs19991"/>
      <sheetName val="Orig_Target1"/>
      <sheetName val="OJ9596_XLS1"/>
      <sheetName val="STOR9596_XLS1"/>
      <sheetName val="Forex_Reference1"/>
      <sheetName val="Macro_Market_Trends"/>
      <sheetName val="Depreciation_P&amp;L"/>
      <sheetName val="SCH_500(labor)2"/>
      <sheetName val="SCH_500(Ovh)2"/>
      <sheetName val="Opex_2000_Datos2"/>
      <sheetName val="Sum__(2)2"/>
      <sheetName val="FQ1_20002"/>
      <sheetName val="Sum_2"/>
      <sheetName val="CCters_AOP2"/>
      <sheetName val="CCters_19992"/>
      <sheetName val="Var_vs_AOP2"/>
      <sheetName val="Var_vs19992"/>
      <sheetName val="Orig_Target2"/>
      <sheetName val="OJ9596_XLS2"/>
      <sheetName val="STOR9596_XLS2"/>
      <sheetName val="Forex_Reference2"/>
      <sheetName val="Macro_Market_Trends1"/>
      <sheetName val="Depreciation_P&amp;L1"/>
      <sheetName val="SCH_500(labor)3"/>
      <sheetName val="SCH_500(Ovh)3"/>
      <sheetName val="Opex_2000_Datos3"/>
      <sheetName val="Sum__(2)3"/>
      <sheetName val="FQ1_20003"/>
      <sheetName val="Sum_3"/>
      <sheetName val="CCters_AOP3"/>
      <sheetName val="CCters_19993"/>
      <sheetName val="Var_vs_AOP3"/>
      <sheetName val="Var_vs19993"/>
      <sheetName val="Orig_Target3"/>
      <sheetName val="OJ9596_XLS3"/>
      <sheetName val="STOR9596_XLS3"/>
      <sheetName val="Forex_Reference3"/>
      <sheetName val="Macro_Market_Trends2"/>
      <sheetName val="Depreciation_P&amp;L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  <sheetName val="R&amp;M_Land"/>
      <sheetName val="OS-Cln&amp;WWT_supply"/>
      <sheetName val="OS-Lab_supplies"/>
      <sheetName val="OS-Office_sup_"/>
      <sheetName val="Corrosion_inhibitor"/>
      <sheetName val="Printing_form"/>
      <sheetName val="Clean_&amp;Waste_Removal"/>
      <sheetName val="Lab_analysis"/>
      <sheetName val="Domestics_Travel"/>
      <sheetName val="Instruc_"/>
      <sheetName val="R&amp;M_EQ"/>
      <sheetName val="Air_comp"/>
      <sheetName val="Split_AC"/>
      <sheetName val="R&amp;M_Plant"/>
      <sheetName val="R&amp;M_Computer"/>
      <sheetName val="Macro Market Trends"/>
      <sheetName val="SCH50"/>
      <sheetName val="Brand Detail"/>
      <sheetName val="PI"/>
      <sheetName val="Orig Target"/>
      <sheetName val="Memo"/>
      <sheetName val="Inc.10.09.62"/>
      <sheetName val="Schecm"/>
      <sheetName val="Inc.กลุ่มโอวัลติน_Van A,B,C,S "/>
      <sheetName val="Mail"/>
      <sheetName val="VanSup"/>
      <sheetName val="เป้าหมายรวมสาขา 03.09.62"/>
      <sheetName val="เป้าหมายรายคัน VNA,B,C,S"/>
      <sheetName val="PLTotal"/>
      <sheetName val="map"/>
      <sheetName val="ByAcct"/>
      <sheetName val="ByMth"/>
      <sheetName val="SBFA"/>
      <sheetName val="A1 Macro Trends"/>
      <sheetName val="Driver"/>
      <sheetName val="R&amp;M_Land1"/>
      <sheetName val="OS-Cln&amp;WWT_supply1"/>
      <sheetName val="OS-Lab_supplies1"/>
      <sheetName val="OS-Office_sup_1"/>
      <sheetName val="Corrosion_inhibitor1"/>
      <sheetName val="Printing_form1"/>
      <sheetName val="Clean_&amp;Waste_Removal1"/>
      <sheetName val="Lab_analysis1"/>
      <sheetName val="Domestics_Travel1"/>
      <sheetName val="Instruc_1"/>
      <sheetName val="R&amp;M_EQ1"/>
      <sheetName val="Air_comp1"/>
      <sheetName val="Split_AC1"/>
      <sheetName val="R&amp;M_Plant1"/>
      <sheetName val="R&amp;M_Computer1"/>
      <sheetName val="Macro_Market_Trends"/>
      <sheetName val="Brand_Detail"/>
      <sheetName val="A1_Macro_Trends"/>
      <sheetName val="R&amp;M_Land2"/>
      <sheetName val="OS-Cln&amp;WWT_supply2"/>
      <sheetName val="OS-Lab_supplies2"/>
      <sheetName val="OS-Office_sup_2"/>
      <sheetName val="Corrosion_inhibitor2"/>
      <sheetName val="Printing_form2"/>
      <sheetName val="Clean_&amp;Waste_Removal2"/>
      <sheetName val="Lab_analysis2"/>
      <sheetName val="Domestics_Travel2"/>
      <sheetName val="Instruc_2"/>
      <sheetName val="R&amp;M_EQ2"/>
      <sheetName val="Air_comp2"/>
      <sheetName val="Split_AC2"/>
      <sheetName val="R&amp;M_Plant2"/>
      <sheetName val="R&amp;M_Computer2"/>
      <sheetName val="Macro_Market_Trends1"/>
      <sheetName val="Brand_Detail1"/>
      <sheetName val="A1_Macro_Trends1"/>
      <sheetName val="R&amp;M_Land3"/>
      <sheetName val="OS-Cln&amp;WWT_supply3"/>
      <sheetName val="OS-Lab_supplies3"/>
      <sheetName val="OS-Office_sup_3"/>
      <sheetName val="Corrosion_inhibitor3"/>
      <sheetName val="Printing_form3"/>
      <sheetName val="Clean_&amp;Waste_Removal3"/>
      <sheetName val="Lab_analysis3"/>
      <sheetName val="Domestics_Travel3"/>
      <sheetName val="Instruc_3"/>
      <sheetName val="R&amp;M_EQ3"/>
      <sheetName val="Air_comp3"/>
      <sheetName val="Split_AC3"/>
      <sheetName val="R&amp;M_Plant3"/>
      <sheetName val="R&amp;M_Computer3"/>
      <sheetName val="Macro_Market_Trends2"/>
      <sheetName val="Brand_Detail2"/>
      <sheetName val="A1_Macro_Trends2"/>
      <sheetName val="Inc_10_09_62"/>
      <sheetName val="Inc_กลุ่มโอวัลติน_Van_A,B,C,S_"/>
      <sheetName val="เป้าหมายรวมสาขา_03_09_62"/>
      <sheetName val="เป้าหมายรายคัน_VNA,B,C,S"/>
      <sheetName val="Orig_Target"/>
      <sheetName val="R&amp;M_Land4"/>
      <sheetName val="OS-Cln&amp;WWT_supply4"/>
      <sheetName val="OS-Lab_supplies4"/>
      <sheetName val="OS-Office_sup_4"/>
      <sheetName val="Corrosion_inhibitor4"/>
      <sheetName val="Printing_form4"/>
      <sheetName val="Clean_&amp;Waste_Removal4"/>
      <sheetName val="Lab_analysis4"/>
      <sheetName val="Domestics_Travel4"/>
      <sheetName val="Instruc_4"/>
      <sheetName val="R&amp;M_EQ4"/>
      <sheetName val="Air_comp4"/>
      <sheetName val="Split_AC4"/>
      <sheetName val="R&amp;M_Plant4"/>
      <sheetName val="R&amp;M_Computer4"/>
      <sheetName val="Macro_Market_Trends3"/>
      <sheetName val="Brand_Detail3"/>
      <sheetName val="Orig_Target1"/>
      <sheetName val="Inc_10_09_621"/>
      <sheetName val="Inc_กลุ่มโอวัลติน_Van_A,B,C,S_1"/>
      <sheetName val="เป้าหมายรวมสาขา_03_09_621"/>
      <sheetName val="เป้าหมายรายคัน_VNA,B,C,S1"/>
      <sheetName val="A1_Macro_Trends3"/>
      <sheetName val="Bourbon "/>
      <sheetName val="R&amp;M_Land5"/>
      <sheetName val="OS-Cln&amp;WWT_supply5"/>
      <sheetName val="OS-Lab_supplies5"/>
      <sheetName val="OS-Office_sup_5"/>
      <sheetName val="Corrosion_inhibitor5"/>
      <sheetName val="Printing_form5"/>
      <sheetName val="Clean_&amp;Waste_Removal5"/>
      <sheetName val="Lab_analysis5"/>
      <sheetName val="Domestics_Travel5"/>
      <sheetName val="Instruc_5"/>
      <sheetName val="R&amp;M_EQ5"/>
      <sheetName val="Air_comp5"/>
      <sheetName val="Split_AC5"/>
      <sheetName val="R&amp;M_Plant5"/>
      <sheetName val="R&amp;M_Computer5"/>
      <sheetName val="Macro_Market_Trends4"/>
      <sheetName val="Brand_Detail4"/>
      <sheetName val="Orig_Target2"/>
      <sheetName val="Inc_10_09_622"/>
      <sheetName val="Inc_กลุ่มโอวัลติน_Van_A,B,C,S_2"/>
      <sheetName val="เป้าหมายรวมสาขา_03_09_622"/>
      <sheetName val="เป้าหมายรายคัน_VNA,B,C,S2"/>
      <sheetName val="A1_Macro_Trends4"/>
      <sheetName val="Bourbon_"/>
      <sheetName val="R&amp;M_Land6"/>
      <sheetName val="OS-Cln&amp;WWT_supply6"/>
      <sheetName val="OS-Lab_supplies6"/>
      <sheetName val="OS-Office_sup_6"/>
      <sheetName val="Corrosion_inhibitor6"/>
      <sheetName val="Printing_form6"/>
      <sheetName val="Clean_&amp;Waste_Removal6"/>
      <sheetName val="Lab_analysis6"/>
      <sheetName val="Domestics_Travel6"/>
      <sheetName val="Instruc_6"/>
      <sheetName val="R&amp;M_EQ6"/>
      <sheetName val="Air_comp6"/>
      <sheetName val="Split_AC6"/>
      <sheetName val="R&amp;M_Plant6"/>
      <sheetName val="R&amp;M_Computer6"/>
      <sheetName val="Macro_Market_Trends5"/>
      <sheetName val="Brand_Detail5"/>
      <sheetName val="A1_Macro_Trends5"/>
      <sheetName val="Inc_10_09_623"/>
      <sheetName val="Inc_กลุ่มโอวัลติน_Van_A,B,C,S_3"/>
      <sheetName val="เป้าหมายรวมสาขา_03_09_623"/>
      <sheetName val="เป้าหมายรายคัน_VNA,B,C,S3"/>
      <sheetName val="Orig_Targ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20">
          <cell r="C20" t="str">
            <v>BKK2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  <sheetName val="2020 Eatery Tools"/>
      <sheetName val="TT ET Dashboard"/>
      <sheetName val="Eatery Target from Sales Conf"/>
      <sheetName val="2020 Target by Region"/>
      <sheetName val="Sales OBjective 2020"/>
      <sheetName val="2020 Target by Distributor "/>
      <sheetName val="2020 ET Vol"/>
      <sheetName val="2020  serviced outlets"/>
      <sheetName val="Exclusive summary "/>
      <sheetName val="2020 ET-SKU outlet"/>
      <sheetName val="2020 Share&amp; Dist"/>
      <sheetName val="2020 EPR"/>
      <sheetName val="2020 PMX "/>
      <sheetName val="2018-2019 ET vol (STD)"/>
      <sheetName val="PMX 2020- Non-buy "/>
      <sheetName val="Target new outelts by Force"/>
      <sheetName val="Outlet by ADCs"/>
      <sheetName val="Outlet by ADRs"/>
      <sheetName val="Outlet by CRs"/>
      <sheetName val="2019 Share &amp; Dist"/>
      <sheetName val="COLA Pack Size"/>
      <sheetName val="Flav+LL Pack Size"/>
      <sheetName val="Provision and TT Share"/>
      <sheetName val="2020 Event"/>
      <sheetName val="2020 Rout Model"/>
      <sheetName val="2020Route Model"/>
      <sheetName val="Rote Model Tracking"/>
      <sheetName val="2020 Market Visit"/>
      <sheetName val="# of New ET by Force "/>
      <sheetName val=" 2020 Master Not update"/>
      <sheetName val="SCH50"/>
      <sheetName val="Bourbon "/>
      <sheetName val="R&amp;M_Land"/>
      <sheetName val="OS-Cln&amp;WWT_supply"/>
      <sheetName val="OS-Lab_supplies"/>
      <sheetName val="OS-Office_sup_"/>
      <sheetName val="Corrosion_inhibitor"/>
      <sheetName val="Printing_form"/>
      <sheetName val="Clean_&amp;Waste_Removal"/>
      <sheetName val="Lab_analysis"/>
      <sheetName val="Domestics_Travel"/>
      <sheetName val="Instruc_"/>
      <sheetName val="R&amp;M_EQ"/>
      <sheetName val="Air_comp"/>
      <sheetName val="Split_AC"/>
      <sheetName val="R&amp;M_Plant"/>
      <sheetName val="R&amp;M_Computer"/>
      <sheetName val="2020_Eatery_Tools"/>
      <sheetName val="TT_ET_Dashboard"/>
      <sheetName val="Eatery_Target_from_Sales_Conf"/>
      <sheetName val="2020_Target_by_Region"/>
      <sheetName val="Sales_OBjective_2020"/>
      <sheetName val="2020_Target_by_Distributor_"/>
      <sheetName val="2020_ET_Vol"/>
      <sheetName val="2020__serviced_outlets"/>
      <sheetName val="Exclusive_summary_"/>
      <sheetName val="2020_ET-SKU_outlet"/>
      <sheetName val="2020_Share&amp;_Dist"/>
      <sheetName val="2020_EPR"/>
      <sheetName val="2020_PMX_"/>
      <sheetName val="2018-2019_ET_vol_(STD)"/>
      <sheetName val="PMX_2020-_Non-buy_"/>
      <sheetName val="Target_new_outelts_by_Force"/>
      <sheetName val="Outlet_by_ADCs"/>
      <sheetName val="Outlet_by_ADRs"/>
      <sheetName val="Outlet_by_CRs"/>
      <sheetName val="2019_Share_&amp;_Dist"/>
      <sheetName val="COLA_Pack_Size"/>
      <sheetName val="Flav+LL_Pack_Size"/>
      <sheetName val="Provision_and_TT_Share"/>
      <sheetName val="2020_Event"/>
      <sheetName val="2020_Rout_Model"/>
      <sheetName val="2020Route_Model"/>
      <sheetName val="Rote_Model_Tracking"/>
      <sheetName val="2020_Market_Visit"/>
      <sheetName val="#_of_New_ET_by_Force_"/>
      <sheetName val="_2020_Master_Not_update"/>
      <sheetName val="Bourbon_"/>
      <sheetName val="R&amp;M_Land1"/>
      <sheetName val="OS-Cln&amp;WWT_supply1"/>
      <sheetName val="OS-Lab_supplies1"/>
      <sheetName val="OS-Office_sup_1"/>
      <sheetName val="Corrosion_inhibitor1"/>
      <sheetName val="Printing_form1"/>
      <sheetName val="Clean_&amp;Waste_Removal1"/>
      <sheetName val="Lab_analysis1"/>
      <sheetName val="Domestics_Travel1"/>
      <sheetName val="Instruc_1"/>
      <sheetName val="R&amp;M_EQ1"/>
      <sheetName val="Air_comp1"/>
      <sheetName val="Split_AC1"/>
      <sheetName val="R&amp;M_Plant1"/>
      <sheetName val="R&amp;M_Computer1"/>
      <sheetName val="2020_Eatery_Tools1"/>
      <sheetName val="TT_ET_Dashboard1"/>
      <sheetName val="Eatery_Target_from_Sales_Conf1"/>
      <sheetName val="2020_Target_by_Region1"/>
      <sheetName val="Sales_OBjective_20201"/>
      <sheetName val="2020_Target_by_Distributor_1"/>
      <sheetName val="2020_ET_Vol1"/>
      <sheetName val="2020__serviced_outlets1"/>
      <sheetName val="Exclusive_summary_1"/>
      <sheetName val="2020_ET-SKU_outlet1"/>
      <sheetName val="2020_Share&amp;_Dist1"/>
      <sheetName val="2020_EPR1"/>
      <sheetName val="2020_PMX_1"/>
      <sheetName val="2018-2019_ET_vol_(STD)1"/>
      <sheetName val="PMX_2020-_Non-buy_1"/>
      <sheetName val="Target_new_outelts_by_Force1"/>
      <sheetName val="Outlet_by_ADCs1"/>
      <sheetName val="Outlet_by_ADRs1"/>
      <sheetName val="Outlet_by_CRs1"/>
      <sheetName val="2019_Share_&amp;_Dist1"/>
      <sheetName val="COLA_Pack_Size1"/>
      <sheetName val="Flav+LL_Pack_Size1"/>
      <sheetName val="Provision_and_TT_Share1"/>
      <sheetName val="2020_Event1"/>
      <sheetName val="2020_Rout_Model1"/>
      <sheetName val="2020Route_Model1"/>
      <sheetName val="Rote_Model_Tracking1"/>
      <sheetName val="2020_Market_Visit1"/>
      <sheetName val="#_of_New_ET_by_Force_1"/>
      <sheetName val="_2020_Master_Not_update1"/>
      <sheetName val="Bourbon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20">
          <cell r="H20">
            <v>0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>
        <row r="20">
          <cell r="H20">
            <v>0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>
        <row r="20">
          <cell r="H20">
            <v>0</v>
          </cell>
        </row>
      </sheetData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 Menu"/>
      <sheetName val="Navigation Menu"/>
      <sheetName val="Driver"/>
      <sheetName val="Index"/>
      <sheetName val="Exec Summary"/>
      <sheetName val="A1 Macro Trends"/>
      <sheetName val="A2 Salty Snacks Market"/>
      <sheetName val="A3 Macro Snacks Market"/>
      <sheetName val="A4 Quaker Market"/>
      <sheetName val="A5 Volume Build-up"/>
      <sheetName val="A6 Innovation Salty"/>
      <sheetName val="A7 Innovation Non Salty"/>
      <sheetName val="A8 Salty Rev Build &amp; SDV Trend"/>
      <sheetName val="A9 Non Salty Rev Build &amp; SDV"/>
      <sheetName val="B1 P&amp;L LC"/>
      <sheetName val="B2 P&amp;L USD"/>
      <sheetName val="B3 OCF &amp; Balance Sheet KPIs"/>
      <sheetName val="B4 1 Year Algorithm"/>
      <sheetName val="B5 3 Year Algorithm"/>
      <sheetName val="C1 Capex Projects"/>
      <sheetName val="C2 Headcount"/>
      <sheetName val="C3 A&amp;M"/>
      <sheetName val="C4 Operations Metrics"/>
      <sheetName val="03-05 Algorithm"/>
      <sheetName val="D1 Integration Impact"/>
      <sheetName val="Hidden DataSheet"/>
      <sheetName val="D1 Integration Impact (2)"/>
      <sheetName val="ENTITY TABLE"/>
      <sheetName val="普查库示例"/>
      <sheetName val="Puerto Rico"/>
      <sheetName val="Capex by Category"/>
      <sheetName val="Synergies"/>
      <sheetName val="#REF"/>
      <sheetName val="Control"/>
      <sheetName val="BS (RAS)"/>
      <sheetName val="Resources ADP"/>
      <sheetName val="Scenario"/>
      <sheetName val="Tanzania"/>
      <sheetName val="Daten"/>
      <sheetName val="IS BS actual"/>
      <sheetName val="SCH50"/>
      <sheetName val="Print_Menu"/>
      <sheetName val="Navigation_Menu"/>
      <sheetName val="Exec_Summary"/>
      <sheetName val="A1_Macro_Trends"/>
      <sheetName val="A2_Salty_Snacks_Market"/>
      <sheetName val="A3_Macro_Snacks_Market"/>
      <sheetName val="A4_Quaker_Market"/>
      <sheetName val="A5_Volume_Build-up"/>
      <sheetName val="A6_Innovation_Salty"/>
      <sheetName val="A7_Innovation_Non_Salty"/>
      <sheetName val="A8_Salty_Rev_Build_&amp;_SDV_Trend"/>
      <sheetName val="A9_Non_Salty_Rev_Build_&amp;_SDV"/>
      <sheetName val="B1_P&amp;L_LC"/>
      <sheetName val="B2_P&amp;L_USD"/>
      <sheetName val="B3_OCF_&amp;_Balance_Sheet_KPIs"/>
      <sheetName val="B4_1_Year_Algorithm"/>
      <sheetName val="B5_3_Year_Algorithm"/>
      <sheetName val="C1_Capex_Projects"/>
      <sheetName val="C2_Headcount"/>
      <sheetName val="C3_A&amp;M"/>
      <sheetName val="C4_Operations_Metrics"/>
      <sheetName val="03-05_Algorithm"/>
      <sheetName val="D1_Integration_Impact"/>
      <sheetName val="Hidden_DataSheet"/>
      <sheetName val="D1_Integration_Impact_(2)"/>
      <sheetName val="ENTITY_TABLE"/>
      <sheetName val="Puerto_Rico"/>
      <sheetName val="Capex_by_Category"/>
      <sheetName val="BS_(RAS)"/>
      <sheetName val="Resources_ADP"/>
      <sheetName val="IS_BS_actual"/>
      <sheetName val="Forex Reference"/>
      <sheetName val="Ops 1 - Capital by Category"/>
      <sheetName val="PLTotal"/>
      <sheetName val="map"/>
      <sheetName val="Ecmod"/>
      <sheetName val="Push Diag on Premise"/>
      <sheetName val=""/>
      <sheetName val="Hyperion"/>
      <sheetName val="Rates!"/>
      <sheetName val="Print_Menu1"/>
      <sheetName val="Navigation_Menu1"/>
      <sheetName val="Exec_Summary1"/>
      <sheetName val="A1_Macro_Trends1"/>
      <sheetName val="A2_Salty_Snacks_Market1"/>
      <sheetName val="A3_Macro_Snacks_Market1"/>
      <sheetName val="A4_Quaker_Market1"/>
      <sheetName val="A5_Volume_Build-up1"/>
      <sheetName val="A6_Innovation_Salty1"/>
      <sheetName val="A7_Innovation_Non_Salty1"/>
      <sheetName val="A8_Salty_Rev_Build_&amp;_SDV_Trend1"/>
      <sheetName val="A9_Non_Salty_Rev_Build_&amp;_SDV1"/>
      <sheetName val="B1_P&amp;L_LC1"/>
      <sheetName val="B2_P&amp;L_USD1"/>
      <sheetName val="B3_OCF_&amp;_Balance_Sheet_KPIs1"/>
      <sheetName val="B4_1_Year_Algorithm1"/>
      <sheetName val="B5_3_Year_Algorithm1"/>
      <sheetName val="C1_Capex_Projects1"/>
      <sheetName val="C2_Headcount1"/>
      <sheetName val="C3_A&amp;M1"/>
      <sheetName val="C4_Operations_Metrics1"/>
      <sheetName val="03-05_Algorithm1"/>
      <sheetName val="D1_Integration_Impact1"/>
      <sheetName val="Hidden_DataSheet1"/>
      <sheetName val="D1_Integration_Impact_(2)1"/>
      <sheetName val="ENTITY_TABLE1"/>
      <sheetName val="Puerto_Rico1"/>
      <sheetName val="Capex_by_Category1"/>
      <sheetName val="BS_(RAS)1"/>
      <sheetName val="Resources_ADP1"/>
      <sheetName val="IS_BS_actual1"/>
      <sheetName val="Forex_Reference"/>
      <sheetName val="Ops_1_-_Capital_by_Category"/>
      <sheetName val="Push_Diag_on_Premise"/>
      <sheetName val="Print_Menu2"/>
      <sheetName val="Navigation_Menu2"/>
      <sheetName val="Exec_Summary2"/>
      <sheetName val="A1_Macro_Trends2"/>
      <sheetName val="A2_Salty_Snacks_Market2"/>
      <sheetName val="A3_Macro_Snacks_Market2"/>
      <sheetName val="A4_Quaker_Market2"/>
      <sheetName val="A5_Volume_Build-up2"/>
      <sheetName val="A6_Innovation_Salty2"/>
      <sheetName val="A7_Innovation_Non_Salty2"/>
      <sheetName val="A8_Salty_Rev_Build_&amp;_SDV_Trend2"/>
      <sheetName val="A9_Non_Salty_Rev_Build_&amp;_SDV2"/>
      <sheetName val="B1_P&amp;L_LC2"/>
      <sheetName val="B2_P&amp;L_USD2"/>
      <sheetName val="B3_OCF_&amp;_Balance_Sheet_KPIs2"/>
      <sheetName val="B4_1_Year_Algorithm2"/>
      <sheetName val="B5_3_Year_Algorithm2"/>
      <sheetName val="C1_Capex_Projects2"/>
      <sheetName val="C2_Headcount2"/>
      <sheetName val="C3_A&amp;M2"/>
      <sheetName val="C4_Operations_Metrics2"/>
      <sheetName val="03-05_Algorithm2"/>
      <sheetName val="D1_Integration_Impact2"/>
      <sheetName val="Hidden_DataSheet2"/>
      <sheetName val="D1_Integration_Impact_(2)2"/>
      <sheetName val="ENTITY_TABLE2"/>
      <sheetName val="Puerto_Rico2"/>
      <sheetName val="Capex_by_Category2"/>
      <sheetName val="BS_(RAS)2"/>
      <sheetName val="Resources_ADP2"/>
      <sheetName val="IS_BS_actual2"/>
      <sheetName val="Forex_Reference1"/>
      <sheetName val="Ops_1_-_Capital_by_Category1"/>
      <sheetName val="Push_Diag_on_Premise1"/>
      <sheetName val="Print_Menu3"/>
      <sheetName val="Navigation_Menu3"/>
      <sheetName val="Exec_Summary3"/>
      <sheetName val="A1_Macro_Trends3"/>
      <sheetName val="A2_Salty_Snacks_Market3"/>
      <sheetName val="A3_Macro_Snacks_Market3"/>
      <sheetName val="A4_Quaker_Market3"/>
      <sheetName val="A5_Volume_Build-up3"/>
      <sheetName val="A6_Innovation_Salty3"/>
      <sheetName val="A7_Innovation_Non_Salty3"/>
      <sheetName val="A8_Salty_Rev_Build_&amp;_SDV_Trend3"/>
      <sheetName val="A9_Non_Salty_Rev_Build_&amp;_SDV3"/>
      <sheetName val="B1_P&amp;L_LC3"/>
      <sheetName val="B2_P&amp;L_USD3"/>
      <sheetName val="B3_OCF_&amp;_Balance_Sheet_KPIs3"/>
      <sheetName val="B4_1_Year_Algorithm3"/>
      <sheetName val="B5_3_Year_Algorithm3"/>
      <sheetName val="C1_Capex_Projects3"/>
      <sheetName val="C2_Headcount3"/>
      <sheetName val="C3_A&amp;M3"/>
      <sheetName val="C4_Operations_Metrics3"/>
      <sheetName val="03-05_Algorithm3"/>
      <sheetName val="D1_Integration_Impact3"/>
      <sheetName val="Hidden_DataSheet3"/>
      <sheetName val="D1_Integration_Impact_(2)3"/>
      <sheetName val="ENTITY_TABLE3"/>
      <sheetName val="Puerto_Rico3"/>
      <sheetName val="Capex_by_Category3"/>
      <sheetName val="BS_(RAS)3"/>
      <sheetName val="Resources_ADP3"/>
      <sheetName val="IS_BS_actual3"/>
      <sheetName val="Forex_Reference2"/>
      <sheetName val="Ops_1_-_Capital_by_Category2"/>
      <sheetName val="Push_Diag_on_Premis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F Change"/>
      <sheetName val="FY COC OFCF"/>
      <sheetName val="FY"/>
      <sheetName val="BOY"/>
      <sheetName val="YTD"/>
      <sheetName val="Sheet1"/>
      <sheetName val="Sheet2"/>
      <sheetName val="Sheet3"/>
      <sheetName val="Cover"/>
      <sheetName val="Overseas"/>
      <sheetName val="OCF_Change"/>
      <sheetName val="FY_COC_OFCF"/>
      <sheetName val="OCF_Change1"/>
      <sheetName val="FY_COC_OFCF1"/>
      <sheetName val="OCF_Change2"/>
      <sheetName val="FY_COC_OFCF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KU"/>
      <sheetName val="RM"/>
      <sheetName val="PM"/>
      <sheetName val="PC_LB"/>
      <sheetName val="PG_LB"/>
      <sheetName val="LAY-Small"/>
      <sheetName val="LAY-Medium"/>
      <sheetName val="LAY(old)"/>
      <sheetName val="LAY-Classic"/>
      <sheetName val="LAY-Rock"/>
      <sheetName val="LAY-Smile"/>
      <sheetName val="LAY-MIB"/>
      <sheetName val="LAY-C-Proj"/>
      <sheetName val="LAY-R-Proj"/>
      <sheetName val="FCP"/>
      <sheetName val="BCP"/>
      <sheetName val="Twisties"/>
      <sheetName val="3D's_Corn"/>
      <sheetName val="3D's_Perf"/>
      <sheetName val="Tawan"/>
      <sheetName val="Big Ben"/>
      <sheetName val="Big Ben (2)"/>
      <sheetName val="pellet_corn"/>
      <sheetName val="pellet_perf"/>
      <sheetName val="pellet_2D"/>
      <sheetName val="pellet_BigBen"/>
      <sheetName val="pellet_Cartoon"/>
      <sheetName val="Fuji"/>
      <sheetName val="Fuji (2)"/>
      <sheetName val="Soccer"/>
      <sheetName val="Soccer Shape"/>
      <sheetName val="Cartoon_3D"/>
      <sheetName val="Cartoon_3D Perf"/>
      <sheetName val="Overseas"/>
      <sheetName val="BKK"/>
      <sheetName val="Big_Ben"/>
      <sheetName val="Big_Ben_(2)"/>
      <sheetName val="Fuji_(2)"/>
      <sheetName val="Soccer_Shape"/>
      <sheetName val="Cartoon_3D_Perf"/>
      <sheetName val="Big_Ben1"/>
      <sheetName val="Big_Ben_(2)1"/>
      <sheetName val="Fuji_(2)1"/>
      <sheetName val="Soccer_Shape1"/>
      <sheetName val="Cartoon_3D_Perf1"/>
      <sheetName val="Big_Ben2"/>
      <sheetName val="Big_Ben_(2)2"/>
      <sheetName val="Fuji_(2)2"/>
      <sheetName val="Soccer_Shape2"/>
      <sheetName val="Cartoon_3D_Perf2"/>
      <sheetName val="FG waste"/>
      <sheetName val="Big_Ben3"/>
      <sheetName val="Big_Ben_(2)3"/>
      <sheetName val="Fuji_(2)3"/>
      <sheetName val="Soccer_Shape3"/>
      <sheetName val="Cartoon_3D_Perf3"/>
      <sheetName val="Big_Ben4"/>
      <sheetName val="Big_Ben_(2)4"/>
      <sheetName val="Fuji_(2)4"/>
      <sheetName val="Soccer_Shape4"/>
      <sheetName val="Cartoon_3D_Perf4"/>
      <sheetName val="14年3月末"/>
      <sheetName val="HEADER"/>
      <sheetName val="Big_Ben20"/>
      <sheetName val="Big_Ben_(2)20"/>
      <sheetName val="Fuji_(2)20"/>
      <sheetName val="Soccer_Shape20"/>
      <sheetName val="Cartoon_3D_Perf20"/>
      <sheetName val="FG_waste15"/>
      <sheetName val="Big_Ben16"/>
      <sheetName val="Big_Ben_(2)16"/>
      <sheetName val="Fuji_(2)16"/>
      <sheetName val="Soccer_Shape16"/>
      <sheetName val="Cartoon_3D_Perf16"/>
      <sheetName val="FG_waste11"/>
      <sheetName val="Big_Ben13"/>
      <sheetName val="Big_Ben_(2)13"/>
      <sheetName val="Fuji_(2)13"/>
      <sheetName val="Soccer_Shape13"/>
      <sheetName val="Cartoon_3D_Perf13"/>
      <sheetName val="FG_waste8"/>
      <sheetName val="Big_Ben10"/>
      <sheetName val="Big_Ben_(2)10"/>
      <sheetName val="Fuji_(2)10"/>
      <sheetName val="Soccer_Shape10"/>
      <sheetName val="Cartoon_3D_Perf10"/>
      <sheetName val="FG_waste5"/>
      <sheetName val="Big_Ben5"/>
      <sheetName val="Big_Ben_(2)5"/>
      <sheetName val="Fuji_(2)5"/>
      <sheetName val="Soccer_Shape5"/>
      <sheetName val="Cartoon_3D_Perf5"/>
      <sheetName val="FG_waste"/>
      <sheetName val="Big_Ben9"/>
      <sheetName val="Big_Ben_(2)9"/>
      <sheetName val="Fuji_(2)9"/>
      <sheetName val="Soccer_Shape9"/>
      <sheetName val="Cartoon_3D_Perf9"/>
      <sheetName val="FG_waste4"/>
      <sheetName val="Big_Ben7"/>
      <sheetName val="Big_Ben_(2)7"/>
      <sheetName val="Fuji_(2)7"/>
      <sheetName val="Soccer_Shape7"/>
      <sheetName val="Cartoon_3D_Perf7"/>
      <sheetName val="FG_waste2"/>
      <sheetName val="Big_Ben6"/>
      <sheetName val="Big_Ben_(2)6"/>
      <sheetName val="Fuji_(2)6"/>
      <sheetName val="Soccer_Shape6"/>
      <sheetName val="Cartoon_3D_Perf6"/>
      <sheetName val="FG_waste1"/>
      <sheetName val="Big_Ben8"/>
      <sheetName val="Big_Ben_(2)8"/>
      <sheetName val="Fuji_(2)8"/>
      <sheetName val="Soccer_Shape8"/>
      <sheetName val="Cartoon_3D_Perf8"/>
      <sheetName val="FG_waste3"/>
      <sheetName val="Big_Ben11"/>
      <sheetName val="Big_Ben_(2)11"/>
      <sheetName val="Fuji_(2)11"/>
      <sheetName val="Soccer_Shape11"/>
      <sheetName val="Cartoon_3D_Perf11"/>
      <sheetName val="FG_waste6"/>
      <sheetName val="Big_Ben12"/>
      <sheetName val="Big_Ben_(2)12"/>
      <sheetName val="Fuji_(2)12"/>
      <sheetName val="Soccer_Shape12"/>
      <sheetName val="Cartoon_3D_Perf12"/>
      <sheetName val="FG_waste7"/>
      <sheetName val="Big_Ben14"/>
      <sheetName val="Big_Ben_(2)14"/>
      <sheetName val="Fuji_(2)14"/>
      <sheetName val="Soccer_Shape14"/>
      <sheetName val="Cartoon_3D_Perf14"/>
      <sheetName val="FG_waste9"/>
      <sheetName val="Big_Ben15"/>
      <sheetName val="Big_Ben_(2)15"/>
      <sheetName val="Fuji_(2)15"/>
      <sheetName val="Soccer_Shape15"/>
      <sheetName val="Cartoon_3D_Perf15"/>
      <sheetName val="FG_waste10"/>
      <sheetName val="Big_Ben17"/>
      <sheetName val="Big_Ben_(2)17"/>
      <sheetName val="Fuji_(2)17"/>
      <sheetName val="Soccer_Shape17"/>
      <sheetName val="Cartoon_3D_Perf17"/>
      <sheetName val="FG_waste12"/>
      <sheetName val="Big_Ben18"/>
      <sheetName val="Big_Ben_(2)18"/>
      <sheetName val="Fuji_(2)18"/>
      <sheetName val="Soccer_Shape18"/>
      <sheetName val="Cartoon_3D_Perf18"/>
      <sheetName val="FG_waste13"/>
      <sheetName val="Big_Ben19"/>
      <sheetName val="Big_Ben_(2)19"/>
      <sheetName val="Fuji_(2)19"/>
      <sheetName val="Soccer_Shape19"/>
      <sheetName val="Cartoon_3D_Perf19"/>
      <sheetName val="FG_waste14"/>
      <sheetName val="Big_Ben21"/>
      <sheetName val="Big_Ben_(2)21"/>
      <sheetName val="Fuji_(2)21"/>
      <sheetName val="Soccer_Shape21"/>
      <sheetName val="Cartoon_3D_Perf21"/>
      <sheetName val="FG_waste16"/>
      <sheetName val="OCF Change"/>
      <sheetName val="BCP Operating Model"/>
      <sheetName val="Big_Ben22"/>
      <sheetName val="Big_Ben_(2)22"/>
      <sheetName val="Fuji_(2)22"/>
      <sheetName val="Soccer_Shape22"/>
      <sheetName val="Cartoon_3D_Perf22"/>
      <sheetName val="FG_waste17"/>
      <sheetName val="Big_Ben23"/>
      <sheetName val="Big_Ben_(2)23"/>
      <sheetName val="Fuji_(2)23"/>
      <sheetName val="Soccer_Shape23"/>
      <sheetName val="Cartoon_3D_Perf23"/>
      <sheetName val="FG_waste18"/>
      <sheetName val="Big_Ben27"/>
      <sheetName val="Big_Ben_(2)27"/>
      <sheetName val="Fuji_(2)27"/>
      <sheetName val="Soccer_Shape27"/>
      <sheetName val="Cartoon_3D_Perf27"/>
      <sheetName val="FG_waste22"/>
      <sheetName val="Big_Ben26"/>
      <sheetName val="Big_Ben_(2)26"/>
      <sheetName val="Fuji_(2)26"/>
      <sheetName val="Soccer_Shape26"/>
      <sheetName val="Cartoon_3D_Perf26"/>
      <sheetName val="FG_waste21"/>
      <sheetName val="Big_Ben24"/>
      <sheetName val="Big_Ben_(2)24"/>
      <sheetName val="Fuji_(2)24"/>
      <sheetName val="Soccer_Shape24"/>
      <sheetName val="Cartoon_3D_Perf24"/>
      <sheetName val="FG_waste19"/>
      <sheetName val="Big_Ben25"/>
      <sheetName val="Big_Ben_(2)25"/>
      <sheetName val="Fuji_(2)25"/>
      <sheetName val="Soccer_Shape25"/>
      <sheetName val="Cartoon_3D_Perf25"/>
      <sheetName val="FG_waste20"/>
      <sheetName val="Big_Ben28"/>
      <sheetName val="Big_Ben_(2)28"/>
      <sheetName val="Fuji_(2)28"/>
      <sheetName val="Soccer_Shape28"/>
      <sheetName val="Cartoon_3D_Perf28"/>
      <sheetName val="FG_waste23"/>
      <sheetName val="Big_Ben29"/>
      <sheetName val="Big_Ben_(2)29"/>
      <sheetName val="Fuji_(2)29"/>
      <sheetName val="Soccer_Shape29"/>
      <sheetName val="Cartoon_3D_Perf29"/>
      <sheetName val="FG_waste24"/>
      <sheetName val="hierarchy"/>
      <sheetName val="Big_Ben30"/>
      <sheetName val="Big_Ben_(2)30"/>
      <sheetName val="Fuji_(2)30"/>
      <sheetName val="Soccer_Shape30"/>
      <sheetName val="Cartoon_3D_Perf30"/>
      <sheetName val="FG_waste25"/>
      <sheetName val="Big_Ben31"/>
      <sheetName val="Big_Ben_(2)31"/>
      <sheetName val="Fuji_(2)31"/>
      <sheetName val="Soccer_Shape31"/>
      <sheetName val="Cartoon_3D_Perf31"/>
      <sheetName val="FG_waste26"/>
      <sheetName val="Big_Ben32"/>
      <sheetName val="Big_Ben_(2)32"/>
      <sheetName val="Fuji_(2)32"/>
      <sheetName val="Soccer_Shape32"/>
      <sheetName val="Cartoon_3D_Perf32"/>
      <sheetName val="FG_waste27"/>
      <sheetName val="Big_Ben33"/>
      <sheetName val="Big_Ben_(2)33"/>
      <sheetName val="Fuji_(2)33"/>
      <sheetName val="Soccer_Shape33"/>
      <sheetName val="Cartoon_3D_Perf33"/>
      <sheetName val="FG_waste28"/>
      <sheetName val="Big_Ben34"/>
      <sheetName val="Big_Ben_(2)34"/>
      <sheetName val="Fuji_(2)34"/>
      <sheetName val="Soccer_Shape34"/>
      <sheetName val="Cartoon_3D_Perf34"/>
      <sheetName val="FG_waste29"/>
      <sheetName val="Capex"/>
      <sheetName val="Big_Ben35"/>
      <sheetName val="Big_Ben_(2)35"/>
      <sheetName val="Fuji_(2)35"/>
      <sheetName val="Soccer_Shape35"/>
      <sheetName val="Cartoon_3D_Perf35"/>
      <sheetName val="FG_waste30"/>
      <sheetName val="OCF_Change"/>
      <sheetName val="BCP_Operating_Model"/>
      <sheetName val="Big_Ben36"/>
      <sheetName val="Big_Ben_(2)36"/>
      <sheetName val="Fuji_(2)36"/>
      <sheetName val="Soccer_Shape36"/>
      <sheetName val="Cartoon_3D_Perf36"/>
      <sheetName val="FG_waste31"/>
      <sheetName val="OCF_Change1"/>
      <sheetName val="BCP_Operating_Model1"/>
      <sheetName val="Storage line"/>
      <sheetName val="Big_Ben37"/>
      <sheetName val="Big_Ben_(2)37"/>
      <sheetName val="Fuji_(2)37"/>
      <sheetName val="Soccer_Shape37"/>
      <sheetName val="Cartoon_3D_Perf37"/>
      <sheetName val="FG_waste32"/>
      <sheetName val="OCF_Change2"/>
      <sheetName val="BCP_Operating_Model2"/>
      <sheetName val="Storage_line"/>
      <sheetName val="Big_Ben38"/>
      <sheetName val="Big_Ben_(2)38"/>
      <sheetName val="Fuji_(2)38"/>
      <sheetName val="Soccer_Shape38"/>
      <sheetName val="Cartoon_3D_Perf38"/>
      <sheetName val="FG_waste33"/>
      <sheetName val="OCF_Change3"/>
      <sheetName val="BCP_Operating_Model3"/>
      <sheetName val="Storage_line1"/>
      <sheetName val="Base Info"/>
      <sheetName val="Book 1 Summary"/>
      <sheetName val="6.1"/>
      <sheetName val="6.6 old"/>
      <sheetName val="6.7"/>
      <sheetName val="KPI Definition"/>
      <sheetName val="BP1 2007"/>
      <sheetName val="PGMMNG"/>
    </sheetNames>
    <sheetDataSet>
      <sheetData sheetId="0"/>
      <sheetData sheetId="1" refreshError="1">
        <row r="2">
          <cell r="A2" t="str">
            <v>Code</v>
          </cell>
        </row>
        <row r="4">
          <cell r="A4">
            <v>11000</v>
          </cell>
          <cell r="B4" t="str">
            <v>Lay's Rock</v>
          </cell>
          <cell r="C4">
            <v>5.3571428571428572E-3</v>
          </cell>
          <cell r="D4">
            <v>2.8</v>
          </cell>
          <cell r="E4">
            <v>17.5</v>
          </cell>
        </row>
        <row r="5">
          <cell r="A5">
            <v>11001</v>
          </cell>
          <cell r="B5" t="str">
            <v>Lay's Rock</v>
          </cell>
          <cell r="C5" t="str">
            <v>6 B  / 18g</v>
          </cell>
          <cell r="D5">
            <v>18</v>
          </cell>
          <cell r="E5">
            <v>120</v>
          </cell>
          <cell r="F5" t="str">
            <v xml:space="preserve">6 </v>
          </cell>
          <cell r="G5">
            <v>0.16669999999999999</v>
          </cell>
          <cell r="H5">
            <v>560.73</v>
          </cell>
          <cell r="I5">
            <v>29.7</v>
          </cell>
          <cell r="J5">
            <v>6.2</v>
          </cell>
          <cell r="K5">
            <v>15.1</v>
          </cell>
          <cell r="L5">
            <v>0.80735694257485757</v>
          </cell>
          <cell r="M5">
            <v>5.1999999999999998E-2</v>
          </cell>
          <cell r="N5">
            <v>2.5054097125782005E-3</v>
          </cell>
          <cell r="O5">
            <v>0</v>
          </cell>
          <cell r="P5">
            <v>7.0000000000000007E-2</v>
          </cell>
          <cell r="Q5">
            <v>5.1999999999999998E-2</v>
          </cell>
          <cell r="R5">
            <v>8.9999999999999993E-3</v>
          </cell>
          <cell r="S5">
            <v>3.3000000000000002E-2</v>
          </cell>
        </row>
        <row r="6">
          <cell r="A6">
            <v>11002</v>
          </cell>
          <cell r="B6" t="str">
            <v>Lay's Rock</v>
          </cell>
          <cell r="C6" t="str">
            <v>20 B / 66g</v>
          </cell>
          <cell r="D6">
            <v>66</v>
          </cell>
          <cell r="E6">
            <v>48</v>
          </cell>
          <cell r="F6" t="str">
            <v>20</v>
          </cell>
          <cell r="G6">
            <v>0.14169999999999999</v>
          </cell>
          <cell r="H6">
            <v>770.06</v>
          </cell>
          <cell r="I6">
            <v>29.7</v>
          </cell>
          <cell r="J6">
            <v>6.2</v>
          </cell>
          <cell r="K6">
            <v>15.1</v>
          </cell>
          <cell r="L6">
            <v>0.80735694257485757</v>
          </cell>
          <cell r="M6">
            <v>5.1999999999999998E-2</v>
          </cell>
          <cell r="N6">
            <v>2.5054097125782005E-3</v>
          </cell>
          <cell r="O6">
            <v>0</v>
          </cell>
          <cell r="P6">
            <v>7.0000000000000007E-2</v>
          </cell>
          <cell r="Q6">
            <v>4.2999999999999997E-2</v>
          </cell>
          <cell r="R6">
            <v>0.05</v>
          </cell>
          <cell r="S6">
            <v>0.03</v>
          </cell>
        </row>
        <row r="7">
          <cell r="A7">
            <v>11003</v>
          </cell>
          <cell r="B7" t="str">
            <v>Lay's Rock</v>
          </cell>
          <cell r="C7" t="str">
            <v>30 B / 100g</v>
          </cell>
          <cell r="D7">
            <v>100</v>
          </cell>
          <cell r="E7">
            <v>24</v>
          </cell>
          <cell r="F7" t="str">
            <v>30</v>
          </cell>
          <cell r="G7">
            <v>0.1</v>
          </cell>
          <cell r="H7">
            <v>605.61</v>
          </cell>
          <cell r="I7">
            <v>29.7</v>
          </cell>
          <cell r="J7">
            <v>6.2</v>
          </cell>
          <cell r="K7">
            <v>15.1</v>
          </cell>
          <cell r="L7">
            <v>0.80735694257485757</v>
          </cell>
          <cell r="M7">
            <v>5.1999999999999998E-2</v>
          </cell>
          <cell r="N7">
            <v>2.5054097125782005E-3</v>
          </cell>
          <cell r="O7">
            <v>0</v>
          </cell>
          <cell r="P7">
            <v>7.0000000000000007E-2</v>
          </cell>
          <cell r="Q7">
            <v>2.5999999999999999E-2</v>
          </cell>
          <cell r="R7">
            <v>0.108</v>
          </cell>
          <cell r="S7">
            <v>0.01</v>
          </cell>
        </row>
        <row r="8">
          <cell r="A8">
            <v>11004</v>
          </cell>
          <cell r="B8" t="str">
            <v>Lay's Rock</v>
          </cell>
          <cell r="C8" t="str">
            <v>42 B / 150g</v>
          </cell>
          <cell r="D8">
            <v>150</v>
          </cell>
          <cell r="E8">
            <v>18</v>
          </cell>
          <cell r="F8" t="str">
            <v>42</v>
          </cell>
          <cell r="G8">
            <v>0.1</v>
          </cell>
          <cell r="H8">
            <v>635.89</v>
          </cell>
          <cell r="I8">
            <v>29.7</v>
          </cell>
          <cell r="J8">
            <v>6.2</v>
          </cell>
          <cell r="K8">
            <v>15.1</v>
          </cell>
          <cell r="L8">
            <v>0.80735694257485757</v>
          </cell>
          <cell r="M8">
            <v>5.1999999999999998E-2</v>
          </cell>
          <cell r="N8">
            <v>2.5054097125782005E-3</v>
          </cell>
          <cell r="O8">
            <v>0</v>
          </cell>
          <cell r="P8">
            <v>7.0000000000000007E-2</v>
          </cell>
          <cell r="Q8">
            <v>0.08</v>
          </cell>
          <cell r="R8">
            <v>3.3000000000000002E-2</v>
          </cell>
          <cell r="S8">
            <v>1.2999999999999999E-2</v>
          </cell>
        </row>
        <row r="9">
          <cell r="A9">
            <v>11005</v>
          </cell>
          <cell r="B9" t="str">
            <v>Lay's Rock</v>
          </cell>
          <cell r="C9" t="str">
            <v>6 B / 21g</v>
          </cell>
          <cell r="D9">
            <v>21</v>
          </cell>
          <cell r="E9">
            <v>120</v>
          </cell>
          <cell r="F9" t="str">
            <v xml:space="preserve">6 </v>
          </cell>
          <cell r="G9">
            <v>0.16669999999999999</v>
          </cell>
          <cell r="H9">
            <v>560.73</v>
          </cell>
          <cell r="I9">
            <v>29.7</v>
          </cell>
          <cell r="J9">
            <v>6.2</v>
          </cell>
          <cell r="K9">
            <v>15.1</v>
          </cell>
          <cell r="L9">
            <v>0.80735694257485757</v>
          </cell>
          <cell r="M9">
            <v>5.1999999999999998E-2</v>
          </cell>
          <cell r="N9">
            <v>2.5054097125782005E-3</v>
          </cell>
          <cell r="O9">
            <v>0</v>
          </cell>
          <cell r="P9">
            <v>7.0000000000000007E-2</v>
          </cell>
          <cell r="Q9">
            <v>5.1999999999999998E-2</v>
          </cell>
          <cell r="R9">
            <v>8.9999999999999993E-3</v>
          </cell>
          <cell r="S9">
            <v>3.3000000000000002E-2</v>
          </cell>
        </row>
        <row r="10">
          <cell r="A10">
            <v>11006</v>
          </cell>
          <cell r="B10" t="str">
            <v>Lay's Rock</v>
          </cell>
          <cell r="C10" t="str">
            <v>20 B / 72g</v>
          </cell>
          <cell r="D10">
            <v>72</v>
          </cell>
          <cell r="E10">
            <v>48</v>
          </cell>
          <cell r="F10" t="str">
            <v>20</v>
          </cell>
          <cell r="G10">
            <v>0.14169999999999999</v>
          </cell>
          <cell r="H10">
            <v>770.06</v>
          </cell>
          <cell r="I10">
            <v>29.7</v>
          </cell>
          <cell r="J10">
            <v>6.2</v>
          </cell>
          <cell r="K10">
            <v>15.1</v>
          </cell>
          <cell r="L10">
            <v>0.80735694257485757</v>
          </cell>
          <cell r="M10">
            <v>5.1999999999999998E-2</v>
          </cell>
          <cell r="N10">
            <v>2.5054097125782005E-3</v>
          </cell>
          <cell r="O10">
            <v>0</v>
          </cell>
          <cell r="P10">
            <v>7.0000000000000007E-2</v>
          </cell>
          <cell r="Q10">
            <v>4.2999999999999997E-2</v>
          </cell>
          <cell r="R10">
            <v>0.05</v>
          </cell>
          <cell r="S10">
            <v>0.03</v>
          </cell>
        </row>
        <row r="11">
          <cell r="A11">
            <v>11007</v>
          </cell>
          <cell r="B11" t="str">
            <v>Lay's Rock</v>
          </cell>
          <cell r="C11" t="str">
            <v>6 B / 20g</v>
          </cell>
          <cell r="D11">
            <v>20</v>
          </cell>
          <cell r="E11">
            <v>120</v>
          </cell>
          <cell r="F11" t="str">
            <v xml:space="preserve">6 </v>
          </cell>
          <cell r="G11">
            <v>0.16669999999999999</v>
          </cell>
          <cell r="H11">
            <v>560.73</v>
          </cell>
          <cell r="I11">
            <v>29.7</v>
          </cell>
          <cell r="J11">
            <v>6.2</v>
          </cell>
          <cell r="K11">
            <v>15.1</v>
          </cell>
          <cell r="L11">
            <v>0.80735694257485757</v>
          </cell>
          <cell r="M11">
            <v>5.1999999999999998E-2</v>
          </cell>
          <cell r="N11">
            <v>2.5054097125782005E-3</v>
          </cell>
          <cell r="O11">
            <v>0</v>
          </cell>
          <cell r="P11">
            <v>7.0000000000000007E-2</v>
          </cell>
          <cell r="Q11">
            <v>5.1999999999999998E-2</v>
          </cell>
          <cell r="R11">
            <v>8.9999999999999993E-3</v>
          </cell>
          <cell r="S11">
            <v>3.3000000000000002E-2</v>
          </cell>
        </row>
        <row r="12">
          <cell r="A12">
            <v>11010</v>
          </cell>
          <cell r="B12" t="str">
            <v>Lay's Rock</v>
          </cell>
          <cell r="C12" t="str">
            <v>6 B / 24g</v>
          </cell>
          <cell r="D12">
            <v>24</v>
          </cell>
          <cell r="E12">
            <v>120</v>
          </cell>
          <cell r="F12" t="str">
            <v xml:space="preserve">6 </v>
          </cell>
          <cell r="G12">
            <v>0.16669999999999999</v>
          </cell>
          <cell r="H12">
            <v>560.73</v>
          </cell>
          <cell r="I12">
            <v>29.7</v>
          </cell>
          <cell r="J12">
            <v>6.2</v>
          </cell>
          <cell r="K12">
            <v>15.1</v>
          </cell>
          <cell r="L12">
            <v>0.80735694257485757</v>
          </cell>
          <cell r="M12">
            <v>5.1999999999999998E-2</v>
          </cell>
          <cell r="N12">
            <v>2.5054097125782005E-3</v>
          </cell>
          <cell r="O12">
            <v>0</v>
          </cell>
          <cell r="P12">
            <v>7.0000000000000007E-2</v>
          </cell>
          <cell r="Q12">
            <v>5.1999999999999998E-2</v>
          </cell>
          <cell r="R12">
            <v>8.9999999999999993E-3</v>
          </cell>
          <cell r="S12">
            <v>3.3000000000000002E-2</v>
          </cell>
        </row>
        <row r="13">
          <cell r="A13">
            <v>11011</v>
          </cell>
          <cell r="B13" t="str">
            <v>Lay's Rock</v>
          </cell>
          <cell r="C13" t="str">
            <v>20 B / 80g</v>
          </cell>
          <cell r="D13">
            <v>80</v>
          </cell>
          <cell r="E13">
            <v>48</v>
          </cell>
          <cell r="F13" t="str">
            <v>20</v>
          </cell>
          <cell r="G13">
            <v>0.14169999999999999</v>
          </cell>
          <cell r="H13">
            <v>770.06</v>
          </cell>
          <cell r="I13">
            <v>29.7</v>
          </cell>
          <cell r="J13">
            <v>6.2</v>
          </cell>
          <cell r="K13">
            <v>15.1</v>
          </cell>
          <cell r="L13">
            <v>0.80735694257485757</v>
          </cell>
          <cell r="M13">
            <v>5.1999999999999998E-2</v>
          </cell>
          <cell r="N13">
            <v>2.5054097125782005E-3</v>
          </cell>
          <cell r="O13">
            <v>0</v>
          </cell>
          <cell r="P13">
            <v>7.0000000000000007E-2</v>
          </cell>
          <cell r="Q13">
            <v>4.2999999999999997E-2</v>
          </cell>
          <cell r="R13">
            <v>0.05</v>
          </cell>
          <cell r="S13">
            <v>0.03</v>
          </cell>
        </row>
        <row r="14">
          <cell r="A14">
            <v>11012</v>
          </cell>
          <cell r="B14" t="str">
            <v>Lay's Rock</v>
          </cell>
          <cell r="C14" t="str">
            <v>30 B / 120g</v>
          </cell>
          <cell r="D14">
            <v>120</v>
          </cell>
          <cell r="E14">
            <v>24</v>
          </cell>
          <cell r="F14" t="str">
            <v>30</v>
          </cell>
          <cell r="G14">
            <v>0.1</v>
          </cell>
          <cell r="H14">
            <v>605.61</v>
          </cell>
          <cell r="I14">
            <v>29.7</v>
          </cell>
          <cell r="J14">
            <v>6.2</v>
          </cell>
          <cell r="K14">
            <v>15.1</v>
          </cell>
          <cell r="L14">
            <v>0.80735694257485757</v>
          </cell>
          <cell r="M14">
            <v>5.1999999999999998E-2</v>
          </cell>
          <cell r="N14">
            <v>2.5054097125782005E-3</v>
          </cell>
          <cell r="O14">
            <v>0</v>
          </cell>
          <cell r="P14">
            <v>7.0000000000000007E-2</v>
          </cell>
          <cell r="Q14">
            <v>2.5999999999999999E-2</v>
          </cell>
          <cell r="R14">
            <v>0.108</v>
          </cell>
          <cell r="S14">
            <v>0.01</v>
          </cell>
        </row>
        <row r="15">
          <cell r="A15">
            <v>11013</v>
          </cell>
          <cell r="B15" t="str">
            <v>Lay's Rock</v>
          </cell>
          <cell r="C15" t="str">
            <v>45 B / 150g</v>
          </cell>
          <cell r="D15">
            <v>150</v>
          </cell>
          <cell r="E15">
            <v>18</v>
          </cell>
          <cell r="F15" t="str">
            <v>45</v>
          </cell>
          <cell r="G15">
            <v>0.1</v>
          </cell>
          <cell r="H15">
            <v>681.31</v>
          </cell>
          <cell r="I15">
            <v>29.7</v>
          </cell>
          <cell r="J15">
            <v>6.2</v>
          </cell>
          <cell r="K15">
            <v>15.1</v>
          </cell>
          <cell r="L15">
            <v>0.80735694257485757</v>
          </cell>
          <cell r="M15">
            <v>5.1999999999999998E-2</v>
          </cell>
          <cell r="N15">
            <v>2.5054097125782005E-3</v>
          </cell>
          <cell r="O15">
            <v>0</v>
          </cell>
          <cell r="P15">
            <v>7.0000000000000007E-2</v>
          </cell>
          <cell r="Q15">
            <v>0.08</v>
          </cell>
          <cell r="R15">
            <v>3.3000000000000002E-2</v>
          </cell>
          <cell r="S15">
            <v>1.2999999999999999E-2</v>
          </cell>
        </row>
        <row r="16">
          <cell r="A16">
            <v>11014</v>
          </cell>
          <cell r="B16" t="str">
            <v>Lay's Rock</v>
          </cell>
          <cell r="C16" t="str">
            <v>30 B / 96g</v>
          </cell>
          <cell r="D16">
            <v>96</v>
          </cell>
          <cell r="E16">
            <v>24</v>
          </cell>
          <cell r="F16" t="str">
            <v>30</v>
          </cell>
          <cell r="G16">
            <v>0.1</v>
          </cell>
          <cell r="H16">
            <v>605.61</v>
          </cell>
          <cell r="I16">
            <v>29.7</v>
          </cell>
          <cell r="J16">
            <v>6.2</v>
          </cell>
          <cell r="K16">
            <v>15.1</v>
          </cell>
          <cell r="L16">
            <v>0.80735694257485757</v>
          </cell>
          <cell r="M16">
            <v>5.1999999999999998E-2</v>
          </cell>
          <cell r="N16">
            <v>2.5054097125782005E-3</v>
          </cell>
          <cell r="O16">
            <v>0</v>
          </cell>
          <cell r="P16">
            <v>7.0000000000000007E-2</v>
          </cell>
          <cell r="Q16">
            <v>2.5999999999999999E-2</v>
          </cell>
          <cell r="R16">
            <v>0.108</v>
          </cell>
          <cell r="S16">
            <v>0.01</v>
          </cell>
        </row>
        <row r="17">
          <cell r="A17">
            <v>12000</v>
          </cell>
          <cell r="B17" t="str">
            <v>Lay's Clsssic</v>
          </cell>
        </row>
        <row r="18">
          <cell r="A18">
            <v>12001</v>
          </cell>
          <cell r="B18" t="str">
            <v>Lay's Clsssic</v>
          </cell>
          <cell r="C18" t="str">
            <v>6 B / 18g</v>
          </cell>
          <cell r="D18">
            <v>18</v>
          </cell>
          <cell r="E18">
            <v>120</v>
          </cell>
          <cell r="F18" t="str">
            <v xml:space="preserve">6 </v>
          </cell>
          <cell r="G18">
            <v>0.16669999999999999</v>
          </cell>
          <cell r="H18">
            <v>560.73</v>
          </cell>
          <cell r="I18">
            <v>29.7</v>
          </cell>
          <cell r="J18">
            <v>6.2</v>
          </cell>
          <cell r="K18">
            <v>15.1</v>
          </cell>
          <cell r="L18">
            <v>0.80735694257485757</v>
          </cell>
          <cell r="M18">
            <v>5.1999999999999998E-2</v>
          </cell>
          <cell r="N18">
            <v>2.5054097125782005E-3</v>
          </cell>
          <cell r="O18">
            <v>0</v>
          </cell>
          <cell r="P18">
            <v>7.0000000000000007E-2</v>
          </cell>
          <cell r="Q18">
            <v>5.1999999999999998E-2</v>
          </cell>
          <cell r="R18">
            <v>8.9999999999999993E-3</v>
          </cell>
          <cell r="S18">
            <v>3.3000000000000002E-2</v>
          </cell>
        </row>
        <row r="19">
          <cell r="A19">
            <v>12002</v>
          </cell>
          <cell r="B19" t="str">
            <v>Lay's Clsssic</v>
          </cell>
          <cell r="C19" t="str">
            <v>20 B / 66g</v>
          </cell>
          <cell r="D19">
            <v>66</v>
          </cell>
          <cell r="E19">
            <v>48</v>
          </cell>
          <cell r="F19" t="str">
            <v>20</v>
          </cell>
          <cell r="G19">
            <v>0.14169999999999999</v>
          </cell>
          <cell r="H19">
            <v>770.06</v>
          </cell>
          <cell r="I19">
            <v>29.7</v>
          </cell>
          <cell r="J19">
            <v>6.2</v>
          </cell>
          <cell r="K19">
            <v>15.1</v>
          </cell>
          <cell r="L19">
            <v>0.80735694257485757</v>
          </cell>
          <cell r="M19">
            <v>5.1999999999999998E-2</v>
          </cell>
          <cell r="N19">
            <v>2.5054097125782005E-3</v>
          </cell>
          <cell r="O19">
            <v>0</v>
          </cell>
          <cell r="P19">
            <v>7.0000000000000007E-2</v>
          </cell>
          <cell r="Q19">
            <v>4.2999999999999997E-2</v>
          </cell>
          <cell r="R19">
            <v>0.05</v>
          </cell>
          <cell r="S19">
            <v>0.03</v>
          </cell>
        </row>
        <row r="20">
          <cell r="A20">
            <v>12003</v>
          </cell>
          <cell r="B20" t="str">
            <v>Lay's Clsssic</v>
          </cell>
          <cell r="C20" t="str">
            <v>30 B / 100g</v>
          </cell>
          <cell r="D20">
            <v>100</v>
          </cell>
          <cell r="E20">
            <v>24</v>
          </cell>
          <cell r="F20" t="str">
            <v>30</v>
          </cell>
          <cell r="G20">
            <v>0.1</v>
          </cell>
          <cell r="H20">
            <v>605.61</v>
          </cell>
          <cell r="I20">
            <v>29.7</v>
          </cell>
          <cell r="J20">
            <v>6.2</v>
          </cell>
          <cell r="K20">
            <v>15.1</v>
          </cell>
          <cell r="L20">
            <v>0.80735694257485757</v>
          </cell>
          <cell r="M20">
            <v>5.1999999999999998E-2</v>
          </cell>
          <cell r="N20">
            <v>2.5054097125782005E-3</v>
          </cell>
          <cell r="O20">
            <v>0</v>
          </cell>
          <cell r="P20">
            <v>7.0000000000000007E-2</v>
          </cell>
          <cell r="Q20">
            <v>2.5999999999999999E-2</v>
          </cell>
          <cell r="R20">
            <v>0.108</v>
          </cell>
          <cell r="S20">
            <v>0.01</v>
          </cell>
        </row>
        <row r="21">
          <cell r="A21">
            <v>12004</v>
          </cell>
          <cell r="B21" t="str">
            <v>Lay's Clsssic</v>
          </cell>
          <cell r="C21" t="str">
            <v>42 B / 150g</v>
          </cell>
          <cell r="D21">
            <v>150</v>
          </cell>
          <cell r="E21">
            <v>18</v>
          </cell>
          <cell r="F21" t="str">
            <v>42</v>
          </cell>
          <cell r="G21">
            <v>0.1</v>
          </cell>
          <cell r="H21">
            <v>635.89</v>
          </cell>
          <cell r="I21">
            <v>29.7</v>
          </cell>
          <cell r="J21">
            <v>6.2</v>
          </cell>
          <cell r="K21">
            <v>15.1</v>
          </cell>
          <cell r="L21">
            <v>0.80735694257485757</v>
          </cell>
          <cell r="M21">
            <v>5.1999999999999998E-2</v>
          </cell>
          <cell r="N21">
            <v>2.5054097125782005E-3</v>
          </cell>
          <cell r="O21">
            <v>0</v>
          </cell>
          <cell r="P21">
            <v>7.0000000000000007E-2</v>
          </cell>
          <cell r="Q21">
            <v>0.08</v>
          </cell>
          <cell r="R21">
            <v>3.3000000000000002E-2</v>
          </cell>
          <cell r="S21">
            <v>1.2999999999999999E-2</v>
          </cell>
        </row>
        <row r="22">
          <cell r="A22">
            <v>12005</v>
          </cell>
          <cell r="B22" t="str">
            <v>Lay's Clsssic</v>
          </cell>
          <cell r="C22" t="str">
            <v>6 B / 21g</v>
          </cell>
          <cell r="D22">
            <v>21</v>
          </cell>
          <cell r="E22">
            <v>120</v>
          </cell>
          <cell r="F22" t="str">
            <v xml:space="preserve">6 </v>
          </cell>
          <cell r="G22">
            <v>0.16669999999999999</v>
          </cell>
          <cell r="H22">
            <v>560.73</v>
          </cell>
          <cell r="I22">
            <v>29.7</v>
          </cell>
          <cell r="J22">
            <v>6.2</v>
          </cell>
          <cell r="K22">
            <v>15.1</v>
          </cell>
          <cell r="L22">
            <v>0.80735694257485757</v>
          </cell>
          <cell r="M22">
            <v>5.1999999999999998E-2</v>
          </cell>
          <cell r="N22">
            <v>2.5054097125782005E-3</v>
          </cell>
          <cell r="O22">
            <v>0</v>
          </cell>
          <cell r="P22">
            <v>7.0000000000000007E-2</v>
          </cell>
          <cell r="Q22">
            <v>5.1999999999999998E-2</v>
          </cell>
          <cell r="R22">
            <v>8.9999999999999993E-3</v>
          </cell>
          <cell r="S22">
            <v>3.3000000000000002E-2</v>
          </cell>
        </row>
        <row r="23">
          <cell r="A23">
            <v>12006</v>
          </cell>
          <cell r="B23" t="str">
            <v>Lay's Clsssic</v>
          </cell>
          <cell r="C23" t="str">
            <v>20 B / 72g</v>
          </cell>
          <cell r="D23">
            <v>72</v>
          </cell>
          <cell r="E23">
            <v>48</v>
          </cell>
          <cell r="F23" t="str">
            <v>20</v>
          </cell>
          <cell r="G23">
            <v>0.14169999999999999</v>
          </cell>
          <cell r="H23">
            <v>770.06</v>
          </cell>
          <cell r="I23">
            <v>29.7</v>
          </cell>
          <cell r="J23">
            <v>6.2</v>
          </cell>
          <cell r="K23">
            <v>15.1</v>
          </cell>
          <cell r="L23">
            <v>0.80735694257485757</v>
          </cell>
          <cell r="M23">
            <v>5.1999999999999998E-2</v>
          </cell>
          <cell r="N23">
            <v>2.5054097125782005E-3</v>
          </cell>
          <cell r="O23">
            <v>0</v>
          </cell>
          <cell r="P23">
            <v>7.0000000000000007E-2</v>
          </cell>
          <cell r="Q23">
            <v>4.2999999999999997E-2</v>
          </cell>
          <cell r="R23">
            <v>0.05</v>
          </cell>
          <cell r="S23">
            <v>0.03</v>
          </cell>
        </row>
        <row r="24">
          <cell r="A24">
            <v>12007</v>
          </cell>
          <cell r="B24" t="str">
            <v>Lay's Clsssic</v>
          </cell>
          <cell r="C24" t="str">
            <v>6 B / 20g</v>
          </cell>
          <cell r="D24">
            <v>20</v>
          </cell>
          <cell r="E24">
            <v>120</v>
          </cell>
          <cell r="F24" t="str">
            <v xml:space="preserve">6 </v>
          </cell>
          <cell r="G24">
            <v>0.16669999999999999</v>
          </cell>
          <cell r="H24">
            <v>560.73</v>
          </cell>
          <cell r="I24">
            <v>29.7</v>
          </cell>
          <cell r="J24">
            <v>6.2</v>
          </cell>
          <cell r="K24">
            <v>15.1</v>
          </cell>
          <cell r="L24">
            <v>0.80735694257485757</v>
          </cell>
          <cell r="M24">
            <v>5.1999999999999998E-2</v>
          </cell>
          <cell r="N24">
            <v>2.5054097125782005E-3</v>
          </cell>
          <cell r="O24">
            <v>0</v>
          </cell>
          <cell r="P24">
            <v>7.0000000000000007E-2</v>
          </cell>
          <cell r="Q24">
            <v>5.1999999999999998E-2</v>
          </cell>
          <cell r="R24">
            <v>8.9999999999999993E-3</v>
          </cell>
          <cell r="S24">
            <v>3.3000000000000002E-2</v>
          </cell>
        </row>
        <row r="25">
          <cell r="A25">
            <v>12010</v>
          </cell>
          <cell r="B25" t="str">
            <v>Lay's Clsssic</v>
          </cell>
          <cell r="C25" t="str">
            <v>6 B / 24g</v>
          </cell>
          <cell r="D25">
            <v>24</v>
          </cell>
          <cell r="E25">
            <v>120</v>
          </cell>
          <cell r="F25" t="str">
            <v xml:space="preserve">6 </v>
          </cell>
          <cell r="G25">
            <v>0.16669999999999999</v>
          </cell>
          <cell r="H25">
            <v>560.73</v>
          </cell>
          <cell r="I25">
            <v>29.7</v>
          </cell>
          <cell r="J25">
            <v>6.2</v>
          </cell>
          <cell r="K25">
            <v>15.1</v>
          </cell>
          <cell r="L25">
            <v>0.80735694257485757</v>
          </cell>
          <cell r="M25">
            <v>5.1999999999999998E-2</v>
          </cell>
          <cell r="N25">
            <v>2.5054097125782005E-3</v>
          </cell>
          <cell r="O25">
            <v>0</v>
          </cell>
          <cell r="P25">
            <v>7.0000000000000007E-2</v>
          </cell>
          <cell r="Q25">
            <v>5.1999999999999998E-2</v>
          </cell>
          <cell r="R25">
            <v>8.9999999999999993E-3</v>
          </cell>
          <cell r="S25">
            <v>3.3000000000000002E-2</v>
          </cell>
        </row>
        <row r="26">
          <cell r="A26">
            <v>12011</v>
          </cell>
          <cell r="B26" t="str">
            <v>Lay's Clsssic</v>
          </cell>
          <cell r="C26" t="str">
            <v>20 B / 80g</v>
          </cell>
          <cell r="D26">
            <v>80</v>
          </cell>
          <cell r="E26">
            <v>48</v>
          </cell>
          <cell r="F26" t="str">
            <v>20</v>
          </cell>
          <cell r="G26">
            <v>0.14169999999999999</v>
          </cell>
          <cell r="H26">
            <v>770.06</v>
          </cell>
          <cell r="I26">
            <v>29.7</v>
          </cell>
          <cell r="J26">
            <v>6.2</v>
          </cell>
          <cell r="K26">
            <v>15.1</v>
          </cell>
          <cell r="L26">
            <v>0.80735694257485757</v>
          </cell>
          <cell r="M26">
            <v>5.1999999999999998E-2</v>
          </cell>
          <cell r="N26">
            <v>2.5054097125782005E-3</v>
          </cell>
          <cell r="O26">
            <v>0</v>
          </cell>
          <cell r="P26">
            <v>7.0000000000000007E-2</v>
          </cell>
          <cell r="Q26">
            <v>4.2999999999999997E-2</v>
          </cell>
          <cell r="R26">
            <v>0.05</v>
          </cell>
          <cell r="S26">
            <v>0.03</v>
          </cell>
        </row>
        <row r="27">
          <cell r="A27">
            <v>12012</v>
          </cell>
          <cell r="B27" t="str">
            <v>Lay's Clsssic</v>
          </cell>
          <cell r="C27" t="str">
            <v>30 B / 120g</v>
          </cell>
          <cell r="D27">
            <v>120</v>
          </cell>
          <cell r="E27">
            <v>24</v>
          </cell>
          <cell r="F27" t="str">
            <v>30</v>
          </cell>
          <cell r="G27">
            <v>0.1</v>
          </cell>
          <cell r="H27">
            <v>605.61</v>
          </cell>
          <cell r="I27">
            <v>29.7</v>
          </cell>
          <cell r="J27">
            <v>6.2</v>
          </cell>
          <cell r="K27">
            <v>15.1</v>
          </cell>
          <cell r="L27">
            <v>0.80735694257485757</v>
          </cell>
          <cell r="M27">
            <v>5.1999999999999998E-2</v>
          </cell>
          <cell r="N27">
            <v>2.5054097125782005E-3</v>
          </cell>
          <cell r="O27">
            <v>0</v>
          </cell>
          <cell r="P27">
            <v>7.0000000000000007E-2</v>
          </cell>
          <cell r="Q27">
            <v>2.5999999999999999E-2</v>
          </cell>
          <cell r="R27">
            <v>0.108</v>
          </cell>
          <cell r="S27">
            <v>0.01</v>
          </cell>
        </row>
        <row r="28">
          <cell r="A28">
            <v>12013</v>
          </cell>
          <cell r="B28" t="str">
            <v>Lay's Clsssic</v>
          </cell>
          <cell r="C28" t="str">
            <v>45 B / 150g</v>
          </cell>
          <cell r="D28">
            <v>150</v>
          </cell>
          <cell r="E28">
            <v>18</v>
          </cell>
          <cell r="F28" t="str">
            <v>45</v>
          </cell>
          <cell r="G28">
            <v>0.1</v>
          </cell>
          <cell r="H28">
            <v>681.31</v>
          </cell>
          <cell r="I28">
            <v>29.7</v>
          </cell>
          <cell r="J28">
            <v>6.2</v>
          </cell>
          <cell r="K28">
            <v>15.1</v>
          </cell>
          <cell r="L28">
            <v>0.80735694257485757</v>
          </cell>
          <cell r="M28">
            <v>5.1999999999999998E-2</v>
          </cell>
          <cell r="N28">
            <v>2.5054097125782005E-3</v>
          </cell>
          <cell r="O28">
            <v>0</v>
          </cell>
          <cell r="P28">
            <v>7.0000000000000007E-2</v>
          </cell>
          <cell r="Q28">
            <v>0.08</v>
          </cell>
          <cell r="R28">
            <v>3.3000000000000002E-2</v>
          </cell>
          <cell r="S28">
            <v>1.2999999999999999E-2</v>
          </cell>
        </row>
        <row r="29">
          <cell r="A29">
            <v>12014</v>
          </cell>
          <cell r="B29" t="str">
            <v>Lay's Clsssic</v>
          </cell>
          <cell r="C29" t="str">
            <v>30 B / 96g</v>
          </cell>
          <cell r="D29">
            <v>96</v>
          </cell>
          <cell r="E29">
            <v>24</v>
          </cell>
          <cell r="F29" t="str">
            <v>30</v>
          </cell>
          <cell r="G29">
            <v>0.1</v>
          </cell>
          <cell r="H29">
            <v>605.61</v>
          </cell>
          <cell r="I29">
            <v>29.7</v>
          </cell>
          <cell r="J29">
            <v>6.2</v>
          </cell>
          <cell r="K29">
            <v>15.1</v>
          </cell>
          <cell r="L29">
            <v>0.80735694257485757</v>
          </cell>
          <cell r="M29">
            <v>5.1999999999999998E-2</v>
          </cell>
          <cell r="N29">
            <v>2.5054097125782005E-3</v>
          </cell>
          <cell r="O29">
            <v>0</v>
          </cell>
          <cell r="P29">
            <v>7.0000000000000007E-2</v>
          </cell>
          <cell r="Q29">
            <v>2.5999999999999999E-2</v>
          </cell>
          <cell r="R29">
            <v>0.108</v>
          </cell>
          <cell r="S29">
            <v>0.01</v>
          </cell>
        </row>
        <row r="30">
          <cell r="A30">
            <v>13000</v>
          </cell>
          <cell r="B30" t="str">
            <v>Lay's Smile</v>
          </cell>
        </row>
        <row r="31">
          <cell r="A31">
            <v>13008</v>
          </cell>
          <cell r="B31" t="str">
            <v>Lay's Smile</v>
          </cell>
          <cell r="C31" t="str">
            <v>10 B / 30g - Smile</v>
          </cell>
          <cell r="D31">
            <v>30</v>
          </cell>
          <cell r="E31">
            <v>48</v>
          </cell>
          <cell r="F31" t="str">
            <v>10</v>
          </cell>
          <cell r="G31">
            <v>0.14169999999999999</v>
          </cell>
          <cell r="H31">
            <v>385.03</v>
          </cell>
          <cell r="I31">
            <v>29.7</v>
          </cell>
          <cell r="J31">
            <v>6.2</v>
          </cell>
          <cell r="K31">
            <v>15.1</v>
          </cell>
          <cell r="L31">
            <v>0.80735694257485757</v>
          </cell>
          <cell r="M31">
            <v>5.1999999999999998E-2</v>
          </cell>
          <cell r="N31">
            <v>2.5054097125782005E-3</v>
          </cell>
          <cell r="O31">
            <v>0</v>
          </cell>
          <cell r="P31">
            <v>7.0000000000000007E-2</v>
          </cell>
          <cell r="Q31">
            <v>5.1999999999999998E-2</v>
          </cell>
          <cell r="R31">
            <v>0</v>
          </cell>
          <cell r="S31">
            <v>2.5000000000000001E-2</v>
          </cell>
        </row>
        <row r="32">
          <cell r="A32">
            <v>13009</v>
          </cell>
          <cell r="B32" t="str">
            <v>Lay's Smile</v>
          </cell>
          <cell r="C32" t="str">
            <v>25 B / 80g - Smile</v>
          </cell>
          <cell r="D32">
            <v>80</v>
          </cell>
          <cell r="E32">
            <v>24</v>
          </cell>
          <cell r="F32" t="str">
            <v>25</v>
          </cell>
          <cell r="G32">
            <v>0.1</v>
          </cell>
          <cell r="H32">
            <v>504.67</v>
          </cell>
          <cell r="I32">
            <v>29.7</v>
          </cell>
          <cell r="J32">
            <v>6.2</v>
          </cell>
          <cell r="K32">
            <v>15.1</v>
          </cell>
          <cell r="L32">
            <v>0.80735694257485757</v>
          </cell>
          <cell r="M32">
            <v>5.1999999999999998E-2</v>
          </cell>
          <cell r="N32">
            <v>2.5054097125782005E-3</v>
          </cell>
          <cell r="O32">
            <v>0</v>
          </cell>
          <cell r="P32">
            <v>7.0000000000000007E-2</v>
          </cell>
          <cell r="Q32">
            <v>2.5999999999999999E-2</v>
          </cell>
          <cell r="R32">
            <v>0</v>
          </cell>
          <cell r="S32">
            <v>2.5000000000000001E-2</v>
          </cell>
        </row>
        <row r="33">
          <cell r="A33">
            <v>13108</v>
          </cell>
          <cell r="B33" t="str">
            <v>Lay's Clsssic</v>
          </cell>
          <cell r="C33" t="str">
            <v>10 B / 30g - Smile</v>
          </cell>
          <cell r="D33">
            <v>30</v>
          </cell>
          <cell r="E33">
            <v>48</v>
          </cell>
          <cell r="F33" t="str">
            <v>10</v>
          </cell>
          <cell r="G33">
            <v>0.14169999999999999</v>
          </cell>
          <cell r="H33">
            <v>385.03</v>
          </cell>
          <cell r="I33">
            <v>29.7</v>
          </cell>
          <cell r="J33">
            <v>6.2</v>
          </cell>
          <cell r="K33">
            <v>15.1</v>
          </cell>
          <cell r="L33">
            <v>0.80735694257485757</v>
          </cell>
          <cell r="M33">
            <v>5.1999999999999998E-2</v>
          </cell>
          <cell r="N33">
            <v>2.5054097125782005E-3</v>
          </cell>
          <cell r="O33">
            <v>0</v>
          </cell>
          <cell r="P33">
            <v>7.0000000000000007E-2</v>
          </cell>
          <cell r="Q33">
            <v>5.1999999999999998E-2</v>
          </cell>
          <cell r="R33">
            <v>0</v>
          </cell>
          <cell r="S33">
            <v>2.5000000000000001E-2</v>
          </cell>
        </row>
        <row r="34">
          <cell r="A34">
            <v>13109</v>
          </cell>
          <cell r="B34" t="str">
            <v>Lay's Clsssic</v>
          </cell>
          <cell r="C34" t="str">
            <v>25 B / 80g - Smile</v>
          </cell>
          <cell r="D34">
            <v>80</v>
          </cell>
          <cell r="E34">
            <v>24</v>
          </cell>
          <cell r="F34" t="str">
            <v>25</v>
          </cell>
          <cell r="G34">
            <v>0.1</v>
          </cell>
          <cell r="H34">
            <v>504.67</v>
          </cell>
          <cell r="I34">
            <v>29.7</v>
          </cell>
          <cell r="J34">
            <v>6.2</v>
          </cell>
          <cell r="K34">
            <v>15.1</v>
          </cell>
          <cell r="L34">
            <v>0.80735694257485757</v>
          </cell>
          <cell r="M34">
            <v>5.1999999999999998E-2</v>
          </cell>
          <cell r="N34">
            <v>2.5054097125782005E-3</v>
          </cell>
          <cell r="O34">
            <v>0</v>
          </cell>
          <cell r="P34">
            <v>7.0000000000000007E-2</v>
          </cell>
          <cell r="Q34">
            <v>2.5999999999999999E-2</v>
          </cell>
          <cell r="R34">
            <v>0</v>
          </cell>
          <cell r="S34">
            <v>2.5000000000000001E-2</v>
          </cell>
        </row>
        <row r="35">
          <cell r="A35">
            <v>14000</v>
          </cell>
          <cell r="B35" t="str">
            <v>Mun Mun</v>
          </cell>
        </row>
        <row r="36">
          <cell r="A36">
            <v>14001</v>
          </cell>
          <cell r="B36" t="str">
            <v>Mun Mun</v>
          </cell>
          <cell r="C36" t="str">
            <v>5 B  / 16g</v>
          </cell>
          <cell r="D36">
            <v>16</v>
          </cell>
          <cell r="E36">
            <v>72</v>
          </cell>
          <cell r="F36">
            <v>5</v>
          </cell>
          <cell r="G36">
            <v>0.16669999999999999</v>
          </cell>
          <cell r="H36">
            <v>280.36</v>
          </cell>
          <cell r="I36">
            <v>29.7</v>
          </cell>
          <cell r="J36">
            <v>6.2</v>
          </cell>
          <cell r="K36">
            <v>15.1</v>
          </cell>
          <cell r="L36">
            <v>0.80735694257485757</v>
          </cell>
          <cell r="M36">
            <v>0.05</v>
          </cell>
          <cell r="N36">
            <v>2.5054097125782005E-3</v>
          </cell>
          <cell r="O36">
            <v>0</v>
          </cell>
          <cell r="P36">
            <v>7.0000000000000007E-2</v>
          </cell>
        </row>
        <row r="37">
          <cell r="A37">
            <v>14001</v>
          </cell>
          <cell r="B37" t="str">
            <v>Mun Mun</v>
          </cell>
          <cell r="C37" t="str">
            <v>20 B  / 90g</v>
          </cell>
          <cell r="D37">
            <v>90</v>
          </cell>
          <cell r="E37">
            <v>24</v>
          </cell>
          <cell r="F37">
            <v>20</v>
          </cell>
          <cell r="G37">
            <v>0.1</v>
          </cell>
          <cell r="H37">
            <v>403.74</v>
          </cell>
          <cell r="I37">
            <v>29.7</v>
          </cell>
          <cell r="J37">
            <v>6.2</v>
          </cell>
          <cell r="K37">
            <v>15.1</v>
          </cell>
          <cell r="L37">
            <v>0.80735694257485757</v>
          </cell>
          <cell r="M37">
            <v>0.05</v>
          </cell>
          <cell r="N37">
            <v>2.5054097125782005E-3</v>
          </cell>
          <cell r="O37">
            <v>0</v>
          </cell>
          <cell r="P37">
            <v>7.0000000000000007E-2</v>
          </cell>
        </row>
        <row r="38">
          <cell r="A38">
            <v>20000</v>
          </cell>
          <cell r="B38" t="str">
            <v>CHEETOS</v>
          </cell>
        </row>
        <row r="39">
          <cell r="A39">
            <v>21000</v>
          </cell>
          <cell r="B39" t="str">
            <v>CHEETOS FCP</v>
          </cell>
        </row>
        <row r="40">
          <cell r="A40">
            <v>21001</v>
          </cell>
          <cell r="B40" t="str">
            <v>CHEETOS FCP</v>
          </cell>
          <cell r="C40" t="str">
            <v>5 B  / 18g</v>
          </cell>
          <cell r="D40">
            <v>18</v>
          </cell>
          <cell r="E40">
            <v>96</v>
          </cell>
          <cell r="F40">
            <v>5</v>
          </cell>
          <cell r="G40">
            <v>0.16669999999999999</v>
          </cell>
          <cell r="H40">
            <v>373.82</v>
          </cell>
          <cell r="I40">
            <v>17.8</v>
          </cell>
          <cell r="J40">
            <v>4.7</v>
          </cell>
          <cell r="K40">
            <v>15.1</v>
          </cell>
          <cell r="L40">
            <v>0.80735694257485757</v>
          </cell>
          <cell r="M40">
            <v>0.05</v>
          </cell>
          <cell r="N40">
            <v>2.5054097125782005E-3</v>
          </cell>
          <cell r="O40">
            <v>0.01</v>
          </cell>
          <cell r="P40">
            <v>7.0000000000000007E-2</v>
          </cell>
          <cell r="Q40">
            <v>4.0172727272727284E-2</v>
          </cell>
          <cell r="R40">
            <v>1.3090909090909092E-2</v>
          </cell>
          <cell r="S40">
            <v>2.6181818181818185E-2</v>
          </cell>
        </row>
        <row r="41">
          <cell r="A41">
            <v>21002</v>
          </cell>
          <cell r="B41" t="str">
            <v>CHEETOS FCP</v>
          </cell>
          <cell r="C41" t="str">
            <v>5 B  / 20g</v>
          </cell>
          <cell r="D41">
            <v>20</v>
          </cell>
          <cell r="E41">
            <v>96</v>
          </cell>
          <cell r="F41">
            <v>5</v>
          </cell>
          <cell r="G41">
            <v>0.16669999999999999</v>
          </cell>
          <cell r="H41">
            <v>373.82</v>
          </cell>
          <cell r="I41">
            <v>17.8</v>
          </cell>
          <cell r="J41">
            <v>4.7</v>
          </cell>
          <cell r="K41">
            <v>15.1</v>
          </cell>
          <cell r="L41">
            <v>0.80735694257485757</v>
          </cell>
          <cell r="M41">
            <v>0.05</v>
          </cell>
          <cell r="N41">
            <v>2.5054097125782005E-3</v>
          </cell>
          <cell r="O41">
            <v>0.01</v>
          </cell>
          <cell r="P41">
            <v>7.0000000000000007E-2</v>
          </cell>
          <cell r="Q41">
            <v>4.0172727272727284E-2</v>
          </cell>
          <cell r="R41">
            <v>1.3090909090909092E-2</v>
          </cell>
          <cell r="S41">
            <v>2.6181818181818185E-2</v>
          </cell>
        </row>
        <row r="42">
          <cell r="A42">
            <v>21003</v>
          </cell>
          <cell r="B42" t="str">
            <v>CHEETOS FCP</v>
          </cell>
          <cell r="C42" t="str">
            <v>10 B  / 45g</v>
          </cell>
          <cell r="D42">
            <v>45</v>
          </cell>
          <cell r="E42">
            <v>48</v>
          </cell>
          <cell r="F42">
            <v>10</v>
          </cell>
          <cell r="G42">
            <v>0.14169999999999999</v>
          </cell>
          <cell r="H42">
            <v>385.03</v>
          </cell>
          <cell r="I42">
            <v>17.8</v>
          </cell>
          <cell r="J42">
            <v>4.7</v>
          </cell>
          <cell r="K42">
            <v>15.1</v>
          </cell>
          <cell r="L42">
            <v>0.80735694257485757</v>
          </cell>
          <cell r="M42">
            <v>0.05</v>
          </cell>
          <cell r="N42">
            <v>2.5054097125782005E-3</v>
          </cell>
          <cell r="O42">
            <v>0.01</v>
          </cell>
          <cell r="P42">
            <v>7.0000000000000007E-2</v>
          </cell>
          <cell r="Q42">
            <v>5.4285714285714284E-2</v>
          </cell>
          <cell r="R42">
            <v>2.7428571428571431E-2</v>
          </cell>
          <cell r="S42">
            <v>1.2571428571428574E-2</v>
          </cell>
        </row>
        <row r="43">
          <cell r="A43">
            <v>21004</v>
          </cell>
          <cell r="B43" t="str">
            <v>CHEETOS FCP</v>
          </cell>
          <cell r="C43" t="str">
            <v>10 B  / 40g</v>
          </cell>
          <cell r="D43">
            <v>40</v>
          </cell>
          <cell r="E43">
            <v>48</v>
          </cell>
          <cell r="F43">
            <v>10</v>
          </cell>
          <cell r="G43">
            <v>0.14169999999999999</v>
          </cell>
          <cell r="H43">
            <v>385.03</v>
          </cell>
          <cell r="I43">
            <v>17.8</v>
          </cell>
          <cell r="J43">
            <v>4.7</v>
          </cell>
          <cell r="K43">
            <v>15.1</v>
          </cell>
          <cell r="L43">
            <v>0.80735694257485757</v>
          </cell>
          <cell r="M43">
            <v>0.05</v>
          </cell>
          <cell r="N43">
            <v>2.5054097125782005E-3</v>
          </cell>
          <cell r="O43">
            <v>0.01</v>
          </cell>
          <cell r="P43">
            <v>7.0000000000000007E-2</v>
          </cell>
          <cell r="Q43">
            <v>5.4285714285714284E-2</v>
          </cell>
          <cell r="R43">
            <v>2.7428571428571431E-2</v>
          </cell>
          <cell r="S43">
            <v>1.2571428571428574E-2</v>
          </cell>
        </row>
        <row r="44">
          <cell r="A44">
            <v>22000</v>
          </cell>
          <cell r="B44" t="str">
            <v>CHEETOS BCP</v>
          </cell>
        </row>
        <row r="45">
          <cell r="A45">
            <v>22001</v>
          </cell>
          <cell r="B45" t="str">
            <v>CHEETOS BCP</v>
          </cell>
          <cell r="C45" t="str">
            <v>5 B  / 15g</v>
          </cell>
          <cell r="D45">
            <v>15</v>
          </cell>
          <cell r="E45">
            <v>96</v>
          </cell>
          <cell r="F45">
            <v>5</v>
          </cell>
          <cell r="G45">
            <v>0.16669999999999999</v>
          </cell>
          <cell r="H45">
            <v>373.82</v>
          </cell>
          <cell r="I45">
            <v>10.9</v>
          </cell>
          <cell r="J45">
            <v>4.7</v>
          </cell>
          <cell r="K45">
            <v>15.1</v>
          </cell>
          <cell r="L45">
            <v>0.80735694257485757</v>
          </cell>
          <cell r="M45">
            <v>5.1999999999999998E-2</v>
          </cell>
          <cell r="N45">
            <v>2.5054097125782005E-3</v>
          </cell>
          <cell r="O45">
            <v>0.01</v>
          </cell>
          <cell r="P45">
            <v>7.0000000000000007E-2</v>
          </cell>
          <cell r="Q45">
            <v>4.9099999999999998E-2</v>
          </cell>
          <cell r="R45">
            <v>1.6E-2</v>
          </cell>
          <cell r="S45">
            <v>3.2000000000000001E-2</v>
          </cell>
        </row>
        <row r="46">
          <cell r="A46">
            <v>22002</v>
          </cell>
          <cell r="B46" t="str">
            <v>CHEETOS BCP</v>
          </cell>
          <cell r="C46" t="str">
            <v>5 B  / 22g</v>
          </cell>
          <cell r="D46">
            <v>22</v>
          </cell>
          <cell r="E46">
            <v>96</v>
          </cell>
          <cell r="F46">
            <v>5</v>
          </cell>
          <cell r="G46">
            <v>0.16669999999999999</v>
          </cell>
          <cell r="H46">
            <v>373.82</v>
          </cell>
          <cell r="I46">
            <v>10.9</v>
          </cell>
          <cell r="J46">
            <v>4.7</v>
          </cell>
          <cell r="K46">
            <v>15.1</v>
          </cell>
          <cell r="L46">
            <v>0.80735694257485757</v>
          </cell>
          <cell r="M46">
            <v>5.1999999999999998E-2</v>
          </cell>
          <cell r="N46">
            <v>2.5054097125782005E-3</v>
          </cell>
          <cell r="O46">
            <v>0.01</v>
          </cell>
          <cell r="P46">
            <v>7.0000000000000007E-2</v>
          </cell>
          <cell r="Q46">
            <v>4.9099999999999998E-2</v>
          </cell>
          <cell r="R46">
            <v>1.6E-2</v>
          </cell>
          <cell r="S46">
            <v>3.2000000000000001E-2</v>
          </cell>
        </row>
        <row r="47">
          <cell r="A47">
            <v>22003</v>
          </cell>
          <cell r="B47" t="str">
            <v>CHEETOS BCP</v>
          </cell>
          <cell r="C47" t="str">
            <v>10 B  / 45g</v>
          </cell>
          <cell r="D47">
            <v>45</v>
          </cell>
          <cell r="E47">
            <v>48</v>
          </cell>
          <cell r="F47">
            <v>10</v>
          </cell>
          <cell r="G47">
            <v>0.14169999999999999</v>
          </cell>
          <cell r="H47">
            <v>385.03</v>
          </cell>
          <cell r="I47">
            <v>10.9</v>
          </cell>
          <cell r="J47">
            <v>4.7</v>
          </cell>
          <cell r="K47">
            <v>15.1</v>
          </cell>
          <cell r="L47">
            <v>0.80735694257485757</v>
          </cell>
          <cell r="M47">
            <v>5.1999999999999998E-2</v>
          </cell>
          <cell r="N47">
            <v>2.5054097125782005E-3</v>
          </cell>
          <cell r="O47">
            <v>0.01</v>
          </cell>
          <cell r="P47">
            <v>7.0000000000000007E-2</v>
          </cell>
          <cell r="Q47">
            <v>4.7500000000000001E-2</v>
          </cell>
          <cell r="R47">
            <v>2.4E-2</v>
          </cell>
          <cell r="S47">
            <v>1.0999999999999999E-2</v>
          </cell>
        </row>
        <row r="48">
          <cell r="A48">
            <v>22004</v>
          </cell>
          <cell r="B48" t="str">
            <v>CHEETOS BCP</v>
          </cell>
          <cell r="C48" t="str">
            <v>10 B  / 35g</v>
          </cell>
          <cell r="D48">
            <v>35</v>
          </cell>
          <cell r="E48">
            <v>48</v>
          </cell>
          <cell r="F48">
            <v>10</v>
          </cell>
          <cell r="G48">
            <v>0.14169999999999999</v>
          </cell>
          <cell r="H48">
            <v>385.03</v>
          </cell>
          <cell r="I48">
            <v>10.9</v>
          </cell>
          <cell r="J48">
            <v>4.7</v>
          </cell>
          <cell r="K48">
            <v>15.1</v>
          </cell>
          <cell r="L48">
            <v>0.80735694257485757</v>
          </cell>
          <cell r="M48">
            <v>5.1999999999999998E-2</v>
          </cell>
          <cell r="N48">
            <v>2.5054097125782005E-3</v>
          </cell>
          <cell r="O48">
            <v>0.01</v>
          </cell>
          <cell r="P48">
            <v>7.0000000000000007E-2</v>
          </cell>
          <cell r="Q48">
            <v>4.7500000000000001E-2</v>
          </cell>
          <cell r="R48">
            <v>2.4E-2</v>
          </cell>
          <cell r="S48">
            <v>1.0999999999999999E-2</v>
          </cell>
        </row>
        <row r="49">
          <cell r="A49">
            <v>30000</v>
          </cell>
          <cell r="B49" t="str">
            <v>Twisties</v>
          </cell>
        </row>
        <row r="50">
          <cell r="A50">
            <v>30001</v>
          </cell>
          <cell r="B50" t="str">
            <v>Twisties</v>
          </cell>
          <cell r="C50" t="str">
            <v>5 B  / 20g</v>
          </cell>
          <cell r="D50">
            <v>20</v>
          </cell>
          <cell r="E50">
            <v>72</v>
          </cell>
          <cell r="F50">
            <v>5</v>
          </cell>
          <cell r="G50">
            <v>0.16669999999999999</v>
          </cell>
          <cell r="H50">
            <v>280.36</v>
          </cell>
          <cell r="I50">
            <v>10.9</v>
          </cell>
          <cell r="J50">
            <v>4.7</v>
          </cell>
          <cell r="K50">
            <v>15.1</v>
          </cell>
          <cell r="L50">
            <v>0.80735694257485757</v>
          </cell>
          <cell r="M50">
            <v>0.05</v>
          </cell>
          <cell r="N50">
            <v>2.5054097125782005E-3</v>
          </cell>
          <cell r="O50">
            <v>0.01</v>
          </cell>
          <cell r="P50">
            <v>7.0000000000000007E-2</v>
          </cell>
          <cell r="Q50">
            <v>4.7899999999999998E-2</v>
          </cell>
          <cell r="R50">
            <v>2.4E-2</v>
          </cell>
          <cell r="S50">
            <v>2.5000000000000001E-2</v>
          </cell>
        </row>
        <row r="51">
          <cell r="A51">
            <v>30002</v>
          </cell>
          <cell r="B51" t="str">
            <v>Twisties</v>
          </cell>
          <cell r="C51" t="str">
            <v>10 B  / 40g</v>
          </cell>
          <cell r="D51">
            <v>40</v>
          </cell>
          <cell r="E51">
            <v>48</v>
          </cell>
          <cell r="F51">
            <v>10</v>
          </cell>
          <cell r="G51">
            <v>0.14169999999999999</v>
          </cell>
          <cell r="H51">
            <v>385.03</v>
          </cell>
          <cell r="I51">
            <v>10.9</v>
          </cell>
          <cell r="J51">
            <v>4.7</v>
          </cell>
          <cell r="K51">
            <v>15.1</v>
          </cell>
          <cell r="L51">
            <v>0.80735694257485757</v>
          </cell>
          <cell r="M51">
            <v>0.05</v>
          </cell>
          <cell r="N51">
            <v>2.5054097125782005E-3</v>
          </cell>
          <cell r="O51">
            <v>0.01</v>
          </cell>
          <cell r="P51">
            <v>7.0000000000000007E-2</v>
          </cell>
          <cell r="Q51">
            <v>4.3499999999999997E-2</v>
          </cell>
          <cell r="R51">
            <v>0.03</v>
          </cell>
          <cell r="S51">
            <v>1.3999999999999999E-2</v>
          </cell>
        </row>
        <row r="52">
          <cell r="A52">
            <v>30003</v>
          </cell>
          <cell r="B52" t="str">
            <v>Twisties</v>
          </cell>
          <cell r="C52" t="str">
            <v>20 B  / 90g</v>
          </cell>
          <cell r="D52">
            <v>90</v>
          </cell>
          <cell r="E52">
            <v>24</v>
          </cell>
          <cell r="F52">
            <v>20</v>
          </cell>
          <cell r="G52">
            <v>0.1</v>
          </cell>
          <cell r="H52">
            <v>403.74</v>
          </cell>
          <cell r="I52">
            <v>10.9</v>
          </cell>
          <cell r="J52">
            <v>4.7</v>
          </cell>
          <cell r="K52">
            <v>15.1</v>
          </cell>
          <cell r="L52">
            <v>0.80735694257485757</v>
          </cell>
          <cell r="M52">
            <v>0.05</v>
          </cell>
          <cell r="N52">
            <v>2.5054097125782005E-3</v>
          </cell>
          <cell r="O52">
            <v>0.01</v>
          </cell>
          <cell r="P52">
            <v>7.0000000000000007E-2</v>
          </cell>
          <cell r="Q52">
            <v>5.1799999999999999E-2</v>
          </cell>
          <cell r="R52">
            <v>6.3E-2</v>
          </cell>
          <cell r="S52">
            <v>1.3000000000000001E-2</v>
          </cell>
        </row>
        <row r="53">
          <cell r="A53">
            <v>40000</v>
          </cell>
          <cell r="B53" t="str">
            <v>3D's</v>
          </cell>
        </row>
        <row r="54">
          <cell r="A54">
            <v>41000</v>
          </cell>
          <cell r="B54" t="str">
            <v>3D's Corn</v>
          </cell>
        </row>
        <row r="55">
          <cell r="A55">
            <v>41001</v>
          </cell>
          <cell r="B55" t="str">
            <v>3D's Corn</v>
          </cell>
          <cell r="C55" t="str">
            <v>5 B  / 18g</v>
          </cell>
          <cell r="D55">
            <v>18</v>
          </cell>
          <cell r="E55">
            <v>72</v>
          </cell>
          <cell r="F55">
            <v>5</v>
          </cell>
          <cell r="G55">
            <v>0.16669999999999999</v>
          </cell>
          <cell r="H55">
            <v>280.36</v>
          </cell>
          <cell r="I55">
            <v>33.6</v>
          </cell>
          <cell r="J55">
            <v>4.7</v>
          </cell>
          <cell r="K55">
            <v>15.1</v>
          </cell>
          <cell r="L55">
            <v>0.80735694257485757</v>
          </cell>
          <cell r="M55">
            <v>0.05</v>
          </cell>
          <cell r="N55">
            <v>2.5054097125782005E-3</v>
          </cell>
          <cell r="O55">
            <v>0.04</v>
          </cell>
          <cell r="P55">
            <v>7.0000000000000007E-2</v>
          </cell>
          <cell r="Q55">
            <v>6.2899999999999998E-2</v>
          </cell>
          <cell r="R55">
            <v>3.2000000000000001E-2</v>
          </cell>
          <cell r="S55">
            <v>6.9999999999999993E-3</v>
          </cell>
        </row>
        <row r="56">
          <cell r="A56">
            <v>41002</v>
          </cell>
          <cell r="B56" t="str">
            <v>3D's Corn</v>
          </cell>
          <cell r="C56" t="str">
            <v>10 B  / 36g</v>
          </cell>
          <cell r="D56">
            <v>36</v>
          </cell>
          <cell r="E56">
            <v>48</v>
          </cell>
          <cell r="F56">
            <v>10</v>
          </cell>
          <cell r="G56">
            <v>0.14169999999999999</v>
          </cell>
          <cell r="H56">
            <v>385.03</v>
          </cell>
          <cell r="I56">
            <v>33.6</v>
          </cell>
          <cell r="J56">
            <v>4.7</v>
          </cell>
          <cell r="K56">
            <v>15.1</v>
          </cell>
          <cell r="L56">
            <v>0.80735694257485757</v>
          </cell>
          <cell r="M56">
            <v>0.05</v>
          </cell>
          <cell r="N56">
            <v>2.5054097125782005E-3</v>
          </cell>
          <cell r="O56">
            <v>0.04</v>
          </cell>
          <cell r="P56">
            <v>7.0000000000000007E-2</v>
          </cell>
          <cell r="Q56">
            <v>5.7800000000000004E-2</v>
          </cell>
          <cell r="R56">
            <v>6.9999999999999993E-3</v>
          </cell>
          <cell r="S56">
            <v>3.9E-2</v>
          </cell>
        </row>
        <row r="57">
          <cell r="A57">
            <v>41003</v>
          </cell>
          <cell r="B57" t="str">
            <v>3D's Corn</v>
          </cell>
          <cell r="C57" t="str">
            <v>20 B  / 75g</v>
          </cell>
          <cell r="D57">
            <v>75</v>
          </cell>
          <cell r="E57">
            <v>24</v>
          </cell>
          <cell r="F57">
            <v>20</v>
          </cell>
          <cell r="G57">
            <v>0.1</v>
          </cell>
          <cell r="H57">
            <v>403.74</v>
          </cell>
          <cell r="I57">
            <v>33.6</v>
          </cell>
          <cell r="J57">
            <v>4.7</v>
          </cell>
          <cell r="K57">
            <v>15.1</v>
          </cell>
          <cell r="L57">
            <v>0.80735694257485757</v>
          </cell>
          <cell r="M57">
            <v>0.05</v>
          </cell>
          <cell r="N57">
            <v>2.5054097125782005E-3</v>
          </cell>
          <cell r="O57">
            <v>0.04</v>
          </cell>
          <cell r="P57">
            <v>7.0000000000000007E-2</v>
          </cell>
          <cell r="Q57">
            <v>6.7500000000000004E-2</v>
          </cell>
          <cell r="R57">
            <v>1.2E-2</v>
          </cell>
          <cell r="S57">
            <v>0.04</v>
          </cell>
        </row>
        <row r="58">
          <cell r="A58">
            <v>41004</v>
          </cell>
          <cell r="B58" t="str">
            <v>3D's Corn</v>
          </cell>
          <cell r="C58" t="str">
            <v>5 B  / 20g</v>
          </cell>
          <cell r="D58">
            <v>20</v>
          </cell>
          <cell r="E58">
            <v>72</v>
          </cell>
          <cell r="F58">
            <v>5</v>
          </cell>
          <cell r="G58">
            <v>0.16669999999999999</v>
          </cell>
          <cell r="H58">
            <v>280.36</v>
          </cell>
          <cell r="I58">
            <v>33.6</v>
          </cell>
          <cell r="J58">
            <v>4.7</v>
          </cell>
          <cell r="K58">
            <v>15.1</v>
          </cell>
          <cell r="L58">
            <v>0.80735694257485757</v>
          </cell>
          <cell r="M58">
            <v>0.05</v>
          </cell>
          <cell r="N58">
            <v>2.5054097125782005E-3</v>
          </cell>
          <cell r="O58">
            <v>0.04</v>
          </cell>
          <cell r="P58">
            <v>7.0000000000000007E-2</v>
          </cell>
          <cell r="Q58">
            <v>6.2899999999999998E-2</v>
          </cell>
          <cell r="R58">
            <v>3.2000000000000001E-2</v>
          </cell>
          <cell r="S58">
            <v>6.9999999999999993E-3</v>
          </cell>
        </row>
        <row r="59">
          <cell r="A59">
            <v>41005</v>
          </cell>
          <cell r="B59" t="str">
            <v>3D's Corn</v>
          </cell>
          <cell r="C59" t="str">
            <v>10 B  / 40g</v>
          </cell>
          <cell r="D59">
            <v>40</v>
          </cell>
          <cell r="E59">
            <v>48</v>
          </cell>
          <cell r="F59">
            <v>10</v>
          </cell>
          <cell r="G59">
            <v>0.14169999999999999</v>
          </cell>
          <cell r="H59">
            <v>385.03</v>
          </cell>
          <cell r="I59">
            <v>33.6</v>
          </cell>
          <cell r="J59">
            <v>4.7</v>
          </cell>
          <cell r="K59">
            <v>15.1</v>
          </cell>
          <cell r="L59">
            <v>0.80735694257485757</v>
          </cell>
          <cell r="M59">
            <v>0.05</v>
          </cell>
          <cell r="N59">
            <v>2.5054097125782005E-3</v>
          </cell>
          <cell r="O59">
            <v>0.04</v>
          </cell>
          <cell r="P59">
            <v>7.0000000000000007E-2</v>
          </cell>
          <cell r="Q59">
            <v>5.7800000000000004E-2</v>
          </cell>
          <cell r="R59">
            <v>6.9999999999999993E-3</v>
          </cell>
          <cell r="S59">
            <v>3.9E-2</v>
          </cell>
        </row>
        <row r="60">
          <cell r="A60">
            <v>42000</v>
          </cell>
          <cell r="B60" t="str">
            <v>3D's Perf.</v>
          </cell>
        </row>
        <row r="61">
          <cell r="A61">
            <v>42001</v>
          </cell>
          <cell r="B61" t="str">
            <v>3D's Perf.</v>
          </cell>
          <cell r="C61" t="str">
            <v>5 B  / 17g</v>
          </cell>
          <cell r="D61">
            <v>17</v>
          </cell>
          <cell r="E61">
            <v>72</v>
          </cell>
          <cell r="F61">
            <v>5</v>
          </cell>
          <cell r="G61">
            <v>0.16669999999999999</v>
          </cell>
          <cell r="H61">
            <v>280.36</v>
          </cell>
          <cell r="I61">
            <v>33.6</v>
          </cell>
          <cell r="J61">
            <v>4.7</v>
          </cell>
          <cell r="K61">
            <v>15.1</v>
          </cell>
          <cell r="L61">
            <v>0.80735694257485757</v>
          </cell>
          <cell r="M61">
            <v>0.05</v>
          </cell>
          <cell r="N61">
            <v>2.5054097125782005E-3</v>
          </cell>
          <cell r="O61">
            <v>0.04</v>
          </cell>
          <cell r="P61">
            <v>7.0000000000000007E-2</v>
          </cell>
          <cell r="Q61">
            <v>6.2899999999999998E-2</v>
          </cell>
          <cell r="R61">
            <v>3.2000000000000001E-2</v>
          </cell>
          <cell r="S61">
            <v>6.9999999999999993E-3</v>
          </cell>
        </row>
        <row r="62">
          <cell r="A62">
            <v>42002</v>
          </cell>
          <cell r="B62" t="str">
            <v>3D's Perf.</v>
          </cell>
          <cell r="C62" t="str">
            <v>10 B  / 34g</v>
          </cell>
          <cell r="D62">
            <v>34</v>
          </cell>
          <cell r="E62">
            <v>48</v>
          </cell>
          <cell r="F62">
            <v>10</v>
          </cell>
          <cell r="G62">
            <v>0.14169999999999999</v>
          </cell>
          <cell r="H62">
            <v>385.03</v>
          </cell>
          <cell r="I62">
            <v>33.6</v>
          </cell>
          <cell r="J62">
            <v>4.7</v>
          </cell>
          <cell r="K62">
            <v>15.1</v>
          </cell>
          <cell r="L62">
            <v>0.80735694257485757</v>
          </cell>
          <cell r="M62">
            <v>0.05</v>
          </cell>
          <cell r="N62">
            <v>2.5054097125782005E-3</v>
          </cell>
          <cell r="O62">
            <v>0.04</v>
          </cell>
          <cell r="P62">
            <v>7.0000000000000007E-2</v>
          </cell>
          <cell r="Q62">
            <v>5.7800000000000004E-2</v>
          </cell>
          <cell r="R62">
            <v>6.9999999999999993E-3</v>
          </cell>
          <cell r="S62">
            <v>3.9E-2</v>
          </cell>
        </row>
        <row r="63">
          <cell r="A63">
            <v>42003</v>
          </cell>
          <cell r="B63" t="str">
            <v>3D's Perf.</v>
          </cell>
          <cell r="C63" t="str">
            <v>20 B  / 75g</v>
          </cell>
          <cell r="D63">
            <v>75</v>
          </cell>
          <cell r="E63">
            <v>24</v>
          </cell>
          <cell r="F63">
            <v>20</v>
          </cell>
          <cell r="G63">
            <v>0.1</v>
          </cell>
          <cell r="H63">
            <v>403.74</v>
          </cell>
          <cell r="I63">
            <v>33.6</v>
          </cell>
          <cell r="J63">
            <v>4.7</v>
          </cell>
          <cell r="K63">
            <v>15.1</v>
          </cell>
          <cell r="L63">
            <v>0.80735694257485757</v>
          </cell>
          <cell r="M63">
            <v>0.05</v>
          </cell>
          <cell r="N63">
            <v>2.5054097125782005E-3</v>
          </cell>
          <cell r="O63">
            <v>0.04</v>
          </cell>
          <cell r="P63">
            <v>7.0000000000000007E-2</v>
          </cell>
          <cell r="Q63">
            <v>6.7500000000000004E-2</v>
          </cell>
          <cell r="R63">
            <v>1.2E-2</v>
          </cell>
          <cell r="S63">
            <v>0.04</v>
          </cell>
        </row>
        <row r="64">
          <cell r="A64">
            <v>42004</v>
          </cell>
          <cell r="B64" t="str">
            <v>3D's Perf.</v>
          </cell>
          <cell r="C64" t="str">
            <v>5 B  / 20g</v>
          </cell>
          <cell r="D64">
            <v>20</v>
          </cell>
          <cell r="E64">
            <v>72</v>
          </cell>
          <cell r="F64">
            <v>5</v>
          </cell>
          <cell r="G64">
            <v>0.16669999999999999</v>
          </cell>
          <cell r="H64">
            <v>280.36</v>
          </cell>
          <cell r="I64">
            <v>33.6</v>
          </cell>
          <cell r="J64">
            <v>4.7</v>
          </cell>
          <cell r="K64">
            <v>15.1</v>
          </cell>
          <cell r="L64">
            <v>0.80735694257485757</v>
          </cell>
          <cell r="M64">
            <v>0.05</v>
          </cell>
          <cell r="N64">
            <v>2.5054097125782005E-3</v>
          </cell>
          <cell r="O64">
            <v>0.04</v>
          </cell>
          <cell r="P64">
            <v>7.0000000000000007E-2</v>
          </cell>
          <cell r="Q64">
            <v>6.2899999999999998E-2</v>
          </cell>
          <cell r="R64">
            <v>3.2000000000000001E-2</v>
          </cell>
          <cell r="S64">
            <v>6.9999999999999993E-3</v>
          </cell>
        </row>
        <row r="65">
          <cell r="A65">
            <v>42005</v>
          </cell>
          <cell r="B65" t="str">
            <v>3D's Perf.</v>
          </cell>
          <cell r="C65" t="str">
            <v>10 B  / 40g</v>
          </cell>
          <cell r="D65">
            <v>40</v>
          </cell>
          <cell r="E65">
            <v>48</v>
          </cell>
          <cell r="F65">
            <v>10</v>
          </cell>
          <cell r="G65">
            <v>0.14169999999999999</v>
          </cell>
          <cell r="H65">
            <v>385.03</v>
          </cell>
          <cell r="I65">
            <v>33.6</v>
          </cell>
          <cell r="J65">
            <v>4.7</v>
          </cell>
          <cell r="K65">
            <v>15.1</v>
          </cell>
          <cell r="L65">
            <v>0.80735694257485757</v>
          </cell>
          <cell r="M65">
            <v>0.05</v>
          </cell>
          <cell r="N65">
            <v>2.5054097125782005E-3</v>
          </cell>
          <cell r="O65">
            <v>0.04</v>
          </cell>
          <cell r="P65">
            <v>7.0000000000000007E-2</v>
          </cell>
          <cell r="Q65">
            <v>5.7800000000000004E-2</v>
          </cell>
          <cell r="R65">
            <v>6.9999999999999993E-3</v>
          </cell>
          <cell r="S65">
            <v>3.9E-2</v>
          </cell>
        </row>
        <row r="66">
          <cell r="A66">
            <v>50000</v>
          </cell>
          <cell r="B66" t="str">
            <v>New Product</v>
          </cell>
        </row>
        <row r="67">
          <cell r="A67">
            <v>51000</v>
          </cell>
          <cell r="B67" t="str">
            <v>Tawan</v>
          </cell>
        </row>
        <row r="68">
          <cell r="A68">
            <v>51001</v>
          </cell>
          <cell r="B68" t="str">
            <v>Tawan</v>
          </cell>
          <cell r="C68" t="str">
            <v>5 B  / 25g</v>
          </cell>
          <cell r="D68">
            <v>25</v>
          </cell>
          <cell r="E68">
            <v>72</v>
          </cell>
          <cell r="F68">
            <v>5</v>
          </cell>
          <cell r="G68">
            <v>0.16669999999999999</v>
          </cell>
          <cell r="H68">
            <v>280.36</v>
          </cell>
          <cell r="I68">
            <v>33.6</v>
          </cell>
          <cell r="J68">
            <v>4.7</v>
          </cell>
          <cell r="K68">
            <v>15.1</v>
          </cell>
          <cell r="L68">
            <v>0.80735694257485757</v>
          </cell>
          <cell r="M68">
            <v>0.05</v>
          </cell>
          <cell r="N68">
            <v>2.5054097125782005E-3</v>
          </cell>
          <cell r="O68">
            <v>0.04</v>
          </cell>
          <cell r="P68">
            <v>7.0000000000000007E-2</v>
          </cell>
          <cell r="Q68">
            <v>0.09</v>
          </cell>
          <cell r="R68">
            <v>5.0000000000000001E-3</v>
          </cell>
          <cell r="S68">
            <v>2.5000000000000001E-2</v>
          </cell>
        </row>
        <row r="69">
          <cell r="A69">
            <v>51002</v>
          </cell>
          <cell r="B69" t="str">
            <v>Tawan</v>
          </cell>
          <cell r="C69" t="str">
            <v>10 B  / 50g</v>
          </cell>
          <cell r="D69">
            <v>50</v>
          </cell>
          <cell r="E69">
            <v>24</v>
          </cell>
          <cell r="F69">
            <v>10</v>
          </cell>
          <cell r="G69">
            <v>0.14169999999999999</v>
          </cell>
          <cell r="H69">
            <v>192.52</v>
          </cell>
          <cell r="I69">
            <v>33.6</v>
          </cell>
          <cell r="J69">
            <v>4.7</v>
          </cell>
          <cell r="K69">
            <v>15.1</v>
          </cell>
          <cell r="L69">
            <v>0.80735694257485757</v>
          </cell>
          <cell r="M69">
            <v>0.05</v>
          </cell>
          <cell r="N69">
            <v>2.5054097125782005E-3</v>
          </cell>
          <cell r="O69">
            <v>0.04</v>
          </cell>
          <cell r="P69">
            <v>7.0000000000000007E-2</v>
          </cell>
          <cell r="Q69">
            <v>4.3499999999999997E-2</v>
          </cell>
          <cell r="R69">
            <v>0.03</v>
          </cell>
          <cell r="S69">
            <v>2.5000000000000001E-2</v>
          </cell>
        </row>
        <row r="70">
          <cell r="A70">
            <v>51003</v>
          </cell>
          <cell r="B70" t="str">
            <v>Tawan</v>
          </cell>
          <cell r="C70" t="str">
            <v>10 B  / 55g</v>
          </cell>
          <cell r="D70">
            <v>55</v>
          </cell>
          <cell r="E70">
            <v>24</v>
          </cell>
          <cell r="F70">
            <v>10</v>
          </cell>
          <cell r="G70">
            <v>0.14169999999999999</v>
          </cell>
          <cell r="H70">
            <v>192.52</v>
          </cell>
          <cell r="I70">
            <v>33.6</v>
          </cell>
          <cell r="J70">
            <v>4.7</v>
          </cell>
          <cell r="K70">
            <v>15.1</v>
          </cell>
          <cell r="L70">
            <v>0.80735694257485757</v>
          </cell>
          <cell r="M70">
            <v>0.05</v>
          </cell>
          <cell r="N70">
            <v>2.5054097125782005E-3</v>
          </cell>
          <cell r="O70">
            <v>0.04</v>
          </cell>
          <cell r="P70">
            <v>7.0000000000000007E-2</v>
          </cell>
          <cell r="Q70">
            <v>4.3499999999999997E-2</v>
          </cell>
          <cell r="R70">
            <v>0.03</v>
          </cell>
          <cell r="S70">
            <v>2.5000000000000001E-2</v>
          </cell>
        </row>
        <row r="71">
          <cell r="A71">
            <v>52000</v>
          </cell>
          <cell r="B71" t="str">
            <v>Fuji</v>
          </cell>
        </row>
        <row r="72">
          <cell r="A72">
            <v>52001</v>
          </cell>
          <cell r="B72" t="str">
            <v>Fuji</v>
          </cell>
          <cell r="C72" t="str">
            <v>5 B  / 18g</v>
          </cell>
          <cell r="D72">
            <v>18</v>
          </cell>
          <cell r="E72">
            <v>96</v>
          </cell>
          <cell r="F72">
            <v>5</v>
          </cell>
          <cell r="G72">
            <v>0.16669999999999999</v>
          </cell>
          <cell r="H72">
            <v>373.82</v>
          </cell>
          <cell r="I72">
            <v>10.9</v>
          </cell>
          <cell r="J72">
            <v>4.7</v>
          </cell>
          <cell r="K72">
            <v>15.1</v>
          </cell>
          <cell r="L72">
            <v>0.80735694257485757</v>
          </cell>
          <cell r="M72">
            <v>0.05</v>
          </cell>
          <cell r="N72">
            <v>2.5054097125782005E-3</v>
          </cell>
          <cell r="O72">
            <v>0.04</v>
          </cell>
          <cell r="P72">
            <v>7.0000000000000007E-2</v>
          </cell>
          <cell r="Q72">
            <v>4.9099999999999998E-2</v>
          </cell>
          <cell r="R72">
            <v>1.6E-2</v>
          </cell>
          <cell r="S72">
            <v>3.2000000000000001E-2</v>
          </cell>
        </row>
        <row r="73">
          <cell r="A73">
            <v>52002</v>
          </cell>
          <cell r="B73" t="str">
            <v>Fuji</v>
          </cell>
          <cell r="C73" t="str">
            <v>10 B  / 40g</v>
          </cell>
          <cell r="D73">
            <v>40</v>
          </cell>
          <cell r="E73">
            <v>48</v>
          </cell>
          <cell r="F73">
            <v>10</v>
          </cell>
          <cell r="G73">
            <v>0.14169999999999999</v>
          </cell>
          <cell r="H73">
            <v>385.03</v>
          </cell>
          <cell r="I73">
            <v>10.9</v>
          </cell>
          <cell r="J73">
            <v>4.7</v>
          </cell>
          <cell r="K73">
            <v>15.1</v>
          </cell>
          <cell r="L73">
            <v>0.80735694257485757</v>
          </cell>
          <cell r="M73">
            <v>0.05</v>
          </cell>
          <cell r="N73">
            <v>2.5054097125782005E-3</v>
          </cell>
          <cell r="O73">
            <v>0.04</v>
          </cell>
          <cell r="P73">
            <v>7.0000000000000007E-2</v>
          </cell>
          <cell r="Q73">
            <v>4.7500000000000001E-2</v>
          </cell>
          <cell r="R73">
            <v>2.4E-2</v>
          </cell>
          <cell r="S73">
            <v>1.0999999999999999E-2</v>
          </cell>
        </row>
        <row r="74">
          <cell r="A74">
            <v>52003</v>
          </cell>
          <cell r="B74" t="str">
            <v>Fuji</v>
          </cell>
          <cell r="C74" t="str">
            <v>5 B  / 20g</v>
          </cell>
          <cell r="D74">
            <v>20</v>
          </cell>
          <cell r="E74">
            <v>96</v>
          </cell>
          <cell r="F74">
            <v>5</v>
          </cell>
          <cell r="G74">
            <v>0.16669999999999999</v>
          </cell>
          <cell r="H74">
            <v>373.82</v>
          </cell>
          <cell r="I74">
            <v>10.9</v>
          </cell>
          <cell r="J74">
            <v>4.7</v>
          </cell>
          <cell r="K74">
            <v>15.1</v>
          </cell>
          <cell r="L74">
            <v>0.80735694257485757</v>
          </cell>
          <cell r="M74">
            <v>0.05</v>
          </cell>
          <cell r="N74">
            <v>2.5054097125782005E-3</v>
          </cell>
          <cell r="O74">
            <v>0.04</v>
          </cell>
          <cell r="P74">
            <v>7.0000000000000007E-2</v>
          </cell>
          <cell r="Q74">
            <v>4.9099999999999998E-2</v>
          </cell>
          <cell r="R74">
            <v>1.6E-2</v>
          </cell>
          <cell r="S74">
            <v>3.2000000000000001E-2</v>
          </cell>
        </row>
        <row r="75">
          <cell r="A75">
            <v>52004</v>
          </cell>
          <cell r="B75" t="str">
            <v>Fuji</v>
          </cell>
          <cell r="C75" t="str">
            <v>10 B  / 45g</v>
          </cell>
          <cell r="D75">
            <v>45</v>
          </cell>
          <cell r="E75">
            <v>48</v>
          </cell>
          <cell r="F75">
            <v>10</v>
          </cell>
          <cell r="G75">
            <v>0.14169999999999999</v>
          </cell>
          <cell r="H75">
            <v>385.03</v>
          </cell>
          <cell r="I75">
            <v>10.9</v>
          </cell>
          <cell r="J75">
            <v>4.7</v>
          </cell>
          <cell r="K75">
            <v>15.1</v>
          </cell>
          <cell r="L75">
            <v>0.80735694257485757</v>
          </cell>
          <cell r="M75">
            <v>0.05</v>
          </cell>
          <cell r="N75">
            <v>2.5054097125782005E-3</v>
          </cell>
          <cell r="O75">
            <v>0.04</v>
          </cell>
          <cell r="P75">
            <v>7.0000000000000007E-2</v>
          </cell>
          <cell r="Q75">
            <v>4.7500000000000001E-2</v>
          </cell>
          <cell r="R75">
            <v>2.4E-2</v>
          </cell>
          <cell r="S75">
            <v>1.0999999999999999E-2</v>
          </cell>
        </row>
        <row r="76">
          <cell r="A76">
            <v>52005</v>
          </cell>
          <cell r="B76" t="str">
            <v>Fuji</v>
          </cell>
          <cell r="C76" t="str">
            <v>5 B  / 40g</v>
          </cell>
          <cell r="D76">
            <v>40</v>
          </cell>
          <cell r="E76">
            <v>72</v>
          </cell>
          <cell r="F76">
            <v>5</v>
          </cell>
          <cell r="G76">
            <v>0.16669999999999999</v>
          </cell>
          <cell r="H76">
            <v>280.36</v>
          </cell>
          <cell r="I76">
            <v>10.9</v>
          </cell>
          <cell r="J76">
            <v>4.7</v>
          </cell>
          <cell r="K76">
            <v>15.1</v>
          </cell>
          <cell r="L76">
            <v>0.80735694257485757</v>
          </cell>
          <cell r="M76">
            <v>0.05</v>
          </cell>
          <cell r="N76">
            <v>2.5054097125782005E-3</v>
          </cell>
          <cell r="O76">
            <v>0.04</v>
          </cell>
          <cell r="P76">
            <v>7.0000000000000007E-2</v>
          </cell>
          <cell r="Q76">
            <v>0.09</v>
          </cell>
          <cell r="R76">
            <v>5.0000000000000001E-3</v>
          </cell>
          <cell r="S76">
            <v>1.0999999999999999E-2</v>
          </cell>
        </row>
      </sheetData>
      <sheetData sheetId="2" refreshError="1">
        <row r="2">
          <cell r="A2" t="str">
            <v>Code</v>
          </cell>
          <cell r="B2" t="str">
            <v>Description</v>
          </cell>
          <cell r="C2" t="str">
            <v>Waste</v>
          </cell>
          <cell r="D2" t="str">
            <v>Unit Price</v>
          </cell>
        </row>
        <row r="3">
          <cell r="C3" t="str">
            <v>(mm.)</v>
          </cell>
          <cell r="D3" t="str">
            <v>(Bht./kg)</v>
          </cell>
        </row>
        <row r="4">
          <cell r="A4">
            <v>10000</v>
          </cell>
          <cell r="B4" t="str">
            <v>Raw Material</v>
          </cell>
        </row>
        <row r="5">
          <cell r="A5">
            <v>10001</v>
          </cell>
          <cell r="B5" t="str">
            <v>Potato</v>
          </cell>
          <cell r="C5">
            <v>0.2</v>
          </cell>
          <cell r="D5">
            <v>16.5</v>
          </cell>
        </row>
        <row r="6">
          <cell r="A6">
            <v>10002</v>
          </cell>
          <cell r="B6" t="str">
            <v>Corn Meal - FCP</v>
          </cell>
          <cell r="C6">
            <v>0.11600000000000001</v>
          </cell>
          <cell r="D6">
            <v>10.1</v>
          </cell>
        </row>
        <row r="7">
          <cell r="A7">
            <v>10003</v>
          </cell>
          <cell r="B7" t="str">
            <v>Corn Meal - BCP</v>
          </cell>
          <cell r="C7">
            <v>0.11600000000000001</v>
          </cell>
          <cell r="D7">
            <v>10.1</v>
          </cell>
        </row>
        <row r="8">
          <cell r="A8">
            <v>10004</v>
          </cell>
          <cell r="B8" t="str">
            <v>Pellet 3D's Corn</v>
          </cell>
          <cell r="C8">
            <v>0.13400000000000001</v>
          </cell>
          <cell r="D8">
            <v>30.4</v>
          </cell>
        </row>
        <row r="9">
          <cell r="A9">
            <v>10005</v>
          </cell>
          <cell r="B9" t="str">
            <v>Pellet 3D's Perf.</v>
          </cell>
          <cell r="C9">
            <v>0.09</v>
          </cell>
          <cell r="D9">
            <v>25.32</v>
          </cell>
        </row>
        <row r="10">
          <cell r="A10">
            <v>10006</v>
          </cell>
          <cell r="B10" t="str">
            <v>Broken Rice</v>
          </cell>
          <cell r="C10">
            <v>0.153</v>
          </cell>
          <cell r="D10">
            <v>10</v>
          </cell>
        </row>
        <row r="11">
          <cell r="A11">
            <v>10007</v>
          </cell>
          <cell r="B11" t="str">
            <v>Pellet - Tawan</v>
          </cell>
          <cell r="C11">
            <v>6.6000000000000003E-2</v>
          </cell>
          <cell r="D11">
            <v>14.069240362545658</v>
          </cell>
        </row>
        <row r="12">
          <cell r="A12">
            <v>10008</v>
          </cell>
          <cell r="B12" t="str">
            <v>Milano - Big Ben</v>
          </cell>
          <cell r="C12">
            <v>6.6000000000000003E-2</v>
          </cell>
          <cell r="D12">
            <v>14.48</v>
          </cell>
        </row>
        <row r="13">
          <cell r="A13">
            <v>10009</v>
          </cell>
          <cell r="B13" t="str">
            <v>Rice Meal - Fuji</v>
          </cell>
          <cell r="C13">
            <v>0.153</v>
          </cell>
          <cell r="D13">
            <v>13</v>
          </cell>
        </row>
        <row r="14">
          <cell r="A14">
            <v>10010</v>
          </cell>
          <cell r="B14" t="str">
            <v>Film 80g (404 x 265 mm) - Smile</v>
          </cell>
          <cell r="C14">
            <v>265</v>
          </cell>
          <cell r="D14">
            <v>1.55E-2</v>
          </cell>
        </row>
        <row r="15">
          <cell r="A15">
            <v>20000</v>
          </cell>
          <cell r="B15" t="str">
            <v>Oil</v>
          </cell>
          <cell r="C15">
            <v>175</v>
          </cell>
          <cell r="D15">
            <v>1.55E-2</v>
          </cell>
        </row>
        <row r="16">
          <cell r="A16">
            <v>20001</v>
          </cell>
          <cell r="B16" t="str">
            <v>Oil - PC</v>
          </cell>
          <cell r="C16">
            <v>0.10100000000000001</v>
          </cell>
          <cell r="D16">
            <v>20.350000000000001</v>
          </cell>
        </row>
        <row r="17">
          <cell r="A17">
            <v>20002</v>
          </cell>
          <cell r="B17" t="str">
            <v>Oil - Cheetos FCP</v>
          </cell>
          <cell r="C17">
            <v>9.5000000000000001E-2</v>
          </cell>
          <cell r="D17">
            <v>20.350000000000001</v>
          </cell>
        </row>
        <row r="18">
          <cell r="A18">
            <v>20003</v>
          </cell>
          <cell r="B18" t="str">
            <v>Oil - Cheetos BCP</v>
          </cell>
          <cell r="C18">
            <v>9.5000000000000001E-2</v>
          </cell>
          <cell r="D18">
            <v>20.350000000000001</v>
          </cell>
        </row>
        <row r="19">
          <cell r="A19">
            <v>20004</v>
          </cell>
          <cell r="B19" t="str">
            <v>Oil - 3D's Corn</v>
          </cell>
          <cell r="C19">
            <v>9.5000000000000001E-2</v>
          </cell>
          <cell r="D19">
            <v>20.350000000000001</v>
          </cell>
        </row>
        <row r="20">
          <cell r="A20">
            <v>20005</v>
          </cell>
          <cell r="B20" t="str">
            <v>Oil - 3D's Perf.</v>
          </cell>
          <cell r="C20">
            <v>9.5000000000000001E-2</v>
          </cell>
          <cell r="D20">
            <v>20.350000000000001</v>
          </cell>
        </row>
        <row r="21">
          <cell r="A21">
            <v>20006</v>
          </cell>
          <cell r="B21" t="str">
            <v>Oil - Twisties</v>
          </cell>
          <cell r="C21">
            <v>7.4999999999999997E-2</v>
          </cell>
          <cell r="D21">
            <v>20.350000000000001</v>
          </cell>
        </row>
        <row r="22">
          <cell r="A22">
            <v>20007</v>
          </cell>
          <cell r="B22" t="str">
            <v>Oil - Tawan</v>
          </cell>
          <cell r="C22">
            <v>9.5000000000000001E-2</v>
          </cell>
          <cell r="D22">
            <v>20.350000000000001</v>
          </cell>
        </row>
        <row r="23">
          <cell r="A23">
            <v>20008</v>
          </cell>
          <cell r="B23" t="str">
            <v>Oil - Big Ben</v>
          </cell>
          <cell r="C23">
            <v>9.5000000000000001E-2</v>
          </cell>
          <cell r="D23">
            <v>20.350000000000001</v>
          </cell>
        </row>
        <row r="24">
          <cell r="A24">
            <v>20009</v>
          </cell>
          <cell r="B24" t="str">
            <v>Oil - Fuji</v>
          </cell>
          <cell r="C24">
            <v>0.05</v>
          </cell>
          <cell r="D24">
            <v>20.25</v>
          </cell>
        </row>
        <row r="25">
          <cell r="A25">
            <v>20010</v>
          </cell>
          <cell r="B25" t="str">
            <v>Oil - Base</v>
          </cell>
          <cell r="C25">
            <v>0.10100000000000001</v>
          </cell>
          <cell r="D25">
            <v>20.350000000000001</v>
          </cell>
        </row>
        <row r="26">
          <cell r="A26">
            <v>20011</v>
          </cell>
          <cell r="B26" t="str">
            <v>Oil - Spray</v>
          </cell>
          <cell r="C26">
            <v>0.15</v>
          </cell>
          <cell r="D26">
            <v>20.350000000000001</v>
          </cell>
        </row>
        <row r="27">
          <cell r="A27">
            <v>30000</v>
          </cell>
          <cell r="B27" t="str">
            <v>Seasoning</v>
          </cell>
          <cell r="C27">
            <v>185</v>
          </cell>
          <cell r="D27">
            <v>1.7999999999999999E-2</v>
          </cell>
        </row>
        <row r="28">
          <cell r="A28">
            <v>31000</v>
          </cell>
          <cell r="B28" t="str">
            <v>Lay's</v>
          </cell>
          <cell r="C28">
            <v>250</v>
          </cell>
          <cell r="D28">
            <v>1.7999999999999999E-2</v>
          </cell>
        </row>
        <row r="29">
          <cell r="A29">
            <v>31001</v>
          </cell>
          <cell r="B29" t="str">
            <v>PC Salt</v>
          </cell>
          <cell r="C29">
            <v>8.3000000000000004E-2</v>
          </cell>
          <cell r="D29">
            <v>6.5</v>
          </cell>
        </row>
        <row r="30">
          <cell r="A30">
            <v>31002</v>
          </cell>
          <cell r="B30" t="str">
            <v>TEX BBQ</v>
          </cell>
          <cell r="C30">
            <v>8.3000000000000004E-2</v>
          </cell>
          <cell r="D30">
            <v>129</v>
          </cell>
        </row>
        <row r="31">
          <cell r="A31">
            <v>31003</v>
          </cell>
          <cell r="B31" t="str">
            <v>C&amp;O</v>
          </cell>
          <cell r="C31">
            <v>8.3000000000000004E-2</v>
          </cell>
          <cell r="D31">
            <v>140</v>
          </cell>
        </row>
        <row r="32">
          <cell r="A32">
            <v>31004</v>
          </cell>
          <cell r="B32" t="str">
            <v>CHK Rock</v>
          </cell>
          <cell r="C32">
            <v>8.3000000000000004E-2</v>
          </cell>
          <cell r="D32">
            <v>170</v>
          </cell>
        </row>
        <row r="33">
          <cell r="A33">
            <v>31005</v>
          </cell>
          <cell r="B33" t="str">
            <v>Heinz</v>
          </cell>
          <cell r="C33">
            <v>8.3000000000000004E-2</v>
          </cell>
          <cell r="D33">
            <v>130</v>
          </cell>
        </row>
        <row r="34">
          <cell r="A34">
            <v>31006</v>
          </cell>
          <cell r="B34" t="str">
            <v>SWB</v>
          </cell>
          <cell r="C34">
            <v>8.3000000000000004E-2</v>
          </cell>
          <cell r="D34">
            <v>165</v>
          </cell>
        </row>
        <row r="35">
          <cell r="A35">
            <v>31007</v>
          </cell>
          <cell r="B35" t="str">
            <v>Seaweed</v>
          </cell>
          <cell r="C35">
            <v>8.3000000000000004E-2</v>
          </cell>
          <cell r="D35">
            <v>250</v>
          </cell>
        </row>
        <row r="36">
          <cell r="A36">
            <v>31008</v>
          </cell>
          <cell r="B36" t="str">
            <v>Mex BBQ</v>
          </cell>
          <cell r="C36">
            <v>8.3000000000000004E-2</v>
          </cell>
          <cell r="D36">
            <v>125</v>
          </cell>
        </row>
        <row r="37">
          <cell r="A37">
            <v>31009</v>
          </cell>
          <cell r="B37" t="str">
            <v>SC&amp;O</v>
          </cell>
          <cell r="C37">
            <v>8.3000000000000004E-2</v>
          </cell>
          <cell r="D37">
            <v>140</v>
          </cell>
        </row>
        <row r="38">
          <cell r="A38">
            <v>31010</v>
          </cell>
          <cell r="B38" t="str">
            <v>CHK Supreme</v>
          </cell>
          <cell r="C38">
            <v>8.3000000000000004E-2</v>
          </cell>
          <cell r="D38">
            <v>197.1</v>
          </cell>
        </row>
        <row r="39">
          <cell r="A39">
            <v>31011</v>
          </cell>
          <cell r="B39" t="str">
            <v>Smile Bit</v>
          </cell>
          <cell r="C39">
            <v>235</v>
          </cell>
          <cell r="D39">
            <v>1.6E-2</v>
          </cell>
        </row>
        <row r="40">
          <cell r="A40">
            <v>31012</v>
          </cell>
          <cell r="B40" t="str">
            <v>Prik Pao Prung Ros</v>
          </cell>
          <cell r="C40">
            <v>8.3000000000000004E-2</v>
          </cell>
          <cell r="D40">
            <v>160</v>
          </cell>
        </row>
        <row r="41">
          <cell r="A41">
            <v>31013</v>
          </cell>
          <cell r="B41" t="str">
            <v>Meing Kham Krob Ros</v>
          </cell>
          <cell r="C41">
            <v>8.3000000000000004E-2</v>
          </cell>
          <cell r="D41">
            <v>170</v>
          </cell>
        </row>
        <row r="42">
          <cell r="A42">
            <v>31014</v>
          </cell>
          <cell r="B42" t="str">
            <v>Krob Krieng Tom Yum</v>
          </cell>
          <cell r="C42">
            <v>8.3000000000000004E-2</v>
          </cell>
          <cell r="D42">
            <v>188</v>
          </cell>
        </row>
        <row r="43">
          <cell r="A43">
            <v>31015</v>
          </cell>
          <cell r="B43" t="str">
            <v>Smile PPPR</v>
          </cell>
          <cell r="C43">
            <v>0.15</v>
          </cell>
          <cell r="D43">
            <v>330</v>
          </cell>
        </row>
        <row r="44">
          <cell r="A44">
            <v>31016</v>
          </cell>
          <cell r="B44" t="str">
            <v>Smile MKKR</v>
          </cell>
          <cell r="C44">
            <v>0.15</v>
          </cell>
          <cell r="D44">
            <v>270</v>
          </cell>
        </row>
        <row r="45">
          <cell r="A45">
            <v>31017</v>
          </cell>
          <cell r="B45" t="str">
            <v>Smile KKTY</v>
          </cell>
          <cell r="C45">
            <v>0.15</v>
          </cell>
          <cell r="D45">
            <v>290</v>
          </cell>
        </row>
        <row r="46">
          <cell r="A46">
            <v>32000</v>
          </cell>
          <cell r="B46" t="str">
            <v>Cheetos</v>
          </cell>
        </row>
        <row r="47">
          <cell r="A47">
            <v>32101</v>
          </cell>
          <cell r="B47" t="str">
            <v>AM Cheese</v>
          </cell>
          <cell r="C47">
            <v>8.5999999999999993E-2</v>
          </cell>
          <cell r="D47">
            <v>170</v>
          </cell>
        </row>
        <row r="48">
          <cell r="A48">
            <v>32102</v>
          </cell>
          <cell r="B48" t="str">
            <v>SHD</v>
          </cell>
          <cell r="C48">
            <v>8.5999999999999993E-2</v>
          </cell>
          <cell r="D48">
            <v>158</v>
          </cell>
        </row>
        <row r="49">
          <cell r="A49">
            <v>32103</v>
          </cell>
          <cell r="B49" t="str">
            <v>NEW 1</v>
          </cell>
          <cell r="C49">
            <v>8.5999999999999993E-2</v>
          </cell>
          <cell r="D49">
            <v>158</v>
          </cell>
        </row>
        <row r="50">
          <cell r="A50">
            <v>32201</v>
          </cell>
          <cell r="B50" t="str">
            <v>Roasted Corn</v>
          </cell>
          <cell r="C50">
            <v>8.5999999999999993E-2</v>
          </cell>
          <cell r="D50">
            <v>135</v>
          </cell>
        </row>
        <row r="51">
          <cell r="A51">
            <v>32202</v>
          </cell>
          <cell r="B51" t="str">
            <v>Butter Corn</v>
          </cell>
          <cell r="C51">
            <v>8.5999999999999993E-2</v>
          </cell>
          <cell r="D51">
            <v>140</v>
          </cell>
        </row>
        <row r="52">
          <cell r="A52">
            <v>32203</v>
          </cell>
          <cell r="B52" t="str">
            <v>Pizza</v>
          </cell>
          <cell r="C52">
            <v>8.5999999999999993E-2</v>
          </cell>
          <cell r="D52">
            <v>140</v>
          </cell>
        </row>
        <row r="53">
          <cell r="A53">
            <v>32204</v>
          </cell>
          <cell r="B53" t="str">
            <v>Sccocer</v>
          </cell>
          <cell r="C53">
            <v>8.5999999999999993E-2</v>
          </cell>
          <cell r="D53">
            <v>140</v>
          </cell>
        </row>
        <row r="54">
          <cell r="A54">
            <v>33000</v>
          </cell>
          <cell r="B54" t="str">
            <v>Twisties</v>
          </cell>
        </row>
        <row r="55">
          <cell r="A55">
            <v>33001</v>
          </cell>
          <cell r="B55" t="str">
            <v>Cheese</v>
          </cell>
          <cell r="C55">
            <v>7.0999999999999994E-2</v>
          </cell>
          <cell r="D55">
            <v>125</v>
          </cell>
        </row>
        <row r="56">
          <cell r="A56">
            <v>33002</v>
          </cell>
          <cell r="B56" t="str">
            <v>Chicken</v>
          </cell>
          <cell r="C56">
            <v>7.0999999999999994E-2</v>
          </cell>
          <cell r="D56">
            <v>105</v>
          </cell>
        </row>
        <row r="57">
          <cell r="A57">
            <v>33003</v>
          </cell>
          <cell r="B57" t="str">
            <v>Paprika</v>
          </cell>
          <cell r="C57">
            <v>7.0999999999999994E-2</v>
          </cell>
          <cell r="D57">
            <v>130</v>
          </cell>
        </row>
        <row r="58">
          <cell r="A58">
            <v>34000</v>
          </cell>
          <cell r="B58" t="str">
            <v>3D's</v>
          </cell>
          <cell r="C58">
            <v>235</v>
          </cell>
          <cell r="D58">
            <v>0.03</v>
          </cell>
        </row>
        <row r="59">
          <cell r="A59">
            <v>34101</v>
          </cell>
          <cell r="B59" t="str">
            <v>Hot Grill</v>
          </cell>
          <cell r="C59">
            <v>0.12</v>
          </cell>
          <cell r="D59">
            <v>125</v>
          </cell>
        </row>
        <row r="60">
          <cell r="A60">
            <v>34102</v>
          </cell>
          <cell r="B60" t="str">
            <v>Sweet Pep</v>
          </cell>
          <cell r="C60">
            <v>0.12</v>
          </cell>
          <cell r="D60">
            <v>237.61</v>
          </cell>
        </row>
        <row r="61">
          <cell r="A61">
            <v>34103</v>
          </cell>
          <cell r="B61" t="str">
            <v>Honey BBQ</v>
          </cell>
          <cell r="C61">
            <v>0.12</v>
          </cell>
          <cell r="D61">
            <v>178.9</v>
          </cell>
        </row>
        <row r="62">
          <cell r="A62">
            <v>34104</v>
          </cell>
          <cell r="B62" t="str">
            <v>Smoky Cheese</v>
          </cell>
          <cell r="C62">
            <v>0.12</v>
          </cell>
          <cell r="D62">
            <v>140</v>
          </cell>
        </row>
        <row r="63">
          <cell r="A63">
            <v>34201</v>
          </cell>
          <cell r="B63" t="str">
            <v>CHK Ceasar</v>
          </cell>
          <cell r="C63">
            <v>0.12</v>
          </cell>
          <cell r="D63">
            <v>140</v>
          </cell>
        </row>
        <row r="64">
          <cell r="A64">
            <v>34202</v>
          </cell>
          <cell r="B64" t="str">
            <v>Dance Chilli</v>
          </cell>
          <cell r="C64">
            <v>0.12</v>
          </cell>
          <cell r="D64">
            <v>140</v>
          </cell>
        </row>
        <row r="65">
          <cell r="A65">
            <v>35000</v>
          </cell>
          <cell r="B65" t="str">
            <v>Tawan</v>
          </cell>
          <cell r="C65">
            <v>155</v>
          </cell>
          <cell r="D65">
            <v>0.03</v>
          </cell>
        </row>
      </sheetData>
      <sheetData sheetId="3" refreshError="1">
        <row r="2">
          <cell r="A2" t="str">
            <v>Code</v>
          </cell>
          <cell r="B2" t="str">
            <v>Description</v>
          </cell>
          <cell r="C2" t="str">
            <v>Height</v>
          </cell>
          <cell r="D2" t="str">
            <v>Waste</v>
          </cell>
          <cell r="E2" t="str">
            <v>Unit Price</v>
          </cell>
          <cell r="F2" t="str">
            <v>Cost/bag</v>
          </cell>
        </row>
        <row r="3">
          <cell r="C3" t="str">
            <v>(mm.)</v>
          </cell>
          <cell r="D3" t="str">
            <v>%</v>
          </cell>
          <cell r="F3" t="str">
            <v>@ 0% waste</v>
          </cell>
        </row>
        <row r="4">
          <cell r="A4">
            <v>10000</v>
          </cell>
          <cell r="B4" t="str">
            <v>Film</v>
          </cell>
        </row>
        <row r="5">
          <cell r="A5">
            <v>11000</v>
          </cell>
          <cell r="B5" t="str">
            <v>Film Lay's</v>
          </cell>
        </row>
        <row r="6">
          <cell r="A6">
            <v>11001</v>
          </cell>
          <cell r="B6" t="str">
            <v>Film 18g (320 x 160 mm)</v>
          </cell>
          <cell r="C6">
            <v>160</v>
          </cell>
          <cell r="D6">
            <v>1.55E-2</v>
          </cell>
          <cell r="E6">
            <v>3857</v>
          </cell>
          <cell r="F6">
            <v>0.61712</v>
          </cell>
        </row>
        <row r="7">
          <cell r="A7">
            <v>11002</v>
          </cell>
          <cell r="B7" t="str">
            <v>Film 66g (354 x 255 mm)</v>
          </cell>
          <cell r="C7">
            <v>255</v>
          </cell>
          <cell r="D7">
            <v>1.55E-2</v>
          </cell>
          <cell r="E7">
            <v>4267</v>
          </cell>
          <cell r="F7">
            <v>1.088085</v>
          </cell>
        </row>
        <row r="8">
          <cell r="A8">
            <v>11003</v>
          </cell>
          <cell r="B8" t="str">
            <v>Film 100g (404 x 280 mm)</v>
          </cell>
          <cell r="C8">
            <v>280</v>
          </cell>
          <cell r="D8">
            <v>1.55E-2</v>
          </cell>
          <cell r="E8">
            <v>4810</v>
          </cell>
          <cell r="F8">
            <v>1.3468</v>
          </cell>
        </row>
        <row r="9">
          <cell r="A9">
            <v>11004</v>
          </cell>
          <cell r="B9" t="str">
            <v>Film 150g (484 x 305 mm)</v>
          </cell>
          <cell r="C9">
            <v>305</v>
          </cell>
          <cell r="D9">
            <v>1.55E-2</v>
          </cell>
          <cell r="E9">
            <v>5925</v>
          </cell>
          <cell r="F9">
            <v>1.8071249999999999</v>
          </cell>
        </row>
        <row r="10">
          <cell r="A10">
            <v>11005</v>
          </cell>
          <cell r="B10" t="str">
            <v>Film 21g (320 x 175 mm)-Rock</v>
          </cell>
          <cell r="C10">
            <v>175</v>
          </cell>
          <cell r="D10">
            <v>1.55E-2</v>
          </cell>
          <cell r="E10">
            <v>3857</v>
          </cell>
          <cell r="F10">
            <v>0.67497499999999999</v>
          </cell>
        </row>
        <row r="11">
          <cell r="A11">
            <v>11006</v>
          </cell>
          <cell r="B11" t="str">
            <v>Film 72g (404 x 255 mm)</v>
          </cell>
          <cell r="C11">
            <v>255</v>
          </cell>
          <cell r="D11">
            <v>1.55E-2</v>
          </cell>
          <cell r="E11">
            <v>4810</v>
          </cell>
          <cell r="F11">
            <v>1.22655</v>
          </cell>
        </row>
        <row r="12">
          <cell r="A12">
            <v>11007</v>
          </cell>
          <cell r="B12" t="str">
            <v>Film 21g (320 x 180 mm)-Flat</v>
          </cell>
          <cell r="C12">
            <v>180</v>
          </cell>
          <cell r="D12">
            <v>1.55E-2</v>
          </cell>
          <cell r="E12">
            <v>3857</v>
          </cell>
          <cell r="F12">
            <v>0.69425999999999999</v>
          </cell>
        </row>
        <row r="13">
          <cell r="A13">
            <v>11008</v>
          </cell>
          <cell r="B13" t="str">
            <v>Film 30g (320 x 200 mm) - Smile</v>
          </cell>
          <cell r="C13">
            <v>200</v>
          </cell>
          <cell r="D13">
            <v>1.55E-2</v>
          </cell>
          <cell r="E13">
            <v>3857</v>
          </cell>
          <cell r="F13">
            <v>0.77140000000000009</v>
          </cell>
        </row>
        <row r="14">
          <cell r="A14">
            <v>11009</v>
          </cell>
          <cell r="B14" t="str">
            <v>Film 80g (404 x 265 mm) - Smile</v>
          </cell>
          <cell r="C14">
            <v>265</v>
          </cell>
          <cell r="D14">
            <v>1.55E-2</v>
          </cell>
          <cell r="E14">
            <v>4810</v>
          </cell>
          <cell r="F14">
            <v>1.2746500000000001</v>
          </cell>
        </row>
        <row r="15">
          <cell r="A15">
            <v>11010</v>
          </cell>
          <cell r="B15" t="str">
            <v>Film 24g (320 x 175 mm)</v>
          </cell>
          <cell r="C15">
            <v>175</v>
          </cell>
          <cell r="D15">
            <v>1.55E-2</v>
          </cell>
          <cell r="E15">
            <v>3857</v>
          </cell>
          <cell r="F15">
            <v>0.67497499999999999</v>
          </cell>
        </row>
        <row r="16">
          <cell r="A16">
            <v>11011</v>
          </cell>
          <cell r="B16" t="str">
            <v>Film 80g (354 x 265 mm)</v>
          </cell>
          <cell r="C16">
            <v>265</v>
          </cell>
          <cell r="D16">
            <v>1.55E-2</v>
          </cell>
          <cell r="E16">
            <v>4310</v>
          </cell>
          <cell r="F16">
            <v>1.14215</v>
          </cell>
        </row>
        <row r="17">
          <cell r="A17">
            <v>11012</v>
          </cell>
          <cell r="B17" t="str">
            <v>Film 120g (404 x 325 mm)</v>
          </cell>
          <cell r="C17">
            <v>325</v>
          </cell>
          <cell r="D17">
            <v>1.55E-2</v>
          </cell>
          <cell r="E17">
            <v>4810</v>
          </cell>
          <cell r="F17">
            <v>1.56325</v>
          </cell>
        </row>
        <row r="18">
          <cell r="A18">
            <v>12000</v>
          </cell>
          <cell r="B18" t="str">
            <v>Film Cheetos</v>
          </cell>
        </row>
        <row r="19">
          <cell r="A19">
            <v>12101</v>
          </cell>
          <cell r="B19" t="str">
            <v>Film 18g (280 x 155 mm)</v>
          </cell>
          <cell r="C19">
            <v>155</v>
          </cell>
          <cell r="D19">
            <v>1.7999999999999999E-2</v>
          </cell>
          <cell r="E19">
            <v>3788</v>
          </cell>
          <cell r="F19">
            <v>0.58714</v>
          </cell>
        </row>
        <row r="20">
          <cell r="A20">
            <v>12104</v>
          </cell>
          <cell r="B20" t="str">
            <v>Film 40g (320 x 185 mm)</v>
          </cell>
          <cell r="C20">
            <v>185</v>
          </cell>
          <cell r="D20">
            <v>1.7999999999999999E-2</v>
          </cell>
          <cell r="E20">
            <v>4044</v>
          </cell>
          <cell r="F20">
            <v>0.74814000000000003</v>
          </cell>
        </row>
        <row r="21">
          <cell r="A21">
            <v>12201</v>
          </cell>
          <cell r="B21" t="str">
            <v>Film 15g (280 x 160 mm)</v>
          </cell>
          <cell r="C21">
            <v>160</v>
          </cell>
          <cell r="D21">
            <v>1.7999999999999999E-2</v>
          </cell>
          <cell r="E21">
            <v>3788</v>
          </cell>
          <cell r="F21">
            <v>0.60608000000000006</v>
          </cell>
        </row>
        <row r="22">
          <cell r="A22">
            <v>12202</v>
          </cell>
          <cell r="B22" t="str">
            <v>Film 22g (280 x 190 mm)</v>
          </cell>
          <cell r="C22">
            <v>190</v>
          </cell>
          <cell r="D22">
            <v>2.1999999999999999E-2</v>
          </cell>
          <cell r="E22">
            <v>4002</v>
          </cell>
          <cell r="F22">
            <v>0.76038000000000006</v>
          </cell>
        </row>
        <row r="23">
          <cell r="A23">
            <v>12203</v>
          </cell>
          <cell r="B23" t="str">
            <v>Film 45g (320 x 255 mm)</v>
          </cell>
          <cell r="C23">
            <v>255</v>
          </cell>
          <cell r="D23">
            <v>2.1999999999999999E-2</v>
          </cell>
          <cell r="E23">
            <v>4126</v>
          </cell>
          <cell r="F23">
            <v>1.05213</v>
          </cell>
        </row>
        <row r="24">
          <cell r="A24">
            <v>12204</v>
          </cell>
          <cell r="B24" t="str">
            <v>Film 35g (280 x 205 mm)</v>
          </cell>
          <cell r="C24">
            <v>205</v>
          </cell>
          <cell r="D24">
            <v>2.1999999999999999E-2</v>
          </cell>
          <cell r="E24">
            <v>4126</v>
          </cell>
          <cell r="F24">
            <v>0.84583000000000008</v>
          </cell>
        </row>
        <row r="25">
          <cell r="A25">
            <v>13000</v>
          </cell>
          <cell r="B25" t="str">
            <v>Film Twisties</v>
          </cell>
        </row>
        <row r="26">
          <cell r="A26">
            <v>13001</v>
          </cell>
          <cell r="B26" t="str">
            <v>Film 20g (280 x 155 mm)</v>
          </cell>
          <cell r="C26">
            <v>155</v>
          </cell>
          <cell r="D26">
            <v>1.7999999999999999E-2</v>
          </cell>
          <cell r="E26">
            <v>3538</v>
          </cell>
          <cell r="F26">
            <v>0.54838999999999993</v>
          </cell>
        </row>
        <row r="27">
          <cell r="A27">
            <v>13002</v>
          </cell>
          <cell r="B27" t="str">
            <v>Film 45g (320 x 185 mm)</v>
          </cell>
          <cell r="C27">
            <v>185</v>
          </cell>
          <cell r="D27">
            <v>1.7999999999999999E-2</v>
          </cell>
          <cell r="E27">
            <v>4253</v>
          </cell>
          <cell r="F27">
            <v>0.78680499999999998</v>
          </cell>
        </row>
        <row r="28">
          <cell r="A28">
            <v>13003</v>
          </cell>
          <cell r="B28" t="str">
            <v>Film 90g (404 x 250 mm)</v>
          </cell>
          <cell r="C28">
            <v>250</v>
          </cell>
          <cell r="D28">
            <v>1.7999999999999999E-2</v>
          </cell>
          <cell r="E28">
            <v>4380</v>
          </cell>
          <cell r="F28">
            <v>1.095</v>
          </cell>
        </row>
        <row r="29">
          <cell r="A29">
            <v>14000</v>
          </cell>
          <cell r="B29" t="str">
            <v>Film 3D's</v>
          </cell>
        </row>
        <row r="30">
          <cell r="A30">
            <v>14100</v>
          </cell>
          <cell r="B30" t="str">
            <v>3D's Corn</v>
          </cell>
        </row>
        <row r="31">
          <cell r="A31">
            <v>14101</v>
          </cell>
          <cell r="B31" t="str">
            <v>Film 18g (280 x 180 mm)</v>
          </cell>
          <cell r="C31">
            <v>180</v>
          </cell>
          <cell r="D31">
            <v>0.02</v>
          </cell>
          <cell r="E31">
            <v>3857</v>
          </cell>
          <cell r="F31">
            <v>0.69425999999999999</v>
          </cell>
        </row>
        <row r="32">
          <cell r="A32">
            <v>14102</v>
          </cell>
          <cell r="B32" t="str">
            <v>Film 36g (320 x 215 mm)</v>
          </cell>
          <cell r="C32">
            <v>215</v>
          </cell>
          <cell r="D32">
            <v>0.02</v>
          </cell>
          <cell r="E32">
            <v>4118</v>
          </cell>
          <cell r="F32">
            <v>0.88536999999999999</v>
          </cell>
        </row>
        <row r="33">
          <cell r="A33">
            <v>14103</v>
          </cell>
          <cell r="B33" t="str">
            <v>Film 75g (404 x 260 mm)</v>
          </cell>
          <cell r="C33">
            <v>260</v>
          </cell>
          <cell r="D33">
            <v>0.02</v>
          </cell>
          <cell r="E33">
            <v>5249</v>
          </cell>
          <cell r="F33">
            <v>1.3647400000000001</v>
          </cell>
        </row>
        <row r="34">
          <cell r="A34">
            <v>14200</v>
          </cell>
          <cell r="B34" t="str">
            <v>3D's Perf.</v>
          </cell>
        </row>
        <row r="35">
          <cell r="A35">
            <v>14201</v>
          </cell>
          <cell r="B35" t="str">
            <v>Film 17g (280 x 180 mm)</v>
          </cell>
          <cell r="C35">
            <v>180</v>
          </cell>
          <cell r="D35">
            <v>0.02</v>
          </cell>
          <cell r="E35">
            <v>3857</v>
          </cell>
          <cell r="F35">
            <v>0.69425999999999999</v>
          </cell>
        </row>
        <row r="36">
          <cell r="A36">
            <v>14202</v>
          </cell>
          <cell r="B36" t="str">
            <v>Film 34g (320 x 215 mm)</v>
          </cell>
          <cell r="C36">
            <v>215</v>
          </cell>
          <cell r="D36">
            <v>0.02</v>
          </cell>
          <cell r="E36">
            <v>4118</v>
          </cell>
          <cell r="F36">
            <v>0.88536999999999999</v>
          </cell>
        </row>
        <row r="37">
          <cell r="A37">
            <v>14203</v>
          </cell>
          <cell r="B37" t="str">
            <v>Film 75g (404 x 260 mm)</v>
          </cell>
          <cell r="C37">
            <v>260</v>
          </cell>
          <cell r="D37">
            <v>0.02</v>
          </cell>
          <cell r="E37">
            <v>5249</v>
          </cell>
          <cell r="F37">
            <v>1.3647400000000001</v>
          </cell>
        </row>
        <row r="38">
          <cell r="A38">
            <v>15000</v>
          </cell>
          <cell r="B38" t="str">
            <v>Tawan</v>
          </cell>
        </row>
        <row r="39">
          <cell r="A39">
            <v>15001</v>
          </cell>
          <cell r="B39" t="str">
            <v>Film 25g (320 x 235 mm)</v>
          </cell>
          <cell r="C39">
            <v>235</v>
          </cell>
          <cell r="D39">
            <v>1.6E-2</v>
          </cell>
          <cell r="E39">
            <v>3750</v>
          </cell>
          <cell r="F39">
            <v>0.88124999999999998</v>
          </cell>
        </row>
        <row r="40">
          <cell r="A40">
            <v>15002</v>
          </cell>
          <cell r="B40" t="str">
            <v>Film 50g (404 x 280 mm)</v>
          </cell>
          <cell r="C40">
            <v>280</v>
          </cell>
          <cell r="D40">
            <v>1.6E-2</v>
          </cell>
          <cell r="E40">
            <v>4860</v>
          </cell>
          <cell r="F40">
            <v>1.3608</v>
          </cell>
        </row>
        <row r="41">
          <cell r="A41">
            <v>15003</v>
          </cell>
          <cell r="B41" t="str">
            <v>Film 55g (404 x 290 mm)</v>
          </cell>
          <cell r="C41">
            <v>290</v>
          </cell>
          <cell r="D41">
            <v>1.6E-2</v>
          </cell>
          <cell r="E41">
            <v>4860</v>
          </cell>
          <cell r="F41">
            <v>1.4094</v>
          </cell>
        </row>
        <row r="42">
          <cell r="A42">
            <v>16000</v>
          </cell>
          <cell r="B42" t="str">
            <v>Fuji</v>
          </cell>
        </row>
        <row r="43">
          <cell r="A43">
            <v>16001</v>
          </cell>
          <cell r="B43" t="str">
            <v>Film 18g (280 x 190 mm)</v>
          </cell>
          <cell r="C43">
            <v>190</v>
          </cell>
          <cell r="D43">
            <v>1.55E-2</v>
          </cell>
          <cell r="E43">
            <v>4043</v>
          </cell>
          <cell r="F43">
            <v>0.76816999999999991</v>
          </cell>
        </row>
        <row r="44">
          <cell r="A44">
            <v>16002</v>
          </cell>
          <cell r="B44" t="str">
            <v>Film 40g (320 x 255 mm)</v>
          </cell>
          <cell r="C44">
            <v>255</v>
          </cell>
          <cell r="D44">
            <v>1.55E-2</v>
          </cell>
          <cell r="E44">
            <v>4126</v>
          </cell>
          <cell r="F44">
            <v>1.05213</v>
          </cell>
        </row>
        <row r="45">
          <cell r="A45">
            <v>16003</v>
          </cell>
          <cell r="B45" t="str">
            <v>Film 40g (320 x 235 mm)</v>
          </cell>
          <cell r="C45">
            <v>235</v>
          </cell>
          <cell r="D45">
            <v>1.6E-2</v>
          </cell>
          <cell r="E45">
            <v>3750</v>
          </cell>
          <cell r="F45">
            <v>0.88124999999999998</v>
          </cell>
        </row>
        <row r="46">
          <cell r="A46">
            <v>15400</v>
          </cell>
          <cell r="B46" t="str">
            <v>Soccer Ball</v>
          </cell>
        </row>
        <row r="47">
          <cell r="A47">
            <v>15401</v>
          </cell>
          <cell r="B47" t="str">
            <v>Film 24g (280 x 175 mm)</v>
          </cell>
          <cell r="C47">
            <v>175</v>
          </cell>
          <cell r="D47">
            <v>1.7999999999999999E-2</v>
          </cell>
          <cell r="E47">
            <v>3582</v>
          </cell>
          <cell r="F47">
            <v>0.62685000000000002</v>
          </cell>
        </row>
        <row r="48">
          <cell r="A48">
            <v>15402</v>
          </cell>
          <cell r="B48" t="str">
            <v>Film 45g (320 x 225 mm)</v>
          </cell>
          <cell r="C48">
            <v>225</v>
          </cell>
          <cell r="D48">
            <v>1.7999999999999999E-2</v>
          </cell>
          <cell r="E48">
            <v>4085</v>
          </cell>
          <cell r="F48">
            <v>0.91912499999999997</v>
          </cell>
        </row>
        <row r="49">
          <cell r="A49">
            <v>15500</v>
          </cell>
          <cell r="B49" t="str">
            <v>Cartoon Shape</v>
          </cell>
        </row>
        <row r="50">
          <cell r="A50">
            <v>15501</v>
          </cell>
          <cell r="B50" t="str">
            <v>Film (280 x 155 mm)</v>
          </cell>
          <cell r="C50">
            <v>155</v>
          </cell>
          <cell r="D50">
            <v>1.7999999999999999E-2</v>
          </cell>
          <cell r="E50">
            <v>3788</v>
          </cell>
          <cell r="F50">
            <v>0.58714</v>
          </cell>
        </row>
        <row r="51">
          <cell r="A51">
            <v>15502</v>
          </cell>
          <cell r="B51" t="str">
            <v>Film (320 x 185 mm)</v>
          </cell>
          <cell r="C51">
            <v>185</v>
          </cell>
          <cell r="D51">
            <v>1.7999999999999999E-2</v>
          </cell>
          <cell r="E51">
            <v>4044</v>
          </cell>
          <cell r="F51">
            <v>0.74814000000000003</v>
          </cell>
        </row>
        <row r="52">
          <cell r="A52">
            <v>15503</v>
          </cell>
          <cell r="B52" t="str">
            <v>Film (280 x 190 mm)</v>
          </cell>
          <cell r="C52">
            <v>190</v>
          </cell>
          <cell r="D52">
            <v>2.1999999999999999E-2</v>
          </cell>
          <cell r="E52">
            <v>3788</v>
          </cell>
          <cell r="F52">
            <v>0.71972000000000003</v>
          </cell>
        </row>
        <row r="53">
          <cell r="A53">
            <v>15504</v>
          </cell>
          <cell r="B53" t="str">
            <v>Film (320 x 255 mm)</v>
          </cell>
          <cell r="C53">
            <v>255</v>
          </cell>
          <cell r="D53">
            <v>2.1999999999999999E-2</v>
          </cell>
          <cell r="E53">
            <v>4044</v>
          </cell>
          <cell r="F53">
            <v>1.03122</v>
          </cell>
        </row>
        <row r="54">
          <cell r="A54">
            <v>20000</v>
          </cell>
          <cell r="B54" t="str">
            <v>Strip</v>
          </cell>
        </row>
        <row r="55">
          <cell r="A55">
            <v>20001</v>
          </cell>
          <cell r="B55" t="str">
            <v>Strip 180 mm</v>
          </cell>
          <cell r="C55">
            <v>180</v>
          </cell>
          <cell r="D55">
            <v>0.03</v>
          </cell>
          <cell r="E55">
            <v>315</v>
          </cell>
          <cell r="F55">
            <v>5.67E-2</v>
          </cell>
        </row>
        <row r="56">
          <cell r="A56">
            <v>20002</v>
          </cell>
          <cell r="B56" t="str">
            <v>Strip 220 mm</v>
          </cell>
          <cell r="C56">
            <v>220</v>
          </cell>
          <cell r="D56">
            <v>0.03</v>
          </cell>
          <cell r="E56">
            <v>315</v>
          </cell>
          <cell r="F56">
            <v>6.93E-2</v>
          </cell>
        </row>
        <row r="57">
          <cell r="A57">
            <v>20003</v>
          </cell>
          <cell r="B57" t="str">
            <v>Strip 260 mm</v>
          </cell>
          <cell r="C57">
            <v>260</v>
          </cell>
          <cell r="D57">
            <v>0.03</v>
          </cell>
          <cell r="E57">
            <v>315</v>
          </cell>
          <cell r="F57">
            <v>8.1900000000000001E-2</v>
          </cell>
        </row>
        <row r="58">
          <cell r="A58">
            <v>20004</v>
          </cell>
          <cell r="B58" t="str">
            <v>Strip 235 mm</v>
          </cell>
          <cell r="C58">
            <v>235</v>
          </cell>
          <cell r="D58">
            <v>0.03</v>
          </cell>
          <cell r="E58">
            <v>315</v>
          </cell>
          <cell r="F58">
            <v>7.4025000000000007E-2</v>
          </cell>
        </row>
        <row r="59">
          <cell r="A59">
            <v>20005</v>
          </cell>
          <cell r="B59" t="str">
            <v>Strip 205 mm</v>
          </cell>
          <cell r="C59">
            <v>205</v>
          </cell>
          <cell r="D59">
            <v>0.03</v>
          </cell>
          <cell r="E59">
            <v>315</v>
          </cell>
          <cell r="F59">
            <v>6.4575000000000007E-2</v>
          </cell>
        </row>
        <row r="60">
          <cell r="A60">
            <v>20006</v>
          </cell>
          <cell r="B60" t="str">
            <v>Strip 255 mm</v>
          </cell>
          <cell r="C60">
            <v>255</v>
          </cell>
          <cell r="D60">
            <v>0.03</v>
          </cell>
          <cell r="E60">
            <v>315</v>
          </cell>
          <cell r="F60">
            <v>8.0325000000000008E-2</v>
          </cell>
        </row>
        <row r="61">
          <cell r="A61">
            <v>20007</v>
          </cell>
          <cell r="B61" t="str">
            <v>Strip 175 mm</v>
          </cell>
          <cell r="C61">
            <v>175</v>
          </cell>
          <cell r="D61">
            <v>0.03</v>
          </cell>
          <cell r="E61">
            <v>315</v>
          </cell>
          <cell r="F61">
            <v>5.5125E-2</v>
          </cell>
        </row>
        <row r="62">
          <cell r="A62">
            <v>20008</v>
          </cell>
          <cell r="B62" t="str">
            <v>Strip 225 mm</v>
          </cell>
          <cell r="C62">
            <v>225</v>
          </cell>
          <cell r="D62">
            <v>0.03</v>
          </cell>
          <cell r="E62">
            <v>315</v>
          </cell>
          <cell r="F62">
            <v>7.0875000000000007E-2</v>
          </cell>
        </row>
        <row r="63">
          <cell r="A63">
            <v>20009</v>
          </cell>
          <cell r="B63" t="str">
            <v>Strip 290 mm</v>
          </cell>
          <cell r="C63">
            <v>290</v>
          </cell>
          <cell r="D63">
            <v>0.03</v>
          </cell>
          <cell r="E63">
            <v>315</v>
          </cell>
          <cell r="F63">
            <v>9.1350000000000001E-2</v>
          </cell>
        </row>
        <row r="64">
          <cell r="A64">
            <v>20010</v>
          </cell>
          <cell r="B64" t="str">
            <v>Strip 300 mm</v>
          </cell>
          <cell r="C64">
            <v>300</v>
          </cell>
          <cell r="D64">
            <v>0.03</v>
          </cell>
          <cell r="E64">
            <v>315</v>
          </cell>
          <cell r="F64">
            <v>9.4500000000000001E-2</v>
          </cell>
        </row>
        <row r="65">
          <cell r="A65">
            <v>20011</v>
          </cell>
          <cell r="B65" t="str">
            <v>Strip 155 mm</v>
          </cell>
          <cell r="C65">
            <v>155</v>
          </cell>
          <cell r="D65">
            <v>0.03</v>
          </cell>
          <cell r="E65">
            <v>315</v>
          </cell>
          <cell r="F65">
            <v>4.8825E-2</v>
          </cell>
        </row>
        <row r="66">
          <cell r="A66">
            <v>20012</v>
          </cell>
          <cell r="B66" t="str">
            <v>Strip 280 mm</v>
          </cell>
          <cell r="C66">
            <v>280</v>
          </cell>
          <cell r="D66">
            <v>0.03</v>
          </cell>
          <cell r="E66">
            <v>315</v>
          </cell>
          <cell r="F66">
            <v>8.8200000000000001E-2</v>
          </cell>
        </row>
        <row r="67">
          <cell r="A67">
            <v>20013</v>
          </cell>
          <cell r="B67" t="str">
            <v>Strip 185 mm</v>
          </cell>
          <cell r="C67">
            <v>185</v>
          </cell>
          <cell r="D67">
            <v>0.03</v>
          </cell>
          <cell r="E67">
            <v>315</v>
          </cell>
          <cell r="F67">
            <v>5.8275E-2</v>
          </cell>
        </row>
        <row r="68">
          <cell r="A68">
            <v>20014</v>
          </cell>
          <cell r="B68" t="str">
            <v>Strip 190 mm</v>
          </cell>
          <cell r="C68">
            <v>190</v>
          </cell>
          <cell r="D68">
            <v>0.03</v>
          </cell>
          <cell r="E68">
            <v>315</v>
          </cell>
          <cell r="F68">
            <v>5.985E-2</v>
          </cell>
        </row>
        <row r="69">
          <cell r="A69">
            <v>20015</v>
          </cell>
          <cell r="B69" t="str">
            <v>Strip 215 mm</v>
          </cell>
          <cell r="C69">
            <v>215</v>
          </cell>
          <cell r="D69">
            <v>0.03</v>
          </cell>
          <cell r="E69">
            <v>315</v>
          </cell>
          <cell r="F69">
            <v>6.7725000000000007E-2</v>
          </cell>
        </row>
        <row r="70">
          <cell r="A70">
            <v>30000</v>
          </cell>
          <cell r="B70" t="str">
            <v>PP Bags</v>
          </cell>
        </row>
        <row r="71">
          <cell r="A71">
            <v>30001</v>
          </cell>
          <cell r="B71" t="str">
            <v>PP Bag Small</v>
          </cell>
          <cell r="C71">
            <v>67</v>
          </cell>
          <cell r="D71">
            <v>7.4999999999999997E-3</v>
          </cell>
          <cell r="E71">
            <v>38</v>
          </cell>
          <cell r="F71">
            <v>0.56716417910447758</v>
          </cell>
        </row>
        <row r="72">
          <cell r="A72">
            <v>30002</v>
          </cell>
          <cell r="B72" t="str">
            <v>PP Bag Medium</v>
          </cell>
          <cell r="C72">
            <v>75</v>
          </cell>
          <cell r="D72">
            <v>7.4999999999999997E-3</v>
          </cell>
          <cell r="E72">
            <v>38</v>
          </cell>
          <cell r="F72">
            <v>0.50666666666666671</v>
          </cell>
        </row>
        <row r="73">
          <cell r="A73">
            <v>30003</v>
          </cell>
          <cell r="B73" t="str">
            <v>PP Bag Medium Sedweed</v>
          </cell>
          <cell r="C73">
            <v>67</v>
          </cell>
          <cell r="D73">
            <v>7.4999999999999997E-3</v>
          </cell>
          <cell r="E73">
            <v>38</v>
          </cell>
          <cell r="F73">
            <v>0.56716417910447758</v>
          </cell>
        </row>
        <row r="74">
          <cell r="A74">
            <v>30004</v>
          </cell>
          <cell r="B74" t="str">
            <v>PP Bag Small (17 x 17)</v>
          </cell>
          <cell r="C74">
            <v>70</v>
          </cell>
          <cell r="D74">
            <v>7.4999999999999997E-3</v>
          </cell>
          <cell r="E74">
            <v>38</v>
          </cell>
          <cell r="F74">
            <v>0.54285714285714282</v>
          </cell>
        </row>
        <row r="75">
          <cell r="A75">
            <v>30005</v>
          </cell>
          <cell r="B75" t="str">
            <v>PP Bag Medium (14.5 x 16)</v>
          </cell>
          <cell r="C75">
            <v>90</v>
          </cell>
          <cell r="D75">
            <v>7.4999999999999997E-3</v>
          </cell>
          <cell r="E75">
            <v>38</v>
          </cell>
          <cell r="F75">
            <v>0.42222222222222222</v>
          </cell>
        </row>
        <row r="76">
          <cell r="A76">
            <v>30006</v>
          </cell>
          <cell r="B76" t="str">
            <v>PP Bag Smile 30 g.</v>
          </cell>
          <cell r="C76">
            <v>110</v>
          </cell>
          <cell r="D76">
            <v>7.4999999999999997E-3</v>
          </cell>
          <cell r="E76">
            <v>45</v>
          </cell>
          <cell r="F76">
            <v>0.40909090909090912</v>
          </cell>
        </row>
        <row r="77">
          <cell r="A77">
            <v>30007</v>
          </cell>
          <cell r="B77" t="str">
            <v>PP Bag Smile 80 g.</v>
          </cell>
          <cell r="C77">
            <v>75</v>
          </cell>
          <cell r="D77">
            <v>7.4999999999999997E-3</v>
          </cell>
          <cell r="E77">
            <v>45</v>
          </cell>
          <cell r="F77">
            <v>0.6</v>
          </cell>
        </row>
        <row r="78">
          <cell r="A78">
            <v>40000</v>
          </cell>
          <cell r="B78" t="str">
            <v>OPP Tape</v>
          </cell>
        </row>
        <row r="79">
          <cell r="A79">
            <v>40001</v>
          </cell>
          <cell r="B79" t="str">
            <v>OPP Tape</v>
          </cell>
          <cell r="C79">
            <v>900</v>
          </cell>
          <cell r="D79">
            <v>7.4999999999999997E-3</v>
          </cell>
          <cell r="E79">
            <v>359.5</v>
          </cell>
          <cell r="F79">
            <v>0.39944444444444444</v>
          </cell>
        </row>
        <row r="80">
          <cell r="A80">
            <v>40002</v>
          </cell>
          <cell r="B80" t="str">
            <v>OPP Tape Smile</v>
          </cell>
          <cell r="C80">
            <v>900</v>
          </cell>
          <cell r="D80">
            <v>7.4999999999999997E-3</v>
          </cell>
          <cell r="E80">
            <v>359</v>
          </cell>
          <cell r="F80">
            <v>0.3988888888888889</v>
          </cell>
        </row>
        <row r="81">
          <cell r="A81">
            <v>50000</v>
          </cell>
          <cell r="B81" t="str">
            <v>Shipper</v>
          </cell>
        </row>
        <row r="82">
          <cell r="A82">
            <v>51000</v>
          </cell>
          <cell r="B82" t="str">
            <v>Shipper - Lay's</v>
          </cell>
        </row>
        <row r="83">
          <cell r="A83">
            <v>51001</v>
          </cell>
          <cell r="B83" t="str">
            <v>Shipper 18g (1 x 120)</v>
          </cell>
          <cell r="C83">
            <v>1</v>
          </cell>
          <cell r="D83">
            <v>3.0000000000000001E-3</v>
          </cell>
          <cell r="E83">
            <v>15.58</v>
          </cell>
          <cell r="F83">
            <v>15.58</v>
          </cell>
        </row>
        <row r="84">
          <cell r="A84">
            <v>51002</v>
          </cell>
          <cell r="B84" t="str">
            <v>Shipper 66g (1 x 48)</v>
          </cell>
          <cell r="C84">
            <v>1</v>
          </cell>
          <cell r="D84">
            <v>3.0000000000000001E-3</v>
          </cell>
          <cell r="E84">
            <v>13.82</v>
          </cell>
          <cell r="F84">
            <v>13.82</v>
          </cell>
        </row>
        <row r="85">
          <cell r="A85">
            <v>51003</v>
          </cell>
          <cell r="B85" t="str">
            <v>Shipper 100g (1 x 24)</v>
          </cell>
          <cell r="C85">
            <v>1</v>
          </cell>
          <cell r="D85">
            <v>3.0000000000000001E-3</v>
          </cell>
          <cell r="E85">
            <v>11.35</v>
          </cell>
          <cell r="F85">
            <v>11.35</v>
          </cell>
        </row>
        <row r="86">
          <cell r="A86">
            <v>51004</v>
          </cell>
          <cell r="B86" t="str">
            <v>Shipper 150g (1 x 18)</v>
          </cell>
          <cell r="C86">
            <v>1</v>
          </cell>
          <cell r="D86">
            <v>3.0000000000000001E-3</v>
          </cell>
          <cell r="E86">
            <v>12.52</v>
          </cell>
          <cell r="F86">
            <v>12.52</v>
          </cell>
        </row>
        <row r="87">
          <cell r="A87">
            <v>51005</v>
          </cell>
          <cell r="B87" t="str">
            <v>Shipper 21g (1 x 120)</v>
          </cell>
          <cell r="C87">
            <v>1</v>
          </cell>
          <cell r="D87">
            <v>3.0000000000000001E-3</v>
          </cell>
          <cell r="E87">
            <v>15.58</v>
          </cell>
          <cell r="F87">
            <v>15.58</v>
          </cell>
        </row>
        <row r="88">
          <cell r="A88">
            <v>51006</v>
          </cell>
          <cell r="B88" t="str">
            <v>Shipper 72g (1 x 48)</v>
          </cell>
          <cell r="C88">
            <v>1</v>
          </cell>
          <cell r="D88">
            <v>3.0000000000000001E-3</v>
          </cell>
          <cell r="E88">
            <v>16.25</v>
          </cell>
          <cell r="F88">
            <v>16.25</v>
          </cell>
        </row>
        <row r="89">
          <cell r="A89">
            <v>51008</v>
          </cell>
          <cell r="B89" t="str">
            <v>Shipper 30g (1 x 48) - Smile 330*480*300</v>
          </cell>
          <cell r="C89">
            <v>1</v>
          </cell>
          <cell r="D89">
            <v>3.0000000000000001E-3</v>
          </cell>
          <cell r="E89">
            <v>9.65</v>
          </cell>
          <cell r="F89">
            <v>9.65</v>
          </cell>
        </row>
        <row r="90">
          <cell r="A90">
            <v>51009</v>
          </cell>
          <cell r="B90" t="str">
            <v>Shipper 80g (1 x 24) - Smile 330*480*375</v>
          </cell>
          <cell r="C90">
            <v>1</v>
          </cell>
          <cell r="D90">
            <v>3.0000000000000001E-3</v>
          </cell>
          <cell r="E90">
            <v>10.8</v>
          </cell>
          <cell r="F90">
            <v>10.8</v>
          </cell>
        </row>
        <row r="91">
          <cell r="A91">
            <v>51010</v>
          </cell>
          <cell r="B91" t="str">
            <v>Shipper 24g (1 x 120)</v>
          </cell>
          <cell r="C91">
            <v>1</v>
          </cell>
          <cell r="D91">
            <v>3.0000000000000001E-3</v>
          </cell>
          <cell r="E91">
            <v>15.58</v>
          </cell>
          <cell r="F91">
            <v>15.58</v>
          </cell>
        </row>
        <row r="92">
          <cell r="A92">
            <v>51011</v>
          </cell>
          <cell r="B92" t="str">
            <v>Shipper 80g (1 x 48)</v>
          </cell>
          <cell r="C92">
            <v>1</v>
          </cell>
          <cell r="D92">
            <v>3.0000000000000001E-3</v>
          </cell>
          <cell r="E92">
            <v>18.21</v>
          </cell>
          <cell r="F92">
            <v>18.21</v>
          </cell>
        </row>
        <row r="93">
          <cell r="A93">
            <v>51012</v>
          </cell>
          <cell r="B93" t="str">
            <v>Shipper 120g (1 x 24)</v>
          </cell>
          <cell r="C93">
            <v>1</v>
          </cell>
          <cell r="D93">
            <v>3.0000000000000001E-3</v>
          </cell>
          <cell r="E93">
            <v>12.58</v>
          </cell>
          <cell r="F93">
            <v>12.58</v>
          </cell>
        </row>
        <row r="94">
          <cell r="A94">
            <v>52000</v>
          </cell>
          <cell r="B94" t="str">
            <v>Shipper - Cheetos</v>
          </cell>
        </row>
        <row r="95">
          <cell r="A95">
            <v>52001</v>
          </cell>
          <cell r="B95" t="str">
            <v>Shipper 18g (1 x 96)</v>
          </cell>
          <cell r="C95">
            <v>1</v>
          </cell>
          <cell r="D95">
            <v>3.0000000000000001E-3</v>
          </cell>
          <cell r="E95">
            <v>11.26</v>
          </cell>
          <cell r="F95">
            <v>11.26</v>
          </cell>
        </row>
        <row r="96">
          <cell r="A96">
            <v>52004</v>
          </cell>
          <cell r="B96" t="str">
            <v>Shipper 40g (1 x 48)</v>
          </cell>
          <cell r="C96">
            <v>1</v>
          </cell>
          <cell r="D96">
            <v>3.0000000000000001E-3</v>
          </cell>
          <cell r="E96">
            <v>9.9</v>
          </cell>
          <cell r="F96">
            <v>9.9</v>
          </cell>
        </row>
        <row r="97">
          <cell r="A97">
            <v>52005</v>
          </cell>
          <cell r="B97" t="str">
            <v>Shipper 15g (1 x 96)</v>
          </cell>
          <cell r="C97">
            <v>1</v>
          </cell>
          <cell r="D97">
            <v>3.0000000000000001E-3</v>
          </cell>
          <cell r="E97">
            <v>11.85</v>
          </cell>
          <cell r="F97">
            <v>11.85</v>
          </cell>
        </row>
        <row r="98">
          <cell r="A98">
            <v>52006</v>
          </cell>
          <cell r="B98" t="str">
            <v>Shipper 22g (1 x 96)</v>
          </cell>
          <cell r="C98">
            <v>1</v>
          </cell>
          <cell r="D98">
            <v>3.0000000000000001E-3</v>
          </cell>
          <cell r="E98">
            <v>11.85</v>
          </cell>
          <cell r="F98">
            <v>11.85</v>
          </cell>
        </row>
        <row r="99">
          <cell r="A99">
            <v>52007</v>
          </cell>
          <cell r="B99" t="str">
            <v>Shipper 35g (1 x 48)</v>
          </cell>
          <cell r="C99">
            <v>1</v>
          </cell>
          <cell r="D99">
            <v>3.0000000000000001E-3</v>
          </cell>
          <cell r="E99">
            <v>11.9</v>
          </cell>
          <cell r="F99">
            <v>11.9</v>
          </cell>
        </row>
        <row r="100">
          <cell r="A100">
            <v>52008</v>
          </cell>
          <cell r="B100" t="str">
            <v>Shipper 45g (1 x 48)</v>
          </cell>
          <cell r="C100">
            <v>1</v>
          </cell>
          <cell r="D100">
            <v>3.0000000000000001E-3</v>
          </cell>
          <cell r="E100">
            <v>11.9</v>
          </cell>
          <cell r="F100">
            <v>11.9</v>
          </cell>
        </row>
        <row r="101">
          <cell r="A101">
            <v>52009</v>
          </cell>
          <cell r="B101" t="str">
            <v>Shipper 18g (1 x 36)</v>
          </cell>
          <cell r="C101">
            <v>1</v>
          </cell>
          <cell r="D101">
            <v>3.0000000000000001E-3</v>
          </cell>
          <cell r="E101">
            <v>5.66</v>
          </cell>
          <cell r="F101">
            <v>5.66</v>
          </cell>
        </row>
      </sheetData>
      <sheetData sheetId="4" refreshError="1">
        <row r="2">
          <cell r="A2" t="str">
            <v>Code</v>
          </cell>
          <cell r="B2" t="str">
            <v>Description</v>
          </cell>
          <cell r="C2" t="str">
            <v>Man Hour</v>
          </cell>
          <cell r="D2" t="str">
            <v>Waste %</v>
          </cell>
          <cell r="E2" t="str">
            <v>Bht./Hr.</v>
          </cell>
        </row>
        <row r="4">
          <cell r="A4">
            <v>10000</v>
          </cell>
          <cell r="B4" t="str">
            <v>Lay's Salt</v>
          </cell>
          <cell r="C4">
            <v>5.3571428571428572E-3</v>
          </cell>
          <cell r="D4">
            <v>2.8</v>
          </cell>
          <cell r="E4">
            <v>17.5</v>
          </cell>
        </row>
        <row r="5">
          <cell r="A5">
            <v>11000</v>
          </cell>
          <cell r="B5" t="str">
            <v>Lay's Others</v>
          </cell>
          <cell r="C5">
            <v>5.3571428571428572E-3</v>
          </cell>
          <cell r="D5">
            <v>2.8</v>
          </cell>
          <cell r="E5">
            <v>17.5</v>
          </cell>
        </row>
        <row r="6">
          <cell r="A6">
            <v>12001</v>
          </cell>
          <cell r="B6" t="str">
            <v>Smile PP</v>
          </cell>
          <cell r="C6">
            <v>5.3099999999999996E-3</v>
          </cell>
          <cell r="D6">
            <v>2.8</v>
          </cell>
          <cell r="E6">
            <v>17.5</v>
          </cell>
        </row>
        <row r="7">
          <cell r="A7">
            <v>12002</v>
          </cell>
          <cell r="B7" t="str">
            <v>Smile MK</v>
          </cell>
          <cell r="C7">
            <v>5.0899999999999999E-3</v>
          </cell>
          <cell r="D7">
            <v>2.8</v>
          </cell>
          <cell r="E7">
            <v>17.5</v>
          </cell>
        </row>
        <row r="8">
          <cell r="A8">
            <v>12003</v>
          </cell>
          <cell r="B8" t="str">
            <v>Smile TY</v>
          </cell>
          <cell r="C8">
            <v>5.1000000000000004E-3</v>
          </cell>
          <cell r="D8">
            <v>2.8</v>
          </cell>
          <cell r="E8">
            <v>17.5</v>
          </cell>
        </row>
        <row r="9">
          <cell r="A9">
            <v>21000</v>
          </cell>
          <cell r="B9" t="str">
            <v>Cheetos - FCP</v>
          </cell>
          <cell r="C9">
            <v>3.5300925925925929E-3</v>
          </cell>
          <cell r="D9">
            <v>2.8</v>
          </cell>
          <cell r="E9">
            <v>17.5</v>
          </cell>
        </row>
        <row r="10">
          <cell r="A10">
            <v>22000</v>
          </cell>
          <cell r="B10" t="str">
            <v>Cheetos - BCP</v>
          </cell>
          <cell r="C10">
            <v>5.2556818181818182E-3</v>
          </cell>
          <cell r="D10">
            <v>2.8</v>
          </cell>
          <cell r="E10">
            <v>17.5</v>
          </cell>
        </row>
        <row r="11">
          <cell r="A11">
            <v>30000</v>
          </cell>
          <cell r="B11" t="str">
            <v>Twisties</v>
          </cell>
          <cell r="C11">
            <v>5.6249999999999998E-3</v>
          </cell>
          <cell r="D11">
            <v>2.8</v>
          </cell>
          <cell r="E11">
            <v>17.5</v>
          </cell>
        </row>
        <row r="12">
          <cell r="A12">
            <v>41000</v>
          </cell>
          <cell r="B12" t="str">
            <v>3D's - Corn</v>
          </cell>
          <cell r="C12">
            <v>3.317901234567901E-3</v>
          </cell>
          <cell r="D12">
            <v>2.8</v>
          </cell>
          <cell r="E12">
            <v>17.5</v>
          </cell>
        </row>
      </sheetData>
      <sheetData sheetId="5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Code</v>
          </cell>
          <cell r="B2" t="str">
            <v>Description</v>
          </cell>
          <cell r="C2" t="str">
            <v>Man Hour/Per kg</v>
          </cell>
          <cell r="D2" t="str">
            <v>Waste %</v>
          </cell>
          <cell r="E2" t="str">
            <v>Bht./Hr.</v>
          </cell>
        </row>
        <row r="3">
          <cell r="A3">
            <v>10000</v>
          </cell>
          <cell r="B3" t="str">
            <v>Lay's</v>
          </cell>
          <cell r="D3" t="str">
            <v>(Bht./kg)</v>
          </cell>
        </row>
        <row r="4">
          <cell r="A4">
            <v>10001</v>
          </cell>
          <cell r="B4" t="str">
            <v>Lay's 18g (1 x 120)</v>
          </cell>
          <cell r="C4">
            <v>4.3935185185185181E-2</v>
          </cell>
          <cell r="D4">
            <v>2.8</v>
          </cell>
          <cell r="E4">
            <v>17.5</v>
          </cell>
        </row>
        <row r="5">
          <cell r="A5">
            <v>10002</v>
          </cell>
          <cell r="B5" t="str">
            <v>Lay's 66g (1 x 48)</v>
          </cell>
          <cell r="C5">
            <v>1.5372474747474748E-2</v>
          </cell>
          <cell r="D5">
            <v>2.8</v>
          </cell>
          <cell r="E5">
            <v>17.5</v>
          </cell>
        </row>
        <row r="6">
          <cell r="A6">
            <v>10003</v>
          </cell>
          <cell r="B6" t="str">
            <v>Lay's 100g (1 x 24)</v>
          </cell>
          <cell r="C6">
            <v>8.0833333333333347E-3</v>
          </cell>
          <cell r="D6">
            <v>2.8</v>
          </cell>
          <cell r="E6">
            <v>17.5</v>
          </cell>
        </row>
        <row r="7">
          <cell r="A7">
            <v>10004</v>
          </cell>
          <cell r="B7" t="str">
            <v>Lay's 150g (1 x 18)</v>
          </cell>
          <cell r="C7">
            <v>7.1851851851851851E-3</v>
          </cell>
          <cell r="D7">
            <v>2.8</v>
          </cell>
          <cell r="E7">
            <v>17.5</v>
          </cell>
        </row>
        <row r="8">
          <cell r="A8">
            <v>10005</v>
          </cell>
          <cell r="B8" t="str">
            <v>Lay's 21g (1 x 120)</v>
          </cell>
          <cell r="C8">
            <v>3.7658730158730155E-2</v>
          </cell>
          <cell r="D8">
            <v>2.8</v>
          </cell>
          <cell r="E8">
            <v>17.5</v>
          </cell>
        </row>
        <row r="9">
          <cell r="A9">
            <v>10006</v>
          </cell>
          <cell r="B9" t="str">
            <v>Lay's 72g (1 x 48)</v>
          </cell>
          <cell r="C9">
            <v>1.4091435185185186E-2</v>
          </cell>
          <cell r="D9">
            <v>2.8</v>
          </cell>
          <cell r="E9">
            <v>17.5</v>
          </cell>
        </row>
        <row r="10">
          <cell r="A10">
            <v>10008</v>
          </cell>
          <cell r="B10" t="str">
            <v>Lay's 30g (1 x 48)-Smile</v>
          </cell>
          <cell r="C10">
            <v>2.2281639928698752E-2</v>
          </cell>
          <cell r="D10">
            <v>2.8</v>
          </cell>
          <cell r="E10">
            <v>17.5</v>
          </cell>
        </row>
        <row r="11">
          <cell r="A11">
            <v>10009</v>
          </cell>
          <cell r="B11" t="str">
            <v>Lay's 80g (1 x 24)-Smile</v>
          </cell>
          <cell r="C11">
            <v>1.0008006405124099E-2</v>
          </cell>
          <cell r="D11">
            <v>2.8</v>
          </cell>
          <cell r="E11">
            <v>17.5</v>
          </cell>
        </row>
        <row r="12">
          <cell r="A12">
            <v>10010</v>
          </cell>
          <cell r="B12" t="str">
            <v>Lay's 24g (1 x 120)</v>
          </cell>
          <cell r="C12">
            <v>3.2951388888888891E-2</v>
          </cell>
          <cell r="D12">
            <v>2.8</v>
          </cell>
          <cell r="E12">
            <v>17.5</v>
          </cell>
        </row>
        <row r="13">
          <cell r="A13">
            <v>10011</v>
          </cell>
          <cell r="B13" t="str">
            <v>Lay's 80g (1 x 48)</v>
          </cell>
          <cell r="C13">
            <v>1.2682291666666666E-2</v>
          </cell>
          <cell r="D13">
            <v>2.8</v>
          </cell>
          <cell r="E13">
            <v>17.5</v>
          </cell>
        </row>
        <row r="14">
          <cell r="A14">
            <v>10012</v>
          </cell>
          <cell r="B14" t="str">
            <v>Lay's 120g (1 x 24)</v>
          </cell>
          <cell r="C14">
            <v>6.736111111111112E-3</v>
          </cell>
          <cell r="D14">
            <v>2.8</v>
          </cell>
          <cell r="E14">
            <v>17.5</v>
          </cell>
        </row>
        <row r="15">
          <cell r="A15">
            <v>20000</v>
          </cell>
          <cell r="B15" t="str">
            <v>Cheetos</v>
          </cell>
        </row>
        <row r="16">
          <cell r="A16">
            <v>21001</v>
          </cell>
          <cell r="B16" t="str">
            <v>FCP 18g (1 x 72)</v>
          </cell>
          <cell r="C16">
            <v>1.8209876543209876E-2</v>
          </cell>
          <cell r="D16">
            <v>2.8</v>
          </cell>
          <cell r="E16">
            <v>17.5</v>
          </cell>
        </row>
        <row r="17">
          <cell r="A17">
            <v>21002</v>
          </cell>
          <cell r="B17" t="str">
            <v>FCP 20g (1 x 72)</v>
          </cell>
          <cell r="C17">
            <v>1.638888888888889E-2</v>
          </cell>
          <cell r="D17">
            <v>2.8</v>
          </cell>
          <cell r="E17">
            <v>17.5</v>
          </cell>
        </row>
        <row r="18">
          <cell r="A18">
            <v>21003</v>
          </cell>
          <cell r="B18" t="str">
            <v>FCP 45g (1 x 48)</v>
          </cell>
          <cell r="C18">
            <v>1.5879629629629629E-2</v>
          </cell>
          <cell r="D18">
            <v>2.8</v>
          </cell>
          <cell r="E18">
            <v>17.5</v>
          </cell>
        </row>
        <row r="19">
          <cell r="A19">
            <v>21004</v>
          </cell>
          <cell r="B19" t="str">
            <v>FCP 40g (1 x 48)</v>
          </cell>
          <cell r="C19">
            <v>1.7864583333333333E-2</v>
          </cell>
          <cell r="D19">
            <v>2.8</v>
          </cell>
          <cell r="E19">
            <v>17.5</v>
          </cell>
        </row>
        <row r="20">
          <cell r="A20">
            <v>21005</v>
          </cell>
          <cell r="B20" t="str">
            <v>FCP 18g (1 x 36) 7-11</v>
          </cell>
          <cell r="C20">
            <v>3.6419753086419752E-2</v>
          </cell>
          <cell r="D20">
            <v>2.8</v>
          </cell>
          <cell r="E20">
            <v>17.5</v>
          </cell>
        </row>
        <row r="21">
          <cell r="A21">
            <v>22001</v>
          </cell>
          <cell r="B21" t="str">
            <v>BCP 15g (1 x 96)</v>
          </cell>
          <cell r="C21">
            <v>4.3680555555555556E-2</v>
          </cell>
          <cell r="D21">
            <v>2.8</v>
          </cell>
          <cell r="E21">
            <v>17.5</v>
          </cell>
        </row>
        <row r="22">
          <cell r="A22">
            <v>22002</v>
          </cell>
          <cell r="B22" t="str">
            <v>BCP 22g (1 x 96)</v>
          </cell>
          <cell r="C22">
            <v>2.9782196969696965E-2</v>
          </cell>
          <cell r="D22">
            <v>2.8</v>
          </cell>
          <cell r="E22">
            <v>17.5</v>
          </cell>
        </row>
        <row r="23">
          <cell r="A23">
            <v>22003</v>
          </cell>
          <cell r="B23" t="str">
            <v>BCP 35g (1 x 48)</v>
          </cell>
          <cell r="C23">
            <v>2.0416666666666666E-2</v>
          </cell>
          <cell r="D23">
            <v>2.8</v>
          </cell>
          <cell r="E23">
            <v>17.5</v>
          </cell>
        </row>
        <row r="24">
          <cell r="A24">
            <v>22004</v>
          </cell>
          <cell r="B24" t="str">
            <v>BCP 45g (1 x 48)</v>
          </cell>
          <cell r="C24">
            <v>1.5879629629629629E-2</v>
          </cell>
          <cell r="D24">
            <v>2.8</v>
          </cell>
          <cell r="E24">
            <v>17.5</v>
          </cell>
        </row>
        <row r="25">
          <cell r="A25">
            <v>22005</v>
          </cell>
          <cell r="B25" t="str">
            <v>BCP 15g (1 x 36) 7-11</v>
          </cell>
          <cell r="C25">
            <v>0.11648148148148146</v>
          </cell>
          <cell r="D25">
            <v>2.8</v>
          </cell>
          <cell r="E25">
            <v>17.5</v>
          </cell>
        </row>
        <row r="26">
          <cell r="A26">
            <v>30000</v>
          </cell>
          <cell r="B26" t="str">
            <v>Twisties</v>
          </cell>
          <cell r="C26">
            <v>0.15</v>
          </cell>
          <cell r="D26">
            <v>20.350000000000001</v>
          </cell>
        </row>
        <row r="27">
          <cell r="A27">
            <v>30001</v>
          </cell>
          <cell r="B27" t="str">
            <v>Twisties 20g (1 x 96)</v>
          </cell>
          <cell r="C27">
            <v>3.2760416666666667E-2</v>
          </cell>
          <cell r="D27">
            <v>2.8</v>
          </cell>
          <cell r="E27">
            <v>17.5</v>
          </cell>
        </row>
        <row r="28">
          <cell r="A28">
            <v>30002</v>
          </cell>
          <cell r="B28" t="str">
            <v>Twisties 40g (1 x 48)</v>
          </cell>
          <cell r="C28">
            <v>1.7864583333333333E-2</v>
          </cell>
          <cell r="D28">
            <v>2.8</v>
          </cell>
          <cell r="E28">
            <v>17.5</v>
          </cell>
        </row>
        <row r="29">
          <cell r="A29">
            <v>30003</v>
          </cell>
          <cell r="B29" t="str">
            <v>Twisties 90g (1 x 24)</v>
          </cell>
          <cell r="C29">
            <v>6.9444444444444441E-3</v>
          </cell>
          <cell r="D29">
            <v>2.8</v>
          </cell>
          <cell r="E29">
            <v>17.5</v>
          </cell>
        </row>
        <row r="30">
          <cell r="A30">
            <v>40000</v>
          </cell>
          <cell r="B30" t="str">
            <v>3D's</v>
          </cell>
          <cell r="C30">
            <v>8.3000000000000004E-2</v>
          </cell>
          <cell r="D30">
            <v>129</v>
          </cell>
        </row>
        <row r="31">
          <cell r="A31">
            <v>41000</v>
          </cell>
          <cell r="B31" t="str">
            <v>3D's Corn</v>
          </cell>
          <cell r="C31">
            <v>8.3000000000000004E-2</v>
          </cell>
          <cell r="D31">
            <v>140</v>
          </cell>
        </row>
        <row r="32">
          <cell r="A32">
            <v>41001</v>
          </cell>
          <cell r="B32" t="str">
            <v>3D's 18g (1 x 72)</v>
          </cell>
          <cell r="C32">
            <v>4.8533950617283945E-2</v>
          </cell>
          <cell r="D32">
            <v>2.8</v>
          </cell>
          <cell r="E32">
            <v>17.5</v>
          </cell>
        </row>
        <row r="33">
          <cell r="A33">
            <v>41002</v>
          </cell>
          <cell r="B33" t="str">
            <v>3D's 36g (1 x 48)</v>
          </cell>
          <cell r="C33">
            <v>2.4074074074074074E-2</v>
          </cell>
          <cell r="D33">
            <v>2.8</v>
          </cell>
          <cell r="E33">
            <v>17.5</v>
          </cell>
        </row>
        <row r="34">
          <cell r="A34">
            <v>41003</v>
          </cell>
          <cell r="B34" t="str">
            <v>3D's 75g (1 x 24)</v>
          </cell>
          <cell r="C34">
            <v>1.4222222222222223E-2</v>
          </cell>
          <cell r="D34">
            <v>2.8</v>
          </cell>
          <cell r="E34">
            <v>17.5</v>
          </cell>
        </row>
        <row r="35">
          <cell r="A35">
            <v>41004</v>
          </cell>
          <cell r="B35" t="str">
            <v>3D's 20g (1 x 72)</v>
          </cell>
          <cell r="C35">
            <v>4.3680555555555556E-2</v>
          </cell>
          <cell r="D35">
            <v>2.8</v>
          </cell>
          <cell r="E35">
            <v>17.5</v>
          </cell>
        </row>
        <row r="36">
          <cell r="A36">
            <v>41005</v>
          </cell>
          <cell r="B36" t="str">
            <v>3D's 40g (1 x 48)</v>
          </cell>
          <cell r="C36">
            <v>2.1666666666666667E-2</v>
          </cell>
          <cell r="D36">
            <v>2.8</v>
          </cell>
          <cell r="E36">
            <v>17.5</v>
          </cell>
        </row>
        <row r="37">
          <cell r="A37">
            <v>42000</v>
          </cell>
          <cell r="B37" t="str">
            <v>3D's Perf.</v>
          </cell>
          <cell r="C37">
            <v>8.3000000000000004E-2</v>
          </cell>
          <cell r="D37">
            <v>140</v>
          </cell>
        </row>
        <row r="38">
          <cell r="A38">
            <v>42006</v>
          </cell>
          <cell r="B38" t="str">
            <v>3D's 17g (1 x 72)</v>
          </cell>
          <cell r="C38">
            <v>5.1388888888888887E-2</v>
          </cell>
          <cell r="D38">
            <v>2.8</v>
          </cell>
          <cell r="E38">
            <v>17.5</v>
          </cell>
        </row>
        <row r="39">
          <cell r="A39">
            <v>42007</v>
          </cell>
          <cell r="B39" t="str">
            <v>3D's 34g (1 x 48)</v>
          </cell>
          <cell r="C39">
            <v>2.5490196078431372E-2</v>
          </cell>
          <cell r="D39">
            <v>2.8</v>
          </cell>
          <cell r="E39">
            <v>17.5</v>
          </cell>
        </row>
        <row r="40">
          <cell r="A40">
            <v>42008</v>
          </cell>
          <cell r="B40" t="str">
            <v>3D's 75g (1 x 24)</v>
          </cell>
          <cell r="C40">
            <v>1.4222222222222223E-2</v>
          </cell>
          <cell r="D40">
            <v>2.8</v>
          </cell>
          <cell r="E40">
            <v>17.5</v>
          </cell>
        </row>
        <row r="41">
          <cell r="A41">
            <v>43000</v>
          </cell>
          <cell r="B41" t="str">
            <v>Tawan</v>
          </cell>
          <cell r="C41">
            <v>8.3000000000000004E-2</v>
          </cell>
          <cell r="D41">
            <v>170</v>
          </cell>
        </row>
        <row r="42">
          <cell r="A42">
            <v>43001</v>
          </cell>
          <cell r="B42" t="str">
            <v xml:space="preserve"> Tawan 25g (1 x 72)</v>
          </cell>
          <cell r="C42">
            <v>1.6645699444444446E-2</v>
          </cell>
          <cell r="D42">
            <v>2.8</v>
          </cell>
          <cell r="E42">
            <v>17.5</v>
          </cell>
        </row>
        <row r="43">
          <cell r="A43">
            <v>43002</v>
          </cell>
          <cell r="B43" t="str">
            <v xml:space="preserve"> Tawan 50g (1 x 48)</v>
          </cell>
          <cell r="C43">
            <v>1.6166666666666669E-2</v>
          </cell>
          <cell r="D43">
            <v>2.8</v>
          </cell>
          <cell r="E43">
            <v>17.5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Start Here"/>
      <sheetName val="Pd"/>
      <sheetName val="QTD"/>
      <sheetName val="YTD"/>
      <sheetName val="Forecast"/>
      <sheetName val="Control"/>
      <sheetName val="Puerto Rico"/>
      <sheetName val="P&amp;L"/>
      <sheetName val="System Specs"/>
      <sheetName val="Summary"/>
      <sheetName val="OCF Change"/>
      <sheetName val="RATES"/>
      <sheetName val="Start_Here"/>
      <sheetName val="Puerto_Rico"/>
      <sheetName val="System_Specs"/>
      <sheetName val="OCF_Change"/>
      <sheetName val="Start_Here1"/>
      <sheetName val="Puerto_Rico1"/>
      <sheetName val="System_Specs1"/>
      <sheetName val="OCF_Change1"/>
      <sheetName val="Start_Here2"/>
      <sheetName val="Puerto_Rico2"/>
      <sheetName val="System_Specs2"/>
      <sheetName val="OCF_Chang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Front Page and References"/>
      <sheetName val="Packaging Requirements"/>
      <sheetName val="Product Requirements"/>
      <sheetName val="Environmental Data"/>
      <sheetName val="Electrical Requirements"/>
      <sheetName val="Electrical Requirements RFQ"/>
      <sheetName val="Mechanical Requirements"/>
      <sheetName val="Mechanical Requirements RFQ"/>
      <sheetName val="Line"/>
      <sheetName val="Equipment Speed"/>
      <sheetName val="Blow Molder"/>
      <sheetName val="Blow Molder RFQ"/>
      <sheetName val="Bottle Storage Silo"/>
      <sheetName val="Bottle Storage Silo RFQ"/>
      <sheetName val="Bottle Unscrambler"/>
      <sheetName val="Bottle Unscrambler RFQ"/>
      <sheetName val="Bulk Bottle Palletiser"/>
      <sheetName val="Bulk Bottle Palletiser RFQ"/>
      <sheetName val="Pallet Bander"/>
      <sheetName val="Pallet Bander RFQ"/>
      <sheetName val="Pallet Stretchwrapper"/>
      <sheetName val="Pallet Stretchwrapper RFQ"/>
      <sheetName val="Bulk Bottle Depalletiser"/>
      <sheetName val="Bulk Bottle Depalletiser RFQ"/>
      <sheetName val="Glass Tempering System"/>
      <sheetName val="Glass Tempering System RFQ"/>
      <sheetName val="Bottle Rinser"/>
      <sheetName val="Bottle Rinser RFQ"/>
      <sheetName val="Filler"/>
      <sheetName val="Filler RFQ"/>
      <sheetName val="Liquid N2 Injection System"/>
      <sheetName val="Liquid N2 Injection System RFQ"/>
      <sheetName val="PL Capper"/>
      <sheetName val="PL Capper RFQ"/>
      <sheetName val="Lug Capper"/>
      <sheetName val="Lug Capper RFQ"/>
      <sheetName val="Bulk Cap Feeding System"/>
      <sheetName val="Bulk Cap Feeding System RFQ"/>
      <sheetName val="Bulk Lug Feeding System"/>
      <sheetName val="Bulk Lug Feeding System RFQ"/>
      <sheetName val="Thermal Processing Skid"/>
      <sheetName val="Thermal Processing Skid RFQ"/>
      <sheetName val="Homogenizer"/>
      <sheetName val="Homogenizer RFQ"/>
      <sheetName val="CIP Skid"/>
      <sheetName val="CIP Skid RFQ"/>
      <sheetName val="Elect Fill Level Inspector"/>
      <sheetName val="Elect Fill Level Inspector RFQ"/>
      <sheetName val="Bottle Coder"/>
      <sheetName val="Bottle Coder RFQ"/>
      <sheetName val="Bottle Inverter"/>
      <sheetName val="Bottle Inverter RFQ"/>
      <sheetName val="Metal Detector"/>
      <sheetName val="Metal Detector RFQ"/>
      <sheetName val="Bottle Cooler"/>
      <sheetName val="Bottle Cooler RFQ"/>
      <sheetName val="Labeller"/>
      <sheetName val="Labeller RFQ"/>
      <sheetName val="Labeller Mag"/>
      <sheetName val="Labeller Mag RFQ"/>
      <sheetName val="Dud Detector"/>
      <sheetName val="Dud Detector RFQ"/>
      <sheetName val="Fill Level Inspector#2"/>
      <sheetName val="Fill Level Inspector#2 RFQ"/>
      <sheetName val="Multi-Packer"/>
      <sheetName val="Multi-Packer RFQ"/>
      <sheetName val="Handle Applicator"/>
      <sheetName val="Handle Applicator RFQ"/>
      <sheetName val="Packer- Shrink Wrapper"/>
      <sheetName val="Packer- Shrink Wrapper RFQ"/>
      <sheetName val="Carton Former Packer Sealer"/>
      <sheetName val="Carton Former Packer Sealer RFQ"/>
      <sheetName val="Pack Coder"/>
      <sheetName val="Pack Coder RFQ"/>
      <sheetName val="Pack Labeller"/>
      <sheetName val="Pack Labeller RFQ"/>
      <sheetName val="Pack Palletiser"/>
      <sheetName val="Pack Palletiser RFQ"/>
      <sheetName val="Pack Pallet Stretchwrapper"/>
      <sheetName val="Pack Pallet Stretchwrapper RFQ"/>
      <sheetName val="Pallet Labeller"/>
      <sheetName val="Pallet Labeller RFQ"/>
      <sheetName val="Air Conveyor System"/>
      <sheetName val="Air Conveyor System RFQ"/>
      <sheetName val="Bottle Conveyor System"/>
      <sheetName val="Bottle Conveyor System RFQ"/>
      <sheetName val="Pack Conveyor System"/>
      <sheetName val="Pack Conveyor System RFQ"/>
      <sheetName val="Equipment Performance Standards"/>
      <sheetName val="Red_Dye_Test"/>
      <sheetName val="Pricing Summary Schedule"/>
      <sheetName val="Utility Summary Schedule"/>
      <sheetName val="2001 Base"/>
      <sheetName val="P"/>
      <sheetName val="Title_Page"/>
      <sheetName val="Front_Page_and_References"/>
      <sheetName val="Packaging_Requirements"/>
      <sheetName val="Product_Requirements"/>
      <sheetName val="Environmental_Data"/>
      <sheetName val="Electrical_Requirements"/>
      <sheetName val="Electrical_Requirements_RFQ"/>
      <sheetName val="Mechanical_Requirements"/>
      <sheetName val="Mechanical_Requirements_RFQ"/>
      <sheetName val="Equipment_Speed"/>
      <sheetName val="Blow_Molder"/>
      <sheetName val="Blow_Molder_RFQ"/>
      <sheetName val="Bottle_Storage_Silo"/>
      <sheetName val="Bottle_Storage_Silo_RFQ"/>
      <sheetName val="Bottle_Unscrambler"/>
      <sheetName val="Bottle_Unscrambler_RFQ"/>
      <sheetName val="Bulk_Bottle_Palletiser"/>
      <sheetName val="Bulk_Bottle_Palletiser_RFQ"/>
      <sheetName val="Pallet_Bander"/>
      <sheetName val="Pallet_Bander_RFQ"/>
      <sheetName val="Pallet_Stretchwrapper"/>
      <sheetName val="Pallet_Stretchwrapper_RFQ"/>
      <sheetName val="Bulk_Bottle_Depalletiser"/>
      <sheetName val="Bulk_Bottle_Depalletiser_RFQ"/>
      <sheetName val="Glass_Tempering_System"/>
      <sheetName val="Glass_Tempering_System_RFQ"/>
      <sheetName val="Bottle_Rinser"/>
      <sheetName val="Bottle_Rinser_RFQ"/>
      <sheetName val="Filler_RFQ"/>
      <sheetName val="Liquid_N2_Injection_System"/>
      <sheetName val="Liquid_N2_Injection_System_RFQ"/>
      <sheetName val="PL_Capper"/>
      <sheetName val="PL_Capper_RFQ"/>
      <sheetName val="Lug_Capper"/>
      <sheetName val="Lug_Capper_RFQ"/>
      <sheetName val="Bulk_Cap_Feeding_System"/>
      <sheetName val="Bulk_Cap_Feeding_System_RFQ"/>
      <sheetName val="Bulk_Lug_Feeding_System"/>
      <sheetName val="Bulk_Lug_Feeding_System_RFQ"/>
      <sheetName val="Thermal_Processing_Skid"/>
      <sheetName val="Thermal_Processing_Skid_RFQ"/>
      <sheetName val="Homogenizer_RFQ"/>
      <sheetName val="CIP_Skid"/>
      <sheetName val="CIP_Skid_RFQ"/>
      <sheetName val="Elect_Fill_Level_Inspector"/>
      <sheetName val="Elect_Fill_Level_Inspector_RFQ"/>
      <sheetName val="Bottle_Coder"/>
      <sheetName val="Bottle_Coder_RFQ"/>
      <sheetName val="Bottle_Inverter"/>
      <sheetName val="Bottle_Inverter_RFQ"/>
      <sheetName val="Metal_Detector"/>
      <sheetName val="Metal_Detector_RFQ"/>
      <sheetName val="Bottle_Cooler"/>
      <sheetName val="Bottle_Cooler_RFQ"/>
      <sheetName val="Labeller_RFQ"/>
      <sheetName val="Labeller_Mag"/>
      <sheetName val="Labeller_Mag_RFQ"/>
      <sheetName val="Dud_Detector"/>
      <sheetName val="Dud_Detector_RFQ"/>
      <sheetName val="Fill_Level_Inspector#2"/>
      <sheetName val="Fill_Level_Inspector#2_RFQ"/>
      <sheetName val="Multi-Packer_RFQ"/>
      <sheetName val="Handle_Applicator"/>
      <sheetName val="Handle_Applicator_RFQ"/>
      <sheetName val="Packer-_Shrink_Wrapper"/>
      <sheetName val="Packer-_Shrink_Wrapper_RFQ"/>
      <sheetName val="Carton_Former_Packer_Sealer"/>
      <sheetName val="Carton_Former_Packer_Sealer_RFQ"/>
      <sheetName val="Pack_Coder"/>
      <sheetName val="Pack_Coder_RFQ"/>
      <sheetName val="Pack_Labeller"/>
      <sheetName val="Pack_Labeller_RFQ"/>
      <sheetName val="Pack_Palletiser"/>
      <sheetName val="Pack_Palletiser_RFQ"/>
      <sheetName val="Pack_Pallet_Stretchwrapper"/>
      <sheetName val="Pack_Pallet_Stretchwrapper_RFQ"/>
      <sheetName val="Pallet_Labeller"/>
      <sheetName val="Pallet_Labeller_RFQ"/>
      <sheetName val="Air_Conveyor_System"/>
      <sheetName val="Air_Conveyor_System_RFQ"/>
      <sheetName val="Bottle_Conveyor_System"/>
      <sheetName val="Bottle_Conveyor_System_RFQ"/>
      <sheetName val="Pack_Conveyor_System"/>
      <sheetName val="Pack_Conveyor_System_RFQ"/>
      <sheetName val="Equipment_Performance_Standards"/>
      <sheetName val="Pricing_Summary_Schedule"/>
      <sheetName val="Utility_Summary_Schedule"/>
      <sheetName val="2001_Base"/>
      <sheetName val="Title_Page1"/>
      <sheetName val="Front_Page_and_References1"/>
      <sheetName val="Packaging_Requirements1"/>
      <sheetName val="Product_Requirements1"/>
      <sheetName val="Environmental_Data1"/>
      <sheetName val="Electrical_Requirements1"/>
      <sheetName val="Electrical_Requirements_RFQ1"/>
      <sheetName val="Mechanical_Requirements1"/>
      <sheetName val="Mechanical_Requirements_RFQ1"/>
      <sheetName val="Equipment_Speed1"/>
      <sheetName val="Blow_Molder1"/>
      <sheetName val="Blow_Molder_RFQ1"/>
      <sheetName val="Bottle_Storage_Silo1"/>
      <sheetName val="Bottle_Storage_Silo_RFQ1"/>
      <sheetName val="Bottle_Unscrambler1"/>
      <sheetName val="Bottle_Unscrambler_RFQ1"/>
      <sheetName val="Bulk_Bottle_Palletiser1"/>
      <sheetName val="Bulk_Bottle_Palletiser_RFQ1"/>
      <sheetName val="Pallet_Bander1"/>
      <sheetName val="Pallet_Bander_RFQ1"/>
      <sheetName val="Pallet_Stretchwrapper1"/>
      <sheetName val="Pallet_Stretchwrapper_RFQ1"/>
      <sheetName val="Bulk_Bottle_Depalletiser1"/>
      <sheetName val="Bulk_Bottle_Depalletiser_RFQ1"/>
      <sheetName val="Glass_Tempering_System1"/>
      <sheetName val="Glass_Tempering_System_RFQ1"/>
      <sheetName val="Bottle_Rinser1"/>
      <sheetName val="Bottle_Rinser_RFQ1"/>
      <sheetName val="Filler_RFQ1"/>
      <sheetName val="Liquid_N2_Injection_System1"/>
      <sheetName val="Liquid_N2_Injection_System_RFQ1"/>
      <sheetName val="PL_Capper1"/>
      <sheetName val="PL_Capper_RFQ1"/>
      <sheetName val="Lug_Capper1"/>
      <sheetName val="Lug_Capper_RFQ1"/>
      <sheetName val="Bulk_Cap_Feeding_System1"/>
      <sheetName val="Bulk_Cap_Feeding_System_RFQ1"/>
      <sheetName val="Bulk_Lug_Feeding_System1"/>
      <sheetName val="Bulk_Lug_Feeding_System_RFQ1"/>
      <sheetName val="Thermal_Processing_Skid1"/>
      <sheetName val="Thermal_Processing_Skid_RFQ1"/>
      <sheetName val="Homogenizer_RFQ1"/>
      <sheetName val="CIP_Skid1"/>
      <sheetName val="CIP_Skid_RFQ1"/>
      <sheetName val="Elect_Fill_Level_Inspector1"/>
      <sheetName val="Elect_Fill_Level_Inspector_RFQ1"/>
      <sheetName val="Bottle_Coder1"/>
      <sheetName val="Bottle_Coder_RFQ1"/>
      <sheetName val="Bottle_Inverter1"/>
      <sheetName val="Bottle_Inverter_RFQ1"/>
      <sheetName val="Metal_Detector1"/>
      <sheetName val="Metal_Detector_RFQ1"/>
      <sheetName val="Bottle_Cooler1"/>
      <sheetName val="Bottle_Cooler_RFQ1"/>
      <sheetName val="Labeller_RFQ1"/>
      <sheetName val="Labeller_Mag1"/>
      <sheetName val="Labeller_Mag_RFQ1"/>
      <sheetName val="Dud_Detector1"/>
      <sheetName val="Dud_Detector_RFQ1"/>
      <sheetName val="Fill_Level_Inspector#21"/>
      <sheetName val="Fill_Level_Inspector#2_RFQ1"/>
      <sheetName val="Multi-Packer_RFQ1"/>
      <sheetName val="Handle_Applicator1"/>
      <sheetName val="Handle_Applicator_RFQ1"/>
      <sheetName val="Packer-_Shrink_Wrapper1"/>
      <sheetName val="Packer-_Shrink_Wrapper_RFQ1"/>
      <sheetName val="Carton_Former_Packer_Sealer1"/>
      <sheetName val="Carton_Former_Packer_Sealer_RF1"/>
      <sheetName val="Pack_Coder1"/>
      <sheetName val="Pack_Coder_RFQ1"/>
      <sheetName val="Pack_Labeller1"/>
      <sheetName val="Pack_Labeller_RFQ1"/>
      <sheetName val="Pack_Palletiser1"/>
      <sheetName val="Pack_Palletiser_RFQ1"/>
      <sheetName val="Pack_Pallet_Stretchwrapper1"/>
      <sheetName val="Pack_Pallet_Stretchwrapper_RFQ1"/>
      <sheetName val="Pallet_Labeller1"/>
      <sheetName val="Pallet_Labeller_RFQ1"/>
      <sheetName val="Air_Conveyor_System1"/>
      <sheetName val="Air_Conveyor_System_RFQ1"/>
      <sheetName val="Bottle_Conveyor_System1"/>
      <sheetName val="Bottle_Conveyor_System_RFQ1"/>
      <sheetName val="Pack_Conveyor_System1"/>
      <sheetName val="Pack_Conveyor_System_RFQ1"/>
      <sheetName val="Equipment_Performance_Standard1"/>
      <sheetName val="Pricing_Summary_Schedule1"/>
      <sheetName val="Utility_Summary_Schedule1"/>
      <sheetName val="2001_Bas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 schedule"/>
      <sheetName val="Lipton sum"/>
      <sheetName val="Lipton sum (2)"/>
      <sheetName val="CF(Total)"/>
      <sheetName val="CF(Thai)"/>
      <sheetName val="CF(Gat)"/>
      <sheetName val="cta on fin"/>
      <sheetName val="Capex"/>
      <sheetName val="bs sup."/>
      <sheetName val="b-s"/>
      <sheetName val="b-s (Gat)"/>
      <sheetName val="BS-Thai(for export)"/>
      <sheetName val="BS-Gat(for export) "/>
      <sheetName val="Driver"/>
      <sheetName val="Map"/>
      <sheetName val="X-Charge"/>
      <sheetName val="Fixed"/>
      <sheetName val="Pepsi"/>
      <sheetName val="Mirinda"/>
      <sheetName val="7-Up"/>
      <sheetName val="MountainDew"/>
      <sheetName val="Club"/>
      <sheetName val="Gatorade"/>
      <sheetName val="Lipton"/>
      <sheetName val="asump"/>
      <sheetName val="Twister"/>
      <sheetName val="WaterPlus"/>
      <sheetName val="NCSD1"/>
      <sheetName val="NCSD2"/>
      <sheetName val="SSC Conc"/>
      <sheetName val="PTT"/>
      <sheetName val="Tax"/>
      <sheetName val="PLPepsi"/>
      <sheetName val="PLMirinda"/>
      <sheetName val="PL7-UP"/>
      <sheetName val="PLMountDew"/>
      <sheetName val="PLClub"/>
      <sheetName val="PLGatorade"/>
      <sheetName val="PLTwister"/>
      <sheetName val="PLWaterPlus"/>
      <sheetName val="PLNCSD1"/>
      <sheetName val="PLNCSD2"/>
      <sheetName val="PL_Other"/>
      <sheetName val="PLLipton"/>
      <sheetName val="PLCSD"/>
      <sheetName val="PLNCSD"/>
      <sheetName val="Brand Sum"/>
      <sheetName val="COCH $"/>
      <sheetName val="COCH Bht."/>
      <sheetName val="CSD VS 2004F"/>
      <sheetName val="NCSD VS 2004F "/>
      <sheetName val="VS 2004F"/>
      <sheetName val="CSD 2004F (B)"/>
      <sheetName val="VS 2004F (B)"/>
      <sheetName val="2004F"/>
      <sheetName val="AOP"/>
      <sheetName val="QFcst"/>
      <sheetName val="SP"/>
      <sheetName val="SSC"/>
      <sheetName val="Hyp-CSD-PL"/>
      <sheetName val="Hyp-Lipton"/>
      <sheetName val="Hyp-Twister"/>
      <sheetName val="Hyp-Gatorade"/>
      <sheetName val="Twister full goods"/>
      <sheetName val="Preview1"/>
      <sheetName val="Preview2"/>
      <sheetName val="Line"/>
      <sheetName val="Tax_schedule"/>
      <sheetName val="Lipton_sum"/>
      <sheetName val="Lipton_sum_(2)"/>
      <sheetName val="cta_on_fin"/>
      <sheetName val="bs_sup_"/>
      <sheetName val="b-s_(Gat)"/>
      <sheetName val="BS-Thai(for_export)"/>
      <sheetName val="BS-Gat(for_export)_"/>
      <sheetName val="SSC_Conc"/>
      <sheetName val="Brand_Sum"/>
      <sheetName val="COCH_$"/>
      <sheetName val="COCH_Bht_"/>
      <sheetName val="CSD_VS_2004F"/>
      <sheetName val="NCSD_VS_2004F_"/>
      <sheetName val="VS_2004F"/>
      <sheetName val="CSD_2004F_(B)"/>
      <sheetName val="VS_2004F_(B)"/>
      <sheetName val="Twister_full_goods"/>
      <sheetName val="Tax_schedule1"/>
      <sheetName val="Lipton_sum1"/>
      <sheetName val="Lipton_sum_(2)1"/>
      <sheetName val="cta_on_fin1"/>
      <sheetName val="bs_sup_1"/>
      <sheetName val="b-s_(Gat)1"/>
      <sheetName val="BS-Thai(for_export)1"/>
      <sheetName val="BS-Gat(for_export)_1"/>
      <sheetName val="SSC_Conc1"/>
      <sheetName val="Brand_Sum1"/>
      <sheetName val="COCH_$1"/>
      <sheetName val="COCH_Bht_1"/>
      <sheetName val="CSD_VS_2004F1"/>
      <sheetName val="NCSD_VS_2004F_1"/>
      <sheetName val="VS_2004F1"/>
      <sheetName val="CSD_2004F_(B)1"/>
      <sheetName val="VS_2004F_(B)1"/>
      <sheetName val="Twister_full_goods1"/>
      <sheetName val="Tax_schedule2"/>
      <sheetName val="Lipton_sum2"/>
      <sheetName val="Lipton_sum_(2)2"/>
      <sheetName val="cta_on_fin2"/>
      <sheetName val="bs_sup_2"/>
      <sheetName val="b-s_(Gat)2"/>
      <sheetName val="BS-Thai(for_export)2"/>
      <sheetName val="BS-Gat(for_export)_2"/>
      <sheetName val="SSC_Conc2"/>
      <sheetName val="Brand_Sum2"/>
      <sheetName val="COCH_$2"/>
      <sheetName val="COCH_Bht_2"/>
      <sheetName val="CSD_VS_2004F2"/>
      <sheetName val="NCSD_VS_2004F_2"/>
      <sheetName val="VS_2004F2"/>
      <sheetName val="CSD_2004F_(B)2"/>
      <sheetName val="VS_2004F_(B)2"/>
      <sheetName val="Twister_full_good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BU P&amp;L"/>
      <sheetName val="Build-Draw"/>
      <sheetName val="PL7-UP"/>
      <sheetName val="AOP"/>
      <sheetName val="PLClub"/>
      <sheetName val="PLGatorade"/>
      <sheetName val="PLLipton"/>
      <sheetName val="PLMirinda"/>
      <sheetName val="PLMountDew"/>
      <sheetName val="PLNCSD"/>
      <sheetName val="PLNCSD1"/>
      <sheetName val="PLNCSD2"/>
      <sheetName val="PL_Other"/>
      <sheetName val="PLPepsi"/>
      <sheetName val="PTT"/>
      <sheetName val="QFcst"/>
      <sheetName val="PLTwister"/>
      <sheetName val="PLWaterPlus"/>
      <sheetName val="2004F"/>
      <sheetName val="SABU_P&amp;L"/>
      <sheetName val="SABU_P&amp;L1"/>
      <sheetName val="SABU_P&amp;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e jun"/>
      <sheetName val="COC"/>
      <sheetName val="summary"/>
      <sheetName val="Vol"/>
      <sheetName val="p&amp;l (BU)"/>
      <sheetName val="p&amp;l (MU)"/>
      <sheetName val="tax"/>
      <sheetName val="p&amp;l vs 180.4"/>
      <sheetName val="A&amp;M_BU"/>
      <sheetName val="Uni"/>
      <sheetName val="uni-mkt"/>
      <sheetName val="DMA"/>
      <sheetName val="JV (RMB) "/>
      <sheetName val="jv"/>
      <sheetName val="PCI JV "/>
      <sheetName val="other"/>
      <sheetName val="r&amp;o"/>
      <sheetName val="CF"/>
      <sheetName val="CAPEX (1.0)"/>
      <sheetName val="CAPEX (1.1) "/>
      <sheetName val="2000AOP(1.2)"/>
      <sheetName val="#REF"/>
      <sheetName val="Cover"/>
      <sheetName val="Snacks Volume &amp; Gross Sales"/>
      <sheetName val="Sheet1"/>
      <sheetName val="SCH50"/>
      <sheetName val="China ttl"/>
      <sheetName val="Input"/>
      <sheetName val="Comparable Trading Multiples"/>
      <sheetName val="move_jun"/>
      <sheetName val="p&amp;l_(BU)"/>
      <sheetName val="p&amp;l_(MU)"/>
      <sheetName val="p&amp;l_vs_180_4"/>
      <sheetName val="JV_(RMB)_"/>
      <sheetName val="PCI_JV_"/>
      <sheetName val="CAPEX_(1_0)"/>
      <sheetName val="CAPEX_(1_1)_"/>
      <sheetName val="2000AOP(1_2)"/>
      <sheetName val="Snacks_Volume_&amp;_Gross_Sales"/>
      <sheetName val="China_ttl"/>
      <sheetName val="Comparable_Trading_Multiples"/>
      <sheetName val="move_jun1"/>
      <sheetName val="p&amp;l_(BU)1"/>
      <sheetName val="p&amp;l_(MU)1"/>
      <sheetName val="p&amp;l_vs_180_41"/>
      <sheetName val="JV_(RMB)_1"/>
      <sheetName val="PCI_JV_1"/>
      <sheetName val="CAPEX_(1_0)1"/>
      <sheetName val="CAPEX_(1_1)_1"/>
      <sheetName val="2000AOP(1_2)1"/>
      <sheetName val="Snacks_Volume_&amp;_Gross_Sales1"/>
      <sheetName val="China_ttl1"/>
      <sheetName val="Comparable_Trading_Multiples1"/>
      <sheetName val="2000AOP(1.2).xls"/>
      <sheetName val="South"/>
      <sheetName val="Reference"/>
      <sheetName val="Total"/>
      <sheetName val="RMB"/>
      <sheetName val="Entity list"/>
      <sheetName val="预算-by区域"/>
      <sheetName val="cable_915"/>
      <sheetName val="普查库示例"/>
      <sheetName val="Local"/>
      <sheetName val="CONTENTS"/>
      <sheetName val="原材料单价分析"/>
      <sheetName val="P1-日追踪"/>
      <sheetName val="Coding"/>
      <sheetName val="F7-1新进业代辅导员安排"/>
      <sheetName val="Coke"/>
      <sheetName val="A14品牌别损益"/>
      <sheetName val="每日C02年费用"/>
      <sheetName val="Beverage Volume"/>
      <sheetName val="5月"/>
      <sheetName val="Puerto Rico"/>
      <sheetName val="TRIAL3"/>
      <sheetName val="G_PROF1"/>
      <sheetName val="sundry"/>
      <sheetName val="wAccuracyChart"/>
      <sheetName val="wHist_Data"/>
      <sheetName val="wSKU_Accuracy (2)"/>
      <sheetName val="费用'1"/>
      <sheetName val="1"/>
      <sheetName val="比较 (2)"/>
      <sheetName val="MAR-F"/>
      <sheetName val="源-各品项量"/>
      <sheetName val="P1-推进进度&amp;问题解决"/>
      <sheetName val="北区上市城市-方案1"/>
      <sheetName val="正常明细"/>
      <sheetName val="P9AP预提明细"/>
      <sheetName val=" "/>
      <sheetName val="区域"/>
      <sheetName val="VarianceFY00vsBP"/>
      <sheetName val="move_jun2"/>
      <sheetName val="p&amp;l_(BU)2"/>
      <sheetName val="p&amp;l_(MU)2"/>
      <sheetName val="p&amp;l_vs_180_42"/>
      <sheetName val="JV_(RMB)_2"/>
      <sheetName val="PCI_JV_2"/>
      <sheetName val="CAPEX_(1_0)2"/>
      <sheetName val="CAPEX_(1_1)_2"/>
      <sheetName val="2000AOP(1_2)2"/>
      <sheetName val="Snacks_Volume_&amp;_Gross_Sales2"/>
      <sheetName val="China_ttl2"/>
      <sheetName val="Comparable_Trading_Multiples2"/>
      <sheetName val="2000AOP(1_2)_xls"/>
      <sheetName val="Entity_list"/>
      <sheetName val="Beverage_Volume"/>
      <sheetName val="Puerto_Rico"/>
      <sheetName val="wSKU_Accuracy_(2)"/>
      <sheetName val="比较_(2)"/>
      <sheetName val="_"/>
    </sheetNames>
    <definedNames>
      <definedName name="Pri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(2)"/>
      <sheetName val="POWER"/>
      <sheetName val="SECEXP"/>
      <sheetName val="R &amp; D-PRODDEVL"/>
      <sheetName val="COMMUNICATIONF"/>
      <sheetName val="CARHIRENEW"/>
      <sheetName val="TRAVEL-DOMESTIC"/>
      <sheetName val="R&amp;M-PM-MECH "/>
      <sheetName val="ETP"/>
      <sheetName val="RATES &amp; TAXES"/>
      <sheetName val="AMC"/>
      <sheetName val="PMC"/>
      <sheetName val="STAFFWELFINAL"/>
      <sheetName val="USAGE"/>
      <sheetName val="EFF"/>
      <sheetName val="TRAINING"/>
      <sheetName val="R&amp;M_BLDG"/>
      <sheetName val="R&amp;M-PM-MECH"/>
      <sheetName val="LEGAL"/>
      <sheetName val="CONSUMABLE"/>
      <sheetName val="SANITATION"/>
      <sheetName val="RECRRELOC"/>
      <sheetName val="96R&amp;M"/>
      <sheetName val="RENT"/>
      <sheetName val="96EFF"/>
      <sheetName val="MGMTSAL-96"/>
      <sheetName val="Settings"/>
      <sheetName val="Reference"/>
      <sheetName val="POWER_(2)"/>
      <sheetName val="R_&amp;_D-PRODDEVL"/>
      <sheetName val="R&amp;M-PM-MECH_"/>
      <sheetName val="RATES_&amp;_TAXES"/>
      <sheetName val="POWER_(2)1"/>
      <sheetName val="R_&amp;_D-PRODDEVL1"/>
      <sheetName val="R&amp;M-PM-MECH_1"/>
      <sheetName val="RATES_&amp;_TAXES1"/>
      <sheetName val="POWER_(2)2"/>
      <sheetName val="R_&amp;_D-PRODDEVL2"/>
      <sheetName val="R&amp;M-PM-MECH_2"/>
      <sheetName val="RATES_&amp;_TAXES2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1"/>
      <sheetName val="ESSA YTD Prof Perform"/>
      <sheetName val="COC Oct YTD vs Plan"/>
      <sheetName val="COC Oct YTD vs Fcst"/>
      <sheetName val="ESSA Top Line Vol Perform"/>
      <sheetName val="RR vs P11F"/>
      <sheetName val="Volume Growth Trends"/>
      <sheetName val="ESSA FY Prof Perform"/>
      <sheetName val="Latest Rollup"/>
      <sheetName val="COC P11F vs Plan"/>
      <sheetName val="COC P11F vs. P9F"/>
      <sheetName val="Build_Draw_BU"/>
      <sheetName val="Units P11 vs P9"/>
      <sheetName val="Back-Up"/>
      <sheetName val="Volume P11 vs P9"/>
      <sheetName val="A&amp;M P11 vs P9"/>
      <sheetName val="G&amp;A P11 vs P9"/>
      <sheetName val="P&amp;L"/>
      <sheetName val="BS"/>
      <sheetName val="P&amp;L ex RSA"/>
      <sheetName val="1998_BU"/>
      <sheetName val="Consolidation"/>
      <sheetName val="Finance Staff Meet"/>
      <sheetName val="ESSA_YTD_Prof_Perform"/>
      <sheetName val="COC_Oct_YTD_vs_Plan"/>
      <sheetName val="COC_Oct_YTD_vs_Fcst"/>
      <sheetName val="ESSA_Top_Line_Vol_Perform"/>
      <sheetName val="RR_vs_P11F"/>
      <sheetName val="Volume_Growth_Trends"/>
      <sheetName val="ESSA_FY_Prof_Perform"/>
      <sheetName val="Latest_Rollup"/>
      <sheetName val="COC_P11F_vs_Plan"/>
      <sheetName val="COC_P11F_vs__P9F"/>
      <sheetName val="Units_P11_vs_P9"/>
      <sheetName val="Volume_P11_vs_P9"/>
      <sheetName val="A&amp;M_P11_vs_P9"/>
      <sheetName val="G&amp;A_P11_vs_P9"/>
      <sheetName val="P&amp;L_ex_RSA"/>
      <sheetName val="Finance_Staff_Meet"/>
      <sheetName val="ESSA_YTD_Prof_Perform1"/>
      <sheetName val="COC_Oct_YTD_vs_Plan1"/>
      <sheetName val="COC_Oct_YTD_vs_Fcst1"/>
      <sheetName val="ESSA_Top_Line_Vol_Perform1"/>
      <sheetName val="RR_vs_P11F1"/>
      <sheetName val="Volume_Growth_Trends1"/>
      <sheetName val="ESSA_FY_Prof_Perform1"/>
      <sheetName val="Latest_Rollup1"/>
      <sheetName val="COC_P11F_vs_Plan1"/>
      <sheetName val="COC_P11F_vs__P9F1"/>
      <sheetName val="Units_P11_vs_P91"/>
      <sheetName val="Volume_P11_vs_P91"/>
      <sheetName val="A&amp;M_P11_vs_P91"/>
      <sheetName val="G&amp;A_P11_vs_P91"/>
      <sheetName val="P&amp;L_ex_RSA1"/>
      <sheetName val="Finance_Staff_Meet1"/>
      <sheetName val="ESSA_YTD_Prof_Perform2"/>
      <sheetName val="COC_Oct_YTD_vs_Plan2"/>
      <sheetName val="COC_Oct_YTD_vs_Fcst2"/>
      <sheetName val="ESSA_Top_Line_Vol_Perform2"/>
      <sheetName val="RR_vs_P11F2"/>
      <sheetName val="Volume_Growth_Trends2"/>
      <sheetName val="ESSA_FY_Prof_Perform2"/>
      <sheetName val="Latest_Rollup2"/>
      <sheetName val="COC_P11F_vs_Plan2"/>
      <sheetName val="COC_P11F_vs__P9F2"/>
      <sheetName val="Units_P11_vs_P92"/>
      <sheetName val="Volume_P11_vs_P92"/>
      <sheetName val="A&amp;M_P11_vs_P92"/>
      <sheetName val="G&amp;A_P11_vs_P92"/>
      <sheetName val="P&amp;L_ex_RSA2"/>
      <sheetName val="Finance_Staff_M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ctual 2007 GAAP"/>
      <sheetName val="Supports-GAAP"/>
      <sheetName val="Supports-GAAP (2)"/>
      <sheetName val="HYP_Mapping"/>
      <sheetName val="GAAP - Adj."/>
      <sheetName val="Adjustments"/>
      <sheetName val="Comparison SR-GAAP"/>
      <sheetName val="Comparison $ GAAP"/>
      <sheetName val="Actuals 2007-$ GAAP"/>
      <sheetName val="June FCST"/>
      <sheetName val="JUN FCST"/>
      <sheetName val="AOP 2007"/>
      <sheetName val="Actuals 2006 - SR"/>
      <sheetName val="Cash Flow 2006 - SR-GAAP"/>
      <sheetName val="Cash Flow 2005 $-GAAP"/>
      <sheetName val="Actuals 2005 - SR"/>
      <sheetName val="Comparison $ - Outlook"/>
      <sheetName val="Actuals 2003 - SR"/>
      <sheetName val="Actuals 2002 - SR"/>
      <sheetName val="Actuals 2001 - SR"/>
      <sheetName val="Actuals 2000 - SR"/>
      <sheetName val="Actuals 1999 - SR"/>
      <sheetName val="Actuals 1998 - SR"/>
      <sheetName val="Actuals 1997 - SR"/>
      <sheetName val="Actuals 1996 - SR"/>
      <sheetName val="Cash Flow 2002 - SR"/>
      <sheetName val="Actuals 2004 - SR"/>
      <sheetName val="Supports-GAAP 2005"/>
      <sheetName val="Hyp_Rates"/>
      <sheetName val="BS-Ass"/>
      <sheetName val="BS-Lia"/>
      <sheetName val="P&amp;L-SR jUNE fcst"/>
      <sheetName val="Actual_2007_GAAP"/>
      <sheetName val="Supports-GAAP_(2)"/>
      <sheetName val="GAAP_-_Adj_"/>
      <sheetName val="Comparison_SR-GAAP"/>
      <sheetName val="Comparison_$_GAAP"/>
      <sheetName val="Actuals_2007-$_GAAP"/>
      <sheetName val="June_FCST"/>
      <sheetName val="JUN_FCST"/>
      <sheetName val="AOP_2007"/>
      <sheetName val="Actuals_2006_-_SR"/>
      <sheetName val="Cash_Flow_2006_-_SR-GAAP"/>
      <sheetName val="Cash_Flow_2005_$-GAAP"/>
      <sheetName val="Actuals_2005_-_SR"/>
      <sheetName val="Comparison_$_-_Outlook"/>
      <sheetName val="Actuals_2003_-_SR"/>
      <sheetName val="Actuals_2002_-_SR"/>
      <sheetName val="Actuals_2001_-_SR"/>
      <sheetName val="Actuals_2000_-_SR"/>
      <sheetName val="Actuals_1999_-_SR"/>
      <sheetName val="Actuals_1998_-_SR"/>
      <sheetName val="Actuals_1997_-_SR"/>
      <sheetName val="Actuals_1996_-_SR"/>
      <sheetName val="Cash_Flow_2002_-_SR"/>
      <sheetName val="Actuals_2004_-_SR"/>
      <sheetName val="Supports-GAAP_2005"/>
      <sheetName val="P&amp;L-SR_jUNE_fcst"/>
      <sheetName val="Actual_2007_GAAP1"/>
      <sheetName val="Supports-GAAP_(2)1"/>
      <sheetName val="GAAP_-_Adj_1"/>
      <sheetName val="Comparison_SR-GAAP1"/>
      <sheetName val="Comparison_$_GAAP1"/>
      <sheetName val="Actuals_2007-$_GAAP1"/>
      <sheetName val="June_FCST1"/>
      <sheetName val="JUN_FCST1"/>
      <sheetName val="AOP_20071"/>
      <sheetName val="Actuals_2006_-_SR1"/>
      <sheetName val="Cash_Flow_2006_-_SR-GAAP1"/>
      <sheetName val="Cash_Flow_2005_$-GAAP1"/>
      <sheetName val="Actuals_2005_-_SR1"/>
      <sheetName val="Comparison_$_-_Outlook1"/>
      <sheetName val="Actuals_2003_-_SR1"/>
      <sheetName val="Actuals_2002_-_SR1"/>
      <sheetName val="Actuals_2001_-_SR1"/>
      <sheetName val="Actuals_2000_-_SR1"/>
      <sheetName val="Actuals_1999_-_SR1"/>
      <sheetName val="Actuals_1998_-_SR1"/>
      <sheetName val="Actuals_1997_-_SR1"/>
      <sheetName val="Actuals_1996_-_SR1"/>
      <sheetName val="Cash_Flow_2002_-_SR1"/>
      <sheetName val="Actuals_2004_-_SR1"/>
      <sheetName val="Supports-GAAP_20051"/>
      <sheetName val="P&amp;L-SR_jUNE_fcst1"/>
      <sheetName val="Actual_2007_GAAP2"/>
      <sheetName val="Supports-GAAP_(2)2"/>
      <sheetName val="GAAP_-_Adj_2"/>
      <sheetName val="Comparison_SR-GAAP2"/>
      <sheetName val="Comparison_$_GAAP2"/>
      <sheetName val="Actuals_2007-$_GAAP2"/>
      <sheetName val="June_FCST2"/>
      <sheetName val="JUN_FCST2"/>
      <sheetName val="AOP_20072"/>
      <sheetName val="Actuals_2006_-_SR2"/>
      <sheetName val="Cash_Flow_2006_-_SR-GAAP2"/>
      <sheetName val="Cash_Flow_2005_$-GAAP2"/>
      <sheetName val="Actuals_2005_-_SR2"/>
      <sheetName val="Comparison_$_-_Outlook2"/>
      <sheetName val="Actuals_2003_-_SR2"/>
      <sheetName val="Actuals_2002_-_SR2"/>
      <sheetName val="Actuals_2001_-_SR2"/>
      <sheetName val="Actuals_2000_-_SR2"/>
      <sheetName val="Actuals_1999_-_SR2"/>
      <sheetName val="Actuals_1998_-_SR2"/>
      <sheetName val="Actuals_1997_-_SR2"/>
      <sheetName val="Actuals_1996_-_SR2"/>
      <sheetName val="Cash_Flow_2002_-_SR2"/>
      <sheetName val="Actuals_2004_-_SR2"/>
      <sheetName val="Supports-GAAP_20052"/>
      <sheetName val="P&amp;L-SR_jUNE_fcs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89">
          <cell r="H89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89">
          <cell r="H89">
            <v>0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>
        <row r="89">
          <cell r="H89">
            <v>0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Results"/>
      <sheetName val="Snacks COCH"/>
      <sheetName val="Salty Period"/>
      <sheetName val="Salty Category"/>
      <sheetName val="Salty Category YTD (2)"/>
      <sheetName val="Salty Category YTD"/>
      <sheetName val="Quaker Category"/>
      <sheetName val="Salty YTD"/>
      <sheetName val="NR NOPBT"/>
      <sheetName val="NR NOPBT YTD"/>
      <sheetName val="NOPBT Forex"/>
      <sheetName val="Q Fcst"/>
      <sheetName val="Q Fcst 2"/>
      <sheetName val="Capex"/>
      <sheetName val="Gam_Summ"/>
      <sheetName val="Gam_Margins"/>
      <sheetName val="Gam_Squeeze"/>
      <sheetName val="Bra_Summ"/>
      <sheetName val="Bra_Salty_Channel"/>
      <sheetName val="Bra_Salty_Category"/>
      <sheetName val="Bra_Margins"/>
      <sheetName val="Bra_Squeeze"/>
      <sheetName val="NR NOPBT (2)"/>
      <sheetName val="NR NOPBT YTD (2)"/>
      <sheetName val="ER"/>
      <sheetName val="Detail"/>
      <sheetName val="Prod"/>
      <sheetName val="RegDist"/>
      <sheetName val="Regsls"/>
      <sheetName val="ZoneDist"/>
      <sheetName val="Zonesls"/>
      <sheetName val="P&amp;L"/>
      <sheetName val="PRListing_10.31"/>
      <sheetName val="sheet1031"/>
      <sheetName val="Push Diag on Premise"/>
      <sheetName val="FStratPlan"/>
      <sheetName val="CChannel Attract Input"/>
      <sheetName val="PI_Hyp Config"/>
      <sheetName val="Other notes"/>
      <sheetName val="MDandM_summary_data"/>
      <sheetName val="Baked PIVOT"/>
      <sheetName val="PIVOT"/>
      <sheetName val="PSG_Output"/>
      <sheetName val="PSDload"/>
      <sheetName val="Financials"/>
      <sheetName val="PBRSlides"/>
      <sheetName val="Comm"/>
      <sheetName val="SABU P&amp;L"/>
      <sheetName val="Snacks_COCH"/>
      <sheetName val="Salty_Period"/>
      <sheetName val="Salty_Category"/>
      <sheetName val="Salty_Category_YTD_(2)"/>
      <sheetName val="Salty_Category_YTD"/>
      <sheetName val="Quaker_Category"/>
      <sheetName val="Salty_YTD"/>
      <sheetName val="NR_NOPBT"/>
      <sheetName val="NR_NOPBT_YTD"/>
      <sheetName val="NOPBT_Forex"/>
      <sheetName val="Q_Fcst"/>
      <sheetName val="Q_Fcst_2"/>
      <sheetName val="NR_NOPBT_(2)"/>
      <sheetName val="NR_NOPBT_YTD_(2)"/>
      <sheetName val="PRListing_10_31"/>
      <sheetName val="Push_Diag_on_Premise"/>
      <sheetName val="CChannel_Attract_Input"/>
      <sheetName val="PI_Hyp_Config"/>
      <sheetName val="Other_notes"/>
      <sheetName val="Baked_PIVOT"/>
      <sheetName val="SABU_P&amp;L"/>
      <sheetName val="Snacks_COCH1"/>
      <sheetName val="Salty_Period1"/>
      <sheetName val="Salty_Category1"/>
      <sheetName val="Salty_Category_YTD_(2)1"/>
      <sheetName val="Salty_Category_YTD1"/>
      <sheetName val="Quaker_Category1"/>
      <sheetName val="Salty_YTD1"/>
      <sheetName val="NR_NOPBT1"/>
      <sheetName val="NR_NOPBT_YTD1"/>
      <sheetName val="NOPBT_Forex1"/>
      <sheetName val="Q_Fcst1"/>
      <sheetName val="Q_Fcst_21"/>
      <sheetName val="NR_NOPBT_(2)1"/>
      <sheetName val="NR_NOPBT_YTD_(2)1"/>
      <sheetName val="PRListing_10_311"/>
      <sheetName val="Push_Diag_on_Premise1"/>
      <sheetName val="CChannel_Attract_Input1"/>
      <sheetName val="PI_Hyp_Config1"/>
      <sheetName val="Other_notes1"/>
      <sheetName val="Baked_PIVOT1"/>
      <sheetName val="SABU_P&amp;L1"/>
      <sheetName val="Note BS"/>
      <sheetName val="Snacks_COCH2"/>
      <sheetName val="Salty_Period2"/>
      <sheetName val="Salty_Category2"/>
      <sheetName val="Salty_Category_YTD_(2)2"/>
      <sheetName val="Salty_Category_YTD2"/>
      <sheetName val="Quaker_Category2"/>
      <sheetName val="Salty_YTD2"/>
      <sheetName val="NR_NOPBT2"/>
      <sheetName val="NR_NOPBT_YTD2"/>
      <sheetName val="NOPBT_Forex2"/>
      <sheetName val="Q_Fcst2"/>
      <sheetName val="Q_Fcst_22"/>
      <sheetName val="NR_NOPBT_(2)2"/>
      <sheetName val="NR_NOPBT_YTD_(2)2"/>
      <sheetName val="PRListing_10_312"/>
      <sheetName val="Push_Diag_on_Premise2"/>
      <sheetName val="CChannel_Attract_Input2"/>
      <sheetName val="PI_Hyp_Config2"/>
      <sheetName val="Other_notes2"/>
      <sheetName val="Baked_PIVOT2"/>
      <sheetName val="SABU_P&amp;L2"/>
      <sheetName val="Note_BS"/>
      <sheetName val="Costos"/>
      <sheetName val="Input"/>
      <sheetName val="1_Parameters"/>
      <sheetName val="Index Tables"/>
      <sheetName val="Projects (u)"/>
      <sheetName val="Hyperion"/>
    </sheetNames>
    <sheetDataSet>
      <sheetData sheetId="0" refreshError="1">
        <row r="14">
          <cell r="C14">
            <v>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LI AsiaPac YTD"/>
      <sheetName val="FLI AsiaPac Qtr"/>
      <sheetName val="FLI Australia YTD"/>
      <sheetName val="FLI Australia Qtr"/>
      <sheetName val="Fin Overview"/>
      <sheetName val="Exec Summ"/>
      <sheetName val="Vol &amp; NOPBT Overview"/>
      <sheetName val="Fin Sum I-China"/>
      <sheetName val="Fin Sum I-India"/>
      <sheetName val="P_L India"/>
      <sheetName val="P_L China"/>
      <sheetName val="Vol trend -China"/>
      <sheetName val="Vol trend -India"/>
      <sheetName val="YTD Market Share"/>
      <sheetName val="ACTUAL"/>
      <sheetName val="YAGO"/>
      <sheetName val="PLAN"/>
      <sheetName val="FCSTQ2"/>
      <sheetName val="Nov fcst"/>
      <sheetName val="RegionQtr by Ctry"/>
      <sheetName val="RegionYTD by Ctry"/>
      <sheetName val="Beverage YTD"/>
      <sheetName val="Beverage Qtr"/>
      <sheetName val="SnacksQtr"/>
      <sheetName val="SnacksYTD"/>
      <sheetName val="Region YTD by Biz"/>
      <sheetName val="Region Qtr by Biz"/>
      <sheetName val="Summary"/>
      <sheetName val="FStratPlan"/>
      <sheetName val="CChannel Attract Input"/>
      <sheetName val="Overseas"/>
      <sheetName val="FLI_AsiaPac_YTD"/>
      <sheetName val="FLI_AsiaPac_Qtr"/>
      <sheetName val="FLI_Australia_YTD"/>
      <sheetName val="FLI_Australia_Qtr"/>
      <sheetName val="Fin_Overview"/>
      <sheetName val="Exec_Summ"/>
      <sheetName val="Vol_&amp;_NOPBT_Overview"/>
      <sheetName val="Fin_Sum_I-China"/>
      <sheetName val="Fin_Sum_I-India"/>
      <sheetName val="P_L_India"/>
      <sheetName val="P_L_China"/>
      <sheetName val="Vol_trend_-China"/>
      <sheetName val="Vol_trend_-India"/>
      <sheetName val="YTD_Market_Share"/>
      <sheetName val="Nov_fcst"/>
      <sheetName val="RegionQtr_by_Ctry"/>
      <sheetName val="RegionYTD_by_Ctry"/>
      <sheetName val="Beverage_YTD"/>
      <sheetName val="Beverage_Qtr"/>
      <sheetName val="Region_YTD_by_Biz"/>
      <sheetName val="Region_Qtr_by_Biz"/>
      <sheetName val="CChannel_Attract_Input"/>
      <sheetName val="FLI_AsiaPac_YTD1"/>
      <sheetName val="FLI_AsiaPac_Qtr1"/>
      <sheetName val="FLI_Australia_YTD1"/>
      <sheetName val="FLI_Australia_Qtr1"/>
      <sheetName val="Fin_Overview1"/>
      <sheetName val="Exec_Summ1"/>
      <sheetName val="Vol_&amp;_NOPBT_Overview1"/>
      <sheetName val="Fin_Sum_I-China1"/>
      <sheetName val="Fin_Sum_I-India1"/>
      <sheetName val="P_L_India1"/>
      <sheetName val="P_L_China1"/>
      <sheetName val="Vol_trend_-China1"/>
      <sheetName val="Vol_trend_-India1"/>
      <sheetName val="YTD_Market_Share1"/>
      <sheetName val="Nov_fcst1"/>
      <sheetName val="RegionQtr_by_Ctry1"/>
      <sheetName val="RegionYTD_by_Ctry1"/>
      <sheetName val="Beverage_YTD1"/>
      <sheetName val="Beverage_Qtr1"/>
      <sheetName val="Region_YTD_by_Biz1"/>
      <sheetName val="Region_Qtr_by_Biz1"/>
      <sheetName val="CChannel_Attract_Input1"/>
      <sheetName val="FLI_AsiaPac_YTD2"/>
      <sheetName val="FLI_AsiaPac_Qtr2"/>
      <sheetName val="FLI_Australia_YTD2"/>
      <sheetName val="FLI_Australia_Qtr2"/>
      <sheetName val="Fin_Overview2"/>
      <sheetName val="Exec_Summ2"/>
      <sheetName val="Vol_&amp;_NOPBT_Overview2"/>
      <sheetName val="Fin_Sum_I-China2"/>
      <sheetName val="Fin_Sum_I-India2"/>
      <sheetName val="P_L_India2"/>
      <sheetName val="P_L_China2"/>
      <sheetName val="Vol_trend_-China2"/>
      <sheetName val="Vol_trend_-India2"/>
      <sheetName val="YTD_Market_Share2"/>
      <sheetName val="Nov_fcst2"/>
      <sheetName val="RegionQtr_by_Ctry2"/>
      <sheetName val="RegionYTD_by_Ctry2"/>
      <sheetName val="Beverage_YTD2"/>
      <sheetName val="Beverage_Qtr2"/>
      <sheetName val="Region_YTD_by_Biz2"/>
      <sheetName val="Region_Qtr_by_Biz2"/>
      <sheetName val="CChannel_Attract_Input2"/>
      <sheetName val="FLI_AsiaPac_YTD3"/>
      <sheetName val="FLI_AsiaPac_Qtr3"/>
      <sheetName val="FLI_Australia_YTD3"/>
      <sheetName val="FLI_Australia_Qtr3"/>
      <sheetName val="Fin_Overview3"/>
      <sheetName val="Exec_Summ3"/>
      <sheetName val="Vol_&amp;_NOPBT_Overview3"/>
      <sheetName val="Fin_Sum_I-China3"/>
      <sheetName val="Fin_Sum_I-India3"/>
      <sheetName val="P_L_India3"/>
      <sheetName val="P_L_China3"/>
      <sheetName val="Vol_trend_-China3"/>
      <sheetName val="Vol_trend_-India3"/>
      <sheetName val="YTD_Market_Share3"/>
      <sheetName val="Nov_fcst3"/>
      <sheetName val="RegionQtr_by_Ctry3"/>
      <sheetName val="RegionYTD_by_Ctry3"/>
      <sheetName val="Beverage_YTD3"/>
      <sheetName val="Beverage_Qtr3"/>
      <sheetName val="Region_YTD_by_Biz3"/>
      <sheetName val="Region_Qtr_by_Biz3"/>
      <sheetName val="CChannel_Attract_Inpu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Month by Region"/>
      <sheetName val="YTD by Region"/>
      <sheetName val="Month by BU &amp; Key Mkt"/>
      <sheetName val="YTD by BU &amp; Key Mkt"/>
      <sheetName val="Month by Top 29"/>
      <sheetName val="YTD by Top 29"/>
      <sheetName val="Sheet3"/>
      <sheetName val="Sheet2"/>
      <sheetName val="Sheet1"/>
      <sheetName val="Beverage Volume"/>
      <sheetName val="OCF Change"/>
      <sheetName val="RPT 71-VOLUME DATA-PCI "/>
      <sheetName val="RPT 72-VOLUME DATA-Industry"/>
      <sheetName val="Reference"/>
      <sheetName val="14061"/>
      <sheetName val="CChannel Attract Input"/>
      <sheetName val="Month_by_Region"/>
      <sheetName val="YTD_by_Region"/>
      <sheetName val="Month_by_BU_&amp;_Key_Mkt"/>
      <sheetName val="YTD_by_BU_&amp;_Key_Mkt"/>
      <sheetName val="Month_by_Top_29"/>
      <sheetName val="YTD_by_Top_29"/>
      <sheetName val="Beverage_Volume"/>
      <sheetName val="RPT_71-VOLUME_DATA-PCI_"/>
      <sheetName val="RPT_72-VOLUME_DATA-Industry"/>
      <sheetName val="Month_by_Region1"/>
      <sheetName val="YTD_by_Region1"/>
      <sheetName val="Month_by_BU_&amp;_Key_Mkt1"/>
      <sheetName val="YTD_by_BU_&amp;_Key_Mkt1"/>
      <sheetName val="Month_by_Top_291"/>
      <sheetName val="YTD_by_Top_291"/>
      <sheetName val="Beverage_Volume1"/>
      <sheetName val="RPT_71-VOLUME_DATA-PCI_1"/>
      <sheetName val="RPT_72-VOLUME_DATA-Industry1"/>
      <sheetName val="Month_by_Region2"/>
      <sheetName val="YTD_by_Region2"/>
      <sheetName val="Month_by_BU_&amp;_Key_Mkt2"/>
      <sheetName val="YTD_by_BU_&amp;_Key_Mkt2"/>
      <sheetName val="Month_by_Top_292"/>
      <sheetName val="YTD_by_Top_292"/>
      <sheetName val="Beverage_Volume2"/>
      <sheetName val="RPT_71-VOLUME_DATA-PCI_2"/>
      <sheetName val="RPT_72-VOLUME_DATA-Industry2"/>
      <sheetName val="Month_by_Region3"/>
      <sheetName val="YTD_by_Region3"/>
      <sheetName val="Month_by_BU_&amp;_Key_Mkt3"/>
      <sheetName val="YTD_by_BU_&amp;_Key_Mkt3"/>
      <sheetName val="Month_by_Top_293"/>
      <sheetName val="YTD_by_Top_293"/>
      <sheetName val="Beverage_Volume3"/>
      <sheetName val="RPT_71-VOLUME_DATA-PCI_3"/>
      <sheetName val="RPT_72-VOLUME_DATA-Industry3"/>
      <sheetName val="Month_by_Region4"/>
      <sheetName val="YTD_by_Region4"/>
      <sheetName val="Month_by_BU_&amp;_Key_Mkt4"/>
      <sheetName val="YTD_by_BU_&amp;_Key_Mkt4"/>
      <sheetName val="Month_by_Top_294"/>
      <sheetName val="YTD_by_Top_294"/>
      <sheetName val="Beverage_Volume4"/>
      <sheetName val="RPT_71-VOLUME_DATA-PCI_4"/>
      <sheetName val="RPT_72-VOLUME_DATA-Industry4"/>
      <sheetName val="Month_by_Region5"/>
      <sheetName val="YTD_by_Region5"/>
      <sheetName val="Month_by_BU_&amp;_Key_Mkt5"/>
      <sheetName val="YTD_by_BU_&amp;_Key_Mkt5"/>
      <sheetName val="Month_by_Top_295"/>
      <sheetName val="YTD_by_Top_295"/>
      <sheetName val="Beverage_Volume5"/>
      <sheetName val="RPT_71-VOLUME_DATA-PCI_5"/>
      <sheetName val="RPT_72-VOLUME_DATA-Industry5"/>
      <sheetName val="Month_by_Region6"/>
      <sheetName val="YTD_by_Region6"/>
      <sheetName val="Month_by_BU_&amp;_Key_Mkt6"/>
      <sheetName val="YTD_by_BU_&amp;_Key_Mkt6"/>
      <sheetName val="Month_by_Top_296"/>
      <sheetName val="YTD_by_Top_296"/>
      <sheetName val="Beverage_Volume6"/>
      <sheetName val="RPT_71-VOLUME_DATA-PCI_6"/>
      <sheetName val="RPT_72-VOLUME_DATA-Industry6"/>
      <sheetName val="Month_by_Region7"/>
      <sheetName val="YTD_by_Region7"/>
      <sheetName val="Month_by_BU_&amp;_Key_Mkt7"/>
      <sheetName val="YTD_by_BU_&amp;_Key_Mkt7"/>
      <sheetName val="Month_by_Top_297"/>
      <sheetName val="YTD_by_Top_297"/>
      <sheetName val="Beverage_Volume7"/>
      <sheetName val="RPT_71-VOLUME_DATA-PCI_7"/>
      <sheetName val="RPT_72-VOLUME_DATA-Industry7"/>
      <sheetName val="Month_by_Region8"/>
      <sheetName val="YTD_by_Region8"/>
      <sheetName val="Month_by_BU_&amp;_Key_Mkt8"/>
      <sheetName val="YTD_by_BU_&amp;_Key_Mkt8"/>
      <sheetName val="Month_by_Top_298"/>
      <sheetName val="YTD_by_Top_298"/>
      <sheetName val="Beverage_Volume8"/>
      <sheetName val="Month_by_Region9"/>
      <sheetName val="YTD_by_Region9"/>
      <sheetName val="Month_by_BU_&amp;_Key_Mkt9"/>
      <sheetName val="YTD_by_BU_&amp;_Key_Mkt9"/>
      <sheetName val="Month_by_Top_299"/>
      <sheetName val="YTD_by_Top_299"/>
      <sheetName val="Beverage_Volume9"/>
      <sheetName val="RPT_71-VOLUME_DATA-PCI_8"/>
      <sheetName val="RPT_72-VOLUME_DATA-Industry8"/>
      <sheetName val="Month_by_Region10"/>
      <sheetName val="YTD_by_Region10"/>
      <sheetName val="Month_by_BU_&amp;_Key_Mkt10"/>
      <sheetName val="YTD_by_BU_&amp;_Key_Mkt10"/>
      <sheetName val="Month_by_Top_2910"/>
      <sheetName val="YTD_by_Top_2910"/>
      <sheetName val="Beverage_Volume10"/>
      <sheetName val="Month_by_Region11"/>
      <sheetName val="YTD_by_Region11"/>
      <sheetName val="Month_by_BU_&amp;_Key_Mkt11"/>
      <sheetName val="YTD_by_BU_&amp;_Key_Mkt11"/>
      <sheetName val="Month_by_Top_2911"/>
      <sheetName val="YTD_by_Top_2911"/>
      <sheetName val="Beverage_Volume11"/>
      <sheetName val="Month_by_Region12"/>
      <sheetName val="YTD_by_Region12"/>
      <sheetName val="Month_by_BU_&amp;_Key_Mkt12"/>
      <sheetName val="YTD_by_BU_&amp;_Key_Mkt12"/>
      <sheetName val="Month_by_Top_2912"/>
      <sheetName val="YTD_by_Top_2912"/>
      <sheetName val="Beverage_Volume12"/>
      <sheetName val="RPT_71-VOLUME_DATA-PCI_9"/>
      <sheetName val="RPT_72-VOLUME_DATA-Industry9"/>
      <sheetName val="Month_by_Region13"/>
      <sheetName val="YTD_by_Region13"/>
      <sheetName val="Month_by_BU_&amp;_Key_Mkt13"/>
      <sheetName val="YTD_by_BU_&amp;_Key_Mkt13"/>
      <sheetName val="Month_by_Top_2913"/>
      <sheetName val="YTD_by_Top_2913"/>
      <sheetName val="Beverage_Volume13"/>
      <sheetName val="Month_by_Region14"/>
      <sheetName val="YTD_by_Region14"/>
      <sheetName val="Month_by_BU_&amp;_Key_Mkt14"/>
      <sheetName val="YTD_by_BU_&amp;_Key_Mkt14"/>
      <sheetName val="Month_by_Top_2914"/>
      <sheetName val="YTD_by_Top_2914"/>
      <sheetName val="Beverage_Volume14"/>
      <sheetName val="RPT_71-VOLUME_DATA-PCI_10"/>
      <sheetName val="RPT_72-VOLUME_DATA-Industry10"/>
      <sheetName val="Month_by_Region15"/>
      <sheetName val="YTD_by_Region15"/>
      <sheetName val="Month_by_BU_&amp;_Key_Mkt15"/>
      <sheetName val="YTD_by_BU_&amp;_Key_Mkt15"/>
      <sheetName val="Month_by_Top_2915"/>
      <sheetName val="YTD_by_Top_2915"/>
      <sheetName val="Beverage_Volume15"/>
      <sheetName val="RPT_71-VOLUME_DATA-PCI_11"/>
      <sheetName val="RPT_72-VOLUME_DATA-Industry11"/>
      <sheetName val="Month_by_Region16"/>
      <sheetName val="YTD_by_Region16"/>
      <sheetName val="Month_by_BU_&amp;_Key_Mkt16"/>
      <sheetName val="YTD_by_BU_&amp;_Key_Mkt16"/>
      <sheetName val="Month_by_Top_2916"/>
      <sheetName val="YTD_by_Top_2916"/>
      <sheetName val="Beverage_Volume16"/>
      <sheetName val="RPT_71-VOLUME_DATA-PCI_12"/>
      <sheetName val="RPT_72-VOLUME_DATA-Industry12"/>
      <sheetName val="Month_by_Region17"/>
      <sheetName val="YTD_by_Region17"/>
      <sheetName val="Month_by_BU_&amp;_Key_Mkt17"/>
      <sheetName val="YTD_by_BU_&amp;_Key_Mkt17"/>
      <sheetName val="Month_by_Top_2917"/>
      <sheetName val="YTD_by_Top_2917"/>
      <sheetName val="Beverage_Volume17"/>
      <sheetName val="RPT_71-VOLUME_DATA-PCI_13"/>
      <sheetName val="RPT_72-VOLUME_DATA-Industry13"/>
      <sheetName val="Month_by_Region18"/>
      <sheetName val="YTD_by_Region18"/>
      <sheetName val="Month_by_BU_&amp;_Key_Mkt18"/>
      <sheetName val="YTD_by_BU_&amp;_Key_Mkt18"/>
      <sheetName val="Month_by_Top_2918"/>
      <sheetName val="YTD_by_Top_2918"/>
      <sheetName val="Beverage_Volume18"/>
      <sheetName val="RPT_71-VOLUME_DATA-PCI_14"/>
      <sheetName val="RPT_72-VOLUME_DATA-Industry14"/>
      <sheetName val="Month_by_Region26"/>
      <sheetName val="YTD_by_Region26"/>
      <sheetName val="Month_by_BU_&amp;_Key_Mkt26"/>
      <sheetName val="YTD_by_BU_&amp;_Key_Mkt26"/>
      <sheetName val="Month_by_Top_2926"/>
      <sheetName val="YTD_by_Top_2926"/>
      <sheetName val="Beverage_Volume26"/>
      <sheetName val="RPT_71-VOLUME_DATA-PCI_22"/>
      <sheetName val="RPT_72-VOLUME_DATA-Industry22"/>
      <sheetName val="Month_by_Region19"/>
      <sheetName val="YTD_by_Region19"/>
      <sheetName val="Month_by_BU_&amp;_Key_Mkt19"/>
      <sheetName val="YTD_by_BU_&amp;_Key_Mkt19"/>
      <sheetName val="Month_by_Top_2919"/>
      <sheetName val="YTD_by_Top_2919"/>
      <sheetName val="Beverage_Volume19"/>
      <sheetName val="RPT_71-VOLUME_DATA-PCI_15"/>
      <sheetName val="RPT_72-VOLUME_DATA-Industry15"/>
      <sheetName val="Month_by_Region20"/>
      <sheetName val="YTD_by_Region20"/>
      <sheetName val="Month_by_BU_&amp;_Key_Mkt20"/>
      <sheetName val="YTD_by_BU_&amp;_Key_Mkt20"/>
      <sheetName val="Month_by_Top_2920"/>
      <sheetName val="YTD_by_Top_2920"/>
      <sheetName val="Beverage_Volume20"/>
      <sheetName val="RPT_71-VOLUME_DATA-PCI_16"/>
      <sheetName val="RPT_72-VOLUME_DATA-Industry16"/>
      <sheetName val="Month_by_Region21"/>
      <sheetName val="YTD_by_Region21"/>
      <sheetName val="Month_by_BU_&amp;_Key_Mkt21"/>
      <sheetName val="YTD_by_BU_&amp;_Key_Mkt21"/>
      <sheetName val="Month_by_Top_2921"/>
      <sheetName val="YTD_by_Top_2921"/>
      <sheetName val="Beverage_Volume21"/>
      <sheetName val="RPT_71-VOLUME_DATA-PCI_17"/>
      <sheetName val="RPT_72-VOLUME_DATA-Industry17"/>
      <sheetName val="Month_by_Region22"/>
      <sheetName val="YTD_by_Region22"/>
      <sheetName val="Month_by_BU_&amp;_Key_Mkt22"/>
      <sheetName val="YTD_by_BU_&amp;_Key_Mkt22"/>
      <sheetName val="Month_by_Top_2922"/>
      <sheetName val="YTD_by_Top_2922"/>
      <sheetName val="Beverage_Volume22"/>
      <sheetName val="RPT_71-VOLUME_DATA-PCI_18"/>
      <sheetName val="RPT_72-VOLUME_DATA-Industry18"/>
      <sheetName val="Month_by_Region23"/>
      <sheetName val="YTD_by_Region23"/>
      <sheetName val="Month_by_BU_&amp;_Key_Mkt23"/>
      <sheetName val="YTD_by_BU_&amp;_Key_Mkt23"/>
      <sheetName val="Month_by_Top_2923"/>
      <sheetName val="YTD_by_Top_2923"/>
      <sheetName val="Beverage_Volume23"/>
      <sheetName val="RPT_71-VOLUME_DATA-PCI_19"/>
      <sheetName val="RPT_72-VOLUME_DATA-Industry19"/>
      <sheetName val="Month_by_Region24"/>
      <sheetName val="YTD_by_Region24"/>
      <sheetName val="Month_by_BU_&amp;_Key_Mkt24"/>
      <sheetName val="YTD_by_BU_&amp;_Key_Mkt24"/>
      <sheetName val="Month_by_Top_2924"/>
      <sheetName val="YTD_by_Top_2924"/>
      <sheetName val="Beverage_Volume24"/>
      <sheetName val="RPT_71-VOLUME_DATA-PCI_20"/>
      <sheetName val="RPT_72-VOLUME_DATA-Industry20"/>
      <sheetName val="OCF_Change"/>
      <sheetName val="Month_by_Region25"/>
      <sheetName val="YTD_by_Region25"/>
      <sheetName val="Month_by_BU_&amp;_Key_Mkt25"/>
      <sheetName val="YTD_by_BU_&amp;_Key_Mkt25"/>
      <sheetName val="Month_by_Top_2925"/>
      <sheetName val="YTD_by_Top_2925"/>
      <sheetName val="Beverage_Volume25"/>
      <sheetName val="RPT_71-VOLUME_DATA-PCI_21"/>
      <sheetName val="RPT_72-VOLUME_DATA-Industry21"/>
      <sheetName val="Month_by_Region27"/>
      <sheetName val="YTD_by_Region27"/>
      <sheetName val="Month_by_BU_&amp;_Key_Mkt27"/>
      <sheetName val="YTD_by_BU_&amp;_Key_Mkt27"/>
      <sheetName val="Month_by_Top_2927"/>
      <sheetName val="YTD_by_Top_2927"/>
      <sheetName val="Beverage_Volume27"/>
      <sheetName val="RPT_71-VOLUME_DATA-PCI_23"/>
      <sheetName val="RPT_72-VOLUME_DATA-Industry23"/>
      <sheetName val="OCF_Change1"/>
      <sheetName val="Month_by_Region28"/>
      <sheetName val="YTD_by_Region28"/>
      <sheetName val="Month_by_BU_&amp;_Key_Mkt28"/>
      <sheetName val="YTD_by_BU_&amp;_Key_Mkt28"/>
      <sheetName val="Month_by_Top_2928"/>
      <sheetName val="YTD_by_Top_2928"/>
      <sheetName val="Beverage_Volume28"/>
      <sheetName val="RPT_71-VOLUME_DATA-PCI_24"/>
      <sheetName val="RPT_72-VOLUME_DATA-Industry24"/>
      <sheetName val="OCF_Change2"/>
      <sheetName val="Lookup"/>
      <sheetName val="wFinal_Frct_Data"/>
      <sheetName val="wHist_Data"/>
      <sheetName val="wInit_Frct_Data"/>
      <sheetName val="Forex Reference"/>
      <sheetName val="PLPHIL"/>
      <sheetName val="P&amp;L"/>
      <sheetName val="S&amp;D TRAVAILP11"/>
      <sheetName val="Other notes"/>
      <sheetName val="LEGAL GUJ"/>
      <sheetName val="Brew rub"/>
      <sheetName val="MIX NACIONAL"/>
      <sheetName val="VOLUMENES NACIONALES"/>
      <sheetName val="Tabelas"/>
      <sheetName val="ICB1"/>
      <sheetName val="Month_by_Region29"/>
      <sheetName val="YTD_by_Region29"/>
      <sheetName val="Month_by_BU_&amp;_Key_Mkt29"/>
      <sheetName val="YTD_by_BU_&amp;_Key_Mkt29"/>
      <sheetName val="Month_by_Top_2929"/>
      <sheetName val="YTD_by_Top_2929"/>
      <sheetName val="Beverage_Volume29"/>
      <sheetName val="OCF_Change3"/>
      <sheetName val="RPT_71-VOLUME_DATA-PCI_25"/>
      <sheetName val="RPT_72-VOLUME_DATA-Industry25"/>
      <sheetName val="CChannel_Attract_Input"/>
      <sheetName val="Forex_Reference"/>
      <sheetName val="S&amp;D_TRAVAILP11"/>
      <sheetName val="Other_notes"/>
      <sheetName val="LEGAL_GUJ"/>
      <sheetName val="Brew_rub"/>
      <sheetName val="MIX_NACIONAL"/>
      <sheetName val="VOLUMENES_NACIONALES"/>
      <sheetName val="Month_by_Region30"/>
      <sheetName val="YTD_by_Region30"/>
      <sheetName val="Month_by_BU_&amp;_Key_Mkt30"/>
      <sheetName val="YTD_by_BU_&amp;_Key_Mkt30"/>
      <sheetName val="Month_by_Top_2930"/>
      <sheetName val="YTD_by_Top_2930"/>
      <sheetName val="Beverage_Volume30"/>
      <sheetName val="OCF_Change4"/>
      <sheetName val="RPT_71-VOLUME_DATA-PCI_26"/>
      <sheetName val="RPT_72-VOLUME_DATA-Industry26"/>
      <sheetName val="CChannel_Attract_Input1"/>
      <sheetName val="Forex_Reference1"/>
      <sheetName val="S&amp;D_TRAVAILP111"/>
      <sheetName val="Other_notes1"/>
      <sheetName val="LEGAL_GUJ1"/>
      <sheetName val="Brew_rub1"/>
      <sheetName val="MIX_NACIONAL1"/>
      <sheetName val="VOLUMENES_NACIONALES1"/>
      <sheetName val="Month_by_Region31"/>
      <sheetName val="YTD_by_Region31"/>
      <sheetName val="Month_by_BU_&amp;_Key_Mkt31"/>
      <sheetName val="YTD_by_BU_&amp;_Key_Mkt31"/>
      <sheetName val="Month_by_Top_2931"/>
      <sheetName val="YTD_by_Top_2931"/>
      <sheetName val="Beverage_Volume31"/>
      <sheetName val="OCF_Change5"/>
      <sheetName val="RPT_71-VOLUME_DATA-PCI_27"/>
      <sheetName val="RPT_72-VOLUME_DATA-Industry27"/>
      <sheetName val="CChannel_Attract_Input2"/>
      <sheetName val="Forex_Reference2"/>
      <sheetName val="S&amp;D_TRAVAILP112"/>
      <sheetName val="Other_notes2"/>
      <sheetName val="LEGAL_GUJ2"/>
      <sheetName val="Brew_rub2"/>
      <sheetName val="MIX_NACIONAL2"/>
      <sheetName val="VOLUMENES_NACIONALE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 Inputs"/>
      <sheetName val="AOP Detail LC"/>
      <sheetName val="Financial Summary LC"/>
      <sheetName val="2004 Investments LC"/>
      <sheetName val="2005 AOP Investments LC"/>
      <sheetName val="Walk"/>
      <sheetName val="AOP Detail $USD"/>
      <sheetName val="Financial Summary $USD"/>
      <sheetName val="Planning Tool Report"/>
      <sheetName val="Baseline"/>
      <sheetName val="Project"/>
      <sheetName val="2004 Investments $USD"/>
      <sheetName val="2005 AOP Investments $USD"/>
      <sheetName val="OI MONTH-YTD"/>
      <sheetName val="NS YTG"/>
      <sheetName val="%NS YTG vs PY"/>
      <sheetName val="OI YTG"/>
      <sheetName val="ROS YTG"/>
      <sheetName val="NS QTRS"/>
      <sheetName val="FX_hedge"/>
      <sheetName val="Front_Page"/>
      <sheetName val="r_det"/>
      <sheetName val="r_alo"/>
      <sheetName val="Lead_Inputs"/>
      <sheetName val="AOP_Detail_LC"/>
      <sheetName val="Financial_Summary_LC"/>
      <sheetName val="2004_Investments_LC"/>
      <sheetName val="2005_AOP_Investments_LC"/>
      <sheetName val="AOP_Detail_$USD"/>
      <sheetName val="Financial_Summary_$USD"/>
      <sheetName val="Planning_Tool_Report"/>
      <sheetName val="2004_Investments_$USD"/>
      <sheetName val="2005_AOP_Investments_$USD"/>
      <sheetName val="OI_MONTH-YTD"/>
      <sheetName val="NS_YTG"/>
      <sheetName val="%NS_YTG_vs_PY"/>
      <sheetName val="OI_YTG"/>
      <sheetName val="ROS_YTG"/>
      <sheetName val="NS_QTRS"/>
      <sheetName val="Lead_Inputs1"/>
      <sheetName val="AOP_Detail_LC1"/>
      <sheetName val="Financial_Summary_LC1"/>
      <sheetName val="2004_Investments_LC1"/>
      <sheetName val="2005_AOP_Investments_LC1"/>
      <sheetName val="AOP_Detail_$USD1"/>
      <sheetName val="Financial_Summary_$USD1"/>
      <sheetName val="Planning_Tool_Report1"/>
      <sheetName val="2004_Investments_$USD1"/>
      <sheetName val="2005_AOP_Investments_$USD1"/>
      <sheetName val="OI_MONTH-YTD1"/>
      <sheetName val="NS_YTG1"/>
      <sheetName val="%NS_YTG_vs_PY1"/>
      <sheetName val="OI_YTG1"/>
      <sheetName val="ROS_YTG1"/>
      <sheetName val="NS_QTRS1"/>
    </sheetNames>
    <sheetDataSet>
      <sheetData sheetId="0" refreshError="1">
        <row r="7">
          <cell r="C7" t="str">
            <v>AsiaPac HQ Office</v>
          </cell>
        </row>
        <row r="8">
          <cell r="C8" t="str">
            <v>Region HQ</v>
          </cell>
        </row>
        <row r="16">
          <cell r="C16">
            <v>1</v>
          </cell>
        </row>
        <row r="18">
          <cell r="C18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7">
          <cell r="C7" t="str">
            <v>AsiaPac HQ Office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7">
          <cell r="C7" t="str">
            <v>AsiaPac HQ Office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NOPBT Impact"/>
      <sheetName val="Strat Plan"/>
      <sheetName val="2005 MAIN FX-CALC"/>
      <sheetName val="2005 SPForex Rates"/>
      <sheetName val="MAIN FX-CALC 1"/>
      <sheetName val="Consensus Details"/>
      <sheetName val="old"/>
      <sheetName val="5% Variance Calc-2003"/>
      <sheetName val="5% Variance Calc-2004"/>
      <sheetName val="5% Variance Calc-2005"/>
      <sheetName val="5% Variance Calc-2006"/>
      <sheetName val="MAIN FX_CALC 1"/>
      <sheetName val="Entities"/>
      <sheetName val="Input"/>
      <sheetName val="data"/>
      <sheetName val="Start Here"/>
      <sheetName val="06Act vs LV - Mth Spreads"/>
      <sheetName val="Detail"/>
      <sheetName val="Hyperion"/>
      <sheetName val="Lead Inputs"/>
      <sheetName val="NOPBT_Impact"/>
      <sheetName val="Strat_Plan"/>
      <sheetName val="2005_MAIN_FX-CALC"/>
      <sheetName val="2005_SPForex_Rates"/>
      <sheetName val="MAIN_FX-CALC_1"/>
      <sheetName val="Consensus_Details"/>
      <sheetName val="5%_Variance_Calc-2003"/>
      <sheetName val="5%_Variance_Calc-2004"/>
      <sheetName val="5%_Variance_Calc-2005"/>
      <sheetName val="5%_Variance_Calc-2006"/>
      <sheetName val="MAIN_FX_CALC_1"/>
      <sheetName val="Start_Here"/>
      <sheetName val="06Act_vs_LV_-_Mth_Spreads"/>
      <sheetName val="Lead_Inputs"/>
      <sheetName val="20ozC&amp;G"/>
      <sheetName val="Hydration"/>
      <sheetName val="DATOS"/>
      <sheetName val="Valuation"/>
      <sheetName val="Input Sheet"/>
      <sheetName val=""/>
      <sheetName val="Control"/>
      <sheetName val="NOPBT_Impact1"/>
      <sheetName val="Strat_Plan1"/>
      <sheetName val="2005_MAIN_FX-CALC1"/>
      <sheetName val="2005_SPForex_Rates1"/>
      <sheetName val="MAIN_FX-CALC_11"/>
      <sheetName val="Consensus_Details1"/>
      <sheetName val="5%_Variance_Calc-20031"/>
      <sheetName val="5%_Variance_Calc-20041"/>
      <sheetName val="5%_Variance_Calc-20051"/>
      <sheetName val="5%_Variance_Calc-20061"/>
      <sheetName val="MAIN_FX_CALC_11"/>
      <sheetName val="Start_Here1"/>
      <sheetName val="06Act_vs_LV_-_Mth_Spreads1"/>
      <sheetName val="Lead_Inputs1"/>
      <sheetName val="Input_Sheet"/>
      <sheetName val="NOPBT_Impact2"/>
      <sheetName val="Strat_Plan2"/>
      <sheetName val="2005_MAIN_FX-CALC2"/>
      <sheetName val="2005_SPForex_Rates2"/>
      <sheetName val="MAIN_FX-CALC_12"/>
      <sheetName val="Consensus_Details2"/>
      <sheetName val="5%_Variance_Calc-20032"/>
      <sheetName val="5%_Variance_Calc-20042"/>
      <sheetName val="5%_Variance_Calc-20052"/>
      <sheetName val="5%_Variance_Calc-20062"/>
      <sheetName val="MAIN_FX_CALC_12"/>
      <sheetName val="Start_Here2"/>
      <sheetName val="06Act_vs_LV_-_Mth_Spreads2"/>
      <sheetName val="Lead_Inputs2"/>
      <sheetName val="Input_Sheet1"/>
      <sheetName val="NOPBT_Impact3"/>
      <sheetName val="Strat_Plan3"/>
      <sheetName val="2005_MAIN_FX-CALC3"/>
      <sheetName val="2005_SPForex_Rates3"/>
      <sheetName val="MAIN_FX-CALC_13"/>
      <sheetName val="Consensus_Details3"/>
      <sheetName val="5%_Variance_Calc-20033"/>
      <sheetName val="5%_Variance_Calc-20043"/>
      <sheetName val="5%_Variance_Calc-20053"/>
      <sheetName val="5%_Variance_Calc-20063"/>
      <sheetName val="MAIN_FX_CALC_13"/>
      <sheetName val="Start_Here3"/>
      <sheetName val="06Act_vs_LV_-_Mth_Spreads3"/>
      <sheetName val="Lead_Inputs3"/>
      <sheetName val="Input_Sheet2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1 (Local)"/>
      <sheetName val="Purchase Price"/>
      <sheetName val="local up(1)"/>
      <sheetName val="Vol-HK"/>
      <sheetName val="Vol-China"/>
      <sheetName val="T. Vol"/>
      <sheetName val="Stock for Local Sales"/>
      <sheetName val="Local(1)-Jan"/>
      <sheetName val="Local(2)-Jan"/>
      <sheetName val="Local(3)-Jan(01)"/>
      <sheetName val="Local(3)-Jan(02)"/>
      <sheetName val="Local(1)-Feb"/>
      <sheetName val="Local(2)-Feb"/>
      <sheetName val="Local(3)-Feb(01)"/>
      <sheetName val="Local(3)-Feb(02)"/>
      <sheetName val="Local(1)-Mar"/>
      <sheetName val="Local(2)-Mar"/>
      <sheetName val="Local(3)-Mar(01)"/>
      <sheetName val="Local(3)-Mar(02)"/>
      <sheetName val="Local(1)-Apr"/>
      <sheetName val="Local(2)-Apr"/>
      <sheetName val="Local(3)-Apr(01)"/>
      <sheetName val="Local(3)-Apr(02)"/>
      <sheetName val="Local(1)-May"/>
      <sheetName val="Local(2)-May"/>
      <sheetName val="Local(3)-May(01)"/>
      <sheetName val="Local(3)-May(02)"/>
      <sheetName val="Local(1)-Jun"/>
      <sheetName val="Local(2)-Jun"/>
      <sheetName val="Local(3)-Jun(01)"/>
      <sheetName val="Local(3)-Jun(02)"/>
      <sheetName val="Local(1)-Jul"/>
      <sheetName val="Local(2)-Jul"/>
      <sheetName val="Local(3)-Jul(01)"/>
      <sheetName val="Local(3)-Jul(02)"/>
      <sheetName val="Local(1)-Aug"/>
      <sheetName val="Local(2)-Aug"/>
      <sheetName val="Local(3)-Aug(01)"/>
      <sheetName val="Local(3)-Aug(02)"/>
      <sheetName val="Local(1)-Sept"/>
      <sheetName val="Local(2)-Sept"/>
      <sheetName val="Local(3)-Sept(01)"/>
      <sheetName val="Local(3)-Sept(02)"/>
      <sheetName val="Local(1)-Oct"/>
      <sheetName val="Local(2)-Oct"/>
      <sheetName val="Local(3)-Oct(01)"/>
      <sheetName val="Local(3)-Oct(02)"/>
      <sheetName val="Local(1)-Nov"/>
      <sheetName val="Local(2)-Nov"/>
      <sheetName val="Local(3)-Nov(01)"/>
      <sheetName val="Local(3)-Nov(02)"/>
      <sheetName val="Local(1)-Dec"/>
      <sheetName val="Local(2)-Dec"/>
      <sheetName val="Local(3)-Dec(01)"/>
      <sheetName val="Local(3)-Dec(02)"/>
      <sheetName val="Total COGS (Local)"/>
      <sheetName val="Local"/>
      <sheetName val="Summary for Local Sales"/>
      <sheetName val="Cost(Case)"/>
      <sheetName val="Tsf Price (Unit)"/>
      <sheetName val="Cost (Unit)"/>
      <sheetName val="Executive Summary (Local)"/>
      <sheetName val="P&amp;L(Local)"/>
      <sheetName val="Pri ce (Local)"/>
      <sheetName val="Unit Cost (Local)"/>
      <sheetName val="Gross Sales (Local)"/>
      <sheetName val="Overhead (Local)"/>
      <sheetName val="T&amp;E (Local)"/>
      <sheetName val="Forecasted Mfg (Local)"/>
      <sheetName val="Forecasted Exp (Local)"/>
      <sheetName val="Freight (Local)"/>
      <sheetName val="Working 2 (Local)"/>
      <sheetName val="Salary"/>
      <sheetName val="Working_1_(Local)"/>
      <sheetName val="Purchase_Price"/>
      <sheetName val="local_up(1)"/>
      <sheetName val="T__Vol"/>
      <sheetName val="Stock_for_Local_Sales"/>
      <sheetName val="Total_COGS_(Local)"/>
      <sheetName val="Summary_for_Local_Sales"/>
      <sheetName val="Tsf_Price_(Unit)"/>
      <sheetName val="Cost_(Unit)"/>
      <sheetName val="Executive_Summary_(Local)"/>
      <sheetName val="Pri_ce_(Local)"/>
      <sheetName val="Unit_Cost_(Local)"/>
      <sheetName val="Gross_Sales_(Local)"/>
      <sheetName val="Overhead_(Local)"/>
      <sheetName val="T&amp;E_(Local)"/>
      <sheetName val="Forecasted_Mfg_(Local)"/>
      <sheetName val="Forecasted_Exp_(Local)"/>
      <sheetName val="Freight_(Local)"/>
      <sheetName val="Working_2_(Local)"/>
      <sheetName val="Working_1_(Local)1"/>
      <sheetName val="Purchase_Price1"/>
      <sheetName val="local_up(1)1"/>
      <sheetName val="T__Vol1"/>
      <sheetName val="Stock_for_Local_Sales1"/>
      <sheetName val="Total_COGS_(Local)1"/>
      <sheetName val="Summary_for_Local_Sales1"/>
      <sheetName val="Tsf_Price_(Unit)1"/>
      <sheetName val="Cost_(Unit)1"/>
      <sheetName val="Executive_Summary_(Local)1"/>
      <sheetName val="Pri_ce_(Local)1"/>
      <sheetName val="Unit_Cost_(Local)1"/>
      <sheetName val="Gross_Sales_(Local)1"/>
      <sheetName val="Overhead_(Local)1"/>
      <sheetName val="T&amp;E_(Local)1"/>
      <sheetName val="Forecasted_Mfg_(Local)1"/>
      <sheetName val="Forecasted_Exp_(Local)1"/>
      <sheetName val="Freight_(Local)1"/>
      <sheetName val="Working_2_(Local)1"/>
      <sheetName val="Working_1_(Local)2"/>
      <sheetName val="Purchase_Price2"/>
      <sheetName val="local_up(1)2"/>
      <sheetName val="T__Vol2"/>
      <sheetName val="Stock_for_Local_Sales2"/>
      <sheetName val="Total_COGS_(Local)2"/>
      <sheetName val="Summary_for_Local_Sales2"/>
      <sheetName val="Tsf_Price_(Unit)2"/>
      <sheetName val="Cost_(Unit)2"/>
      <sheetName val="Executive_Summary_(Local)2"/>
      <sheetName val="Pri_ce_(Local)2"/>
      <sheetName val="Unit_Cost_(Local)2"/>
      <sheetName val="Gross_Sales_(Local)2"/>
      <sheetName val="Overhead_(Local)2"/>
      <sheetName val="T&amp;E_(Local)2"/>
      <sheetName val="Forecasted_Mfg_(Local)2"/>
      <sheetName val="Forecasted_Exp_(Local)2"/>
      <sheetName val="Freight_(Local)2"/>
      <sheetName val="Working_2_(Local)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BEV FC Input"/>
      <sheetName val="BEV FC Link"/>
      <sheetName val="BEV SP Input"/>
      <sheetName val="BEV SP Link"/>
      <sheetName val="BEV Report"/>
      <sheetName val="SNK FC Input"/>
      <sheetName val="SNK FC Link"/>
      <sheetName val="SNK SP Input"/>
      <sheetName val="SNK SP Link"/>
      <sheetName val="SNK Report"/>
      <sheetName val="PL FC Input"/>
      <sheetName val="PL FC Link"/>
      <sheetName val="PL SP Input"/>
      <sheetName val="PL SP Link"/>
      <sheetName val="PL Report"/>
      <sheetName val="BS FC Input"/>
      <sheetName val="BS FC Link"/>
      <sheetName val="BS Report"/>
      <sheetName val="CF Report"/>
      <sheetName val="Forex Rates"/>
      <sheetName val="BS Validation"/>
      <sheetName val="TAR BEV Report"/>
      <sheetName val="TAR SNK Report"/>
      <sheetName val="Profit and Loss"/>
      <sheetName val="Balance Sheet"/>
      <sheetName val="Beverage Volume"/>
      <sheetName val="Snacks Volume &amp; Gross Sales"/>
      <sheetName val="Beverage Entities"/>
      <sheetName val="Snacks Entities"/>
      <sheetName val="Reference"/>
      <sheetName val="2007"/>
      <sheetName val="2008"/>
      <sheetName val="2009"/>
      <sheetName val="Control_Panel"/>
      <sheetName val="BEV_FC_Input"/>
      <sheetName val="BEV_FC_Link"/>
      <sheetName val="BEV_SP_Input"/>
      <sheetName val="BEV_SP_Link"/>
      <sheetName val="BEV_Report"/>
      <sheetName val="SNK_FC_Input"/>
      <sheetName val="SNK_FC_Link"/>
      <sheetName val="SNK_SP_Input"/>
      <sheetName val="SNK_SP_Link"/>
      <sheetName val="SNK_Report"/>
      <sheetName val="PL_FC_Input"/>
      <sheetName val="PL_FC_Link"/>
      <sheetName val="PL_SP_Input"/>
      <sheetName val="PL_SP_Link"/>
      <sheetName val="PL_Report"/>
      <sheetName val="BS_FC_Input"/>
      <sheetName val="BS_FC_Link"/>
      <sheetName val="BS_Report"/>
      <sheetName val="CF_Report"/>
      <sheetName val="Forex_Rates"/>
      <sheetName val="BS_Validation"/>
      <sheetName val="TAR_BEV_Report"/>
      <sheetName val="TAR_SNK_Report"/>
      <sheetName val="Profit_and_Loss"/>
      <sheetName val="Balance_Sheet"/>
      <sheetName val="Beverage_Volume"/>
      <sheetName val="Snacks_Volume_&amp;_Gross_Sales"/>
      <sheetName val="Beverage_Entities"/>
      <sheetName val="Snacks_Entities"/>
      <sheetName val="Control_Panel1"/>
      <sheetName val="BEV_FC_Input1"/>
      <sheetName val="BEV_FC_Link1"/>
      <sheetName val="BEV_SP_Input1"/>
      <sheetName val="BEV_SP_Link1"/>
      <sheetName val="BEV_Report1"/>
      <sheetName val="SNK_FC_Input1"/>
      <sheetName val="SNK_FC_Link1"/>
      <sheetName val="SNK_SP_Input1"/>
      <sheetName val="SNK_SP_Link1"/>
      <sheetName val="SNK_Report1"/>
      <sheetName val="PL_FC_Input1"/>
      <sheetName val="PL_FC_Link1"/>
      <sheetName val="PL_SP_Input1"/>
      <sheetName val="PL_SP_Link1"/>
      <sheetName val="PL_Report1"/>
      <sheetName val="BS_FC_Input1"/>
      <sheetName val="BS_FC_Link1"/>
      <sheetName val="BS_Report1"/>
      <sheetName val="CF_Report1"/>
      <sheetName val="Forex_Rates1"/>
      <sheetName val="BS_Validation1"/>
      <sheetName val="TAR_BEV_Report1"/>
      <sheetName val="TAR_SNK_Report1"/>
      <sheetName val="Profit_and_Loss1"/>
      <sheetName val="Balance_Sheet1"/>
      <sheetName val="Beverage_Volume1"/>
      <sheetName val="Snacks_Volume_&amp;_Gross_Sales1"/>
      <sheetName val="Beverage_Entities1"/>
      <sheetName val="Snacks_Entities1"/>
      <sheetName val="Control_Panel2"/>
      <sheetName val="BEV_FC_Input2"/>
      <sheetName val="BEV_FC_Link2"/>
      <sheetName val="BEV_SP_Input2"/>
      <sheetName val="BEV_SP_Link2"/>
      <sheetName val="BEV_Report2"/>
      <sheetName val="SNK_FC_Input2"/>
      <sheetName val="SNK_FC_Link2"/>
      <sheetName val="SNK_SP_Input2"/>
      <sheetName val="SNK_SP_Link2"/>
      <sheetName val="SNK_Report2"/>
      <sheetName val="PL_FC_Input2"/>
      <sheetName val="PL_FC_Link2"/>
      <sheetName val="PL_SP_Input2"/>
      <sheetName val="PL_SP_Link2"/>
      <sheetName val="PL_Report2"/>
      <sheetName val="BS_FC_Input2"/>
      <sheetName val="BS_FC_Link2"/>
      <sheetName val="BS_Report2"/>
      <sheetName val="CF_Report2"/>
      <sheetName val="Forex_Rates2"/>
      <sheetName val="BS_Validation2"/>
      <sheetName val="TAR_BEV_Report2"/>
      <sheetName val="TAR_SNK_Report2"/>
      <sheetName val="Profit_and_Loss2"/>
      <sheetName val="Balance_Sheet2"/>
      <sheetName val="Beverage_Volume2"/>
      <sheetName val="Snacks_Volume_&amp;_Gross_Sales2"/>
      <sheetName val="Beverage_Entities2"/>
      <sheetName val="Snacks_Entitie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Sys FC Current"/>
      <sheetName val="Sys FC Frozen"/>
      <sheetName val="Sys FC Variance"/>
      <sheetName val="Sh FC Current"/>
      <sheetName val="Sh FC Frozen"/>
      <sheetName val="Sh FC Variance"/>
      <sheetName val="Frozen"/>
      <sheetName val="Reference"/>
      <sheetName val="Local"/>
      <sheetName val="Profit and Loss"/>
      <sheetName val="Index"/>
      <sheetName val="Control_Panel"/>
      <sheetName val="Sys_FC_Current"/>
      <sheetName val="Sys_FC_Frozen"/>
      <sheetName val="Sys_FC_Variance"/>
      <sheetName val="Sh_FC_Current"/>
      <sheetName val="Sh_FC_Frozen"/>
      <sheetName val="Sh_FC_Variance"/>
      <sheetName val="Profit_and_Loss"/>
      <sheetName val="Control_Panel1"/>
      <sheetName val="Sys_FC_Current1"/>
      <sheetName val="Sys_FC_Frozen1"/>
      <sheetName val="Sys_FC_Variance1"/>
      <sheetName val="Sh_FC_Current1"/>
      <sheetName val="Sh_FC_Frozen1"/>
      <sheetName val="Sh_FC_Variance1"/>
      <sheetName val="Profit_and_Loss1"/>
      <sheetName val="Control_Panel2"/>
      <sheetName val="Sys_FC_Current2"/>
      <sheetName val="Sys_FC_Frozen2"/>
      <sheetName val="Sys_FC_Variance2"/>
      <sheetName val="Sh_FC_Current2"/>
      <sheetName val="Sh_FC_Frozen2"/>
      <sheetName val="Sh_FC_Variance2"/>
      <sheetName val="Profit_and_Los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6">
          <cell r="A6" t="str">
            <v>asiareghq</v>
          </cell>
        </row>
      </sheetData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  <sheetName val="Slide 2"/>
      <sheetName val="Slide 3"/>
      <sheetName val="Slide 4"/>
      <sheetName val="Slide 5"/>
      <sheetName val="Slide 6"/>
      <sheetName val="Slide 7"/>
      <sheetName val="Slide 8"/>
      <sheetName val="Slide 9"/>
      <sheetName val="Slide 10"/>
      <sheetName val="Slide 11"/>
      <sheetName val="Slide 12"/>
      <sheetName val="Slide 13"/>
      <sheetName val="Slide 14"/>
      <sheetName val="Slide 15"/>
      <sheetName val="Slide 16"/>
      <sheetName val="Slide 18"/>
      <sheetName val="Slide 19"/>
      <sheetName val="Slide 19 (2)"/>
      <sheetName val="Slide 20"/>
      <sheetName val="Slide 22"/>
      <sheetName val="Slide 23"/>
      <sheetName val="Slide 27"/>
      <sheetName val="Slide 28"/>
      <sheetName val="Slide 29"/>
      <sheetName val="Slide 30"/>
      <sheetName val="Slide 31"/>
      <sheetName val="Slide 32"/>
      <sheetName val="Slide 118B"/>
      <sheetName val="Reference"/>
      <sheetName val="Balance Sheet"/>
      <sheetName val="Profit and Loss"/>
      <sheetName val="Slide_2"/>
      <sheetName val="Slide_3"/>
      <sheetName val="Slide_4"/>
      <sheetName val="Slide_5"/>
      <sheetName val="Slide_6"/>
      <sheetName val="Slide_7"/>
      <sheetName val="Slide_8"/>
      <sheetName val="Slide_9"/>
      <sheetName val="Slide_10"/>
      <sheetName val="Slide_11"/>
      <sheetName val="Slide_12"/>
      <sheetName val="Slide_13"/>
      <sheetName val="Slide_14"/>
      <sheetName val="Slide_15"/>
      <sheetName val="Slide_16"/>
      <sheetName val="Slide_18"/>
      <sheetName val="Slide_19"/>
      <sheetName val="Slide_19_(2)"/>
      <sheetName val="Slide_20"/>
      <sheetName val="Slide_22"/>
      <sheetName val="Slide_23"/>
      <sheetName val="Slide_27"/>
      <sheetName val="Slide_28"/>
      <sheetName val="Slide_29"/>
      <sheetName val="Slide_30"/>
      <sheetName val="Slide_31"/>
      <sheetName val="Slide_32"/>
      <sheetName val="Slide_118B"/>
      <sheetName val="Balance_Sheet"/>
      <sheetName val="Profit_and_Loss"/>
      <sheetName val="Slide_21"/>
      <sheetName val="Slide_33"/>
      <sheetName val="Slide_41"/>
      <sheetName val="Slide_51"/>
      <sheetName val="Slide_61"/>
      <sheetName val="Slide_71"/>
      <sheetName val="Slide_81"/>
      <sheetName val="Slide_91"/>
      <sheetName val="Slide_101"/>
      <sheetName val="Slide_111"/>
      <sheetName val="Slide_121"/>
      <sheetName val="Slide_131"/>
      <sheetName val="Slide_141"/>
      <sheetName val="Slide_151"/>
      <sheetName val="Slide_161"/>
      <sheetName val="Slide_181"/>
      <sheetName val="Slide_191"/>
      <sheetName val="Slide_19_(2)1"/>
      <sheetName val="Slide_201"/>
      <sheetName val="Slide_221"/>
      <sheetName val="Slide_231"/>
      <sheetName val="Slide_271"/>
      <sheetName val="Slide_281"/>
      <sheetName val="Slide_291"/>
      <sheetName val="Slide_301"/>
      <sheetName val="Slide_311"/>
      <sheetName val="Slide_321"/>
      <sheetName val="Slide_118B1"/>
      <sheetName val="Balance_Sheet1"/>
      <sheetName val="Profit_and_Loss1"/>
      <sheetName val="Slide_24"/>
      <sheetName val="Slide_34"/>
      <sheetName val="Slide_42"/>
      <sheetName val="Slide_52"/>
      <sheetName val="Slide_62"/>
      <sheetName val="Slide_72"/>
      <sheetName val="Slide_82"/>
      <sheetName val="Slide_92"/>
      <sheetName val="Slide_102"/>
      <sheetName val="Slide_112"/>
      <sheetName val="Slide_122"/>
      <sheetName val="Slide_132"/>
      <sheetName val="Slide_142"/>
      <sheetName val="Slide_152"/>
      <sheetName val="Slide_162"/>
      <sheetName val="Slide_182"/>
      <sheetName val="Slide_192"/>
      <sheetName val="Slide_19_(2)2"/>
      <sheetName val="Slide_202"/>
      <sheetName val="Slide_222"/>
      <sheetName val="Slide_232"/>
      <sheetName val="Slide_272"/>
      <sheetName val="Slide_282"/>
      <sheetName val="Slide_292"/>
      <sheetName val="Slide_302"/>
      <sheetName val="Slide_312"/>
      <sheetName val="Slide_322"/>
      <sheetName val="Slide_118B2"/>
      <sheetName val="Balance_Sheet2"/>
      <sheetName val="Profit_and_Loss2"/>
    </sheetNames>
    <sheetDataSet>
      <sheetData sheetId="0" refreshError="1">
        <row r="7">
          <cell r="I7" t="str">
            <v>(EGP MM)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ing"/>
      <sheetName val="Source Files"/>
      <sheetName val="Quarters"/>
      <sheetName val="Quarters (2)"/>
      <sheetName val="Strike"/>
      <sheetName val="Divisions"/>
      <sheetName val="By Period "/>
      <sheetName val="QTG Annual"/>
      <sheetName val="BOY"/>
      <sheetName val="Sheet2"/>
      <sheetName val="Net Sales ppt"/>
      <sheetName val="Gross Sales ppt"/>
      <sheetName val="Cust_Schedule"/>
      <sheetName val="Comp Before &amp; After"/>
      <sheetName val="Before &amp; After"/>
      <sheetName val="Total_Strategic_Grocery"/>
      <sheetName val="Total_Strategic_Grocery_X"/>
      <sheetName val="Total_National_Grocery"/>
      <sheetName val="Total_National_Grocery_X"/>
      <sheetName val="Grocery_Other"/>
      <sheetName val="Big_3"/>
      <sheetName val="Kroger"/>
      <sheetName val="Kroger_Unadj"/>
      <sheetName val="KrogerAdj"/>
      <sheetName val="Ralphs"/>
      <sheetName val="Kroger_W_O_Ralphs"/>
      <sheetName val="Safeway"/>
      <sheetName val="Safeway_Unadj"/>
      <sheetName val="SafewayAdj"/>
      <sheetName val="Vons"/>
      <sheetName val="Safeway_Strike_Adj"/>
      <sheetName val="Vons_Unadj"/>
      <sheetName val="Safeway_X_Vons"/>
      <sheetName val="Safeway_X_Vons_Unadj"/>
      <sheetName val="Safeway_X_VonsAdj"/>
      <sheetName val="Albertsons"/>
      <sheetName val="Albertsons_Unadj"/>
      <sheetName val="AlbertsonsAdj"/>
      <sheetName val="SoCal"/>
      <sheetName val="SoCal_Unadj"/>
      <sheetName val="Albertsons_X_SO_CA"/>
      <sheetName val="Albertsons_X_SO_CA_Unadj"/>
      <sheetName val="Albertsons_X_SO_CAAdj"/>
      <sheetName val="Albertsons_Strike_Adj"/>
      <sheetName val="Delhaize"/>
      <sheetName val="Delhaize_Unadj"/>
      <sheetName val="DelhaizeAdj"/>
      <sheetName val="Winn_Dixie"/>
      <sheetName val="Winn_Dixie_Unadj"/>
      <sheetName val="Winn_DixieAdj"/>
      <sheetName val="Ahold"/>
      <sheetName val="Ahold_Unadj"/>
      <sheetName val="AholdAdj"/>
      <sheetName val="Super_Regionals"/>
      <sheetName val="Super_Regionals_Unadj"/>
      <sheetName val="Wegmans"/>
      <sheetName val="Wegmans_Unadj"/>
      <sheetName val="WegmansAdj"/>
      <sheetName val="HEB"/>
      <sheetName val="HEB_Unadj"/>
      <sheetName val="HEBAdj"/>
      <sheetName val="Publix"/>
      <sheetName val="Publix_Unadj"/>
      <sheetName val="PublixAdj"/>
      <sheetName val="Meijer"/>
      <sheetName val="Meijer_Unadj"/>
      <sheetName val="MeijerAdj"/>
      <sheetName val="Bonus"/>
      <sheetName val="Bonus (adj net sales)"/>
      <sheetName val="Bonus 2"/>
      <sheetName val="Bonus (Partial)"/>
      <sheetName val="Bonus (Run Rate)"/>
      <sheetName val="Bonus (Unadjusted)"/>
      <sheetName val="FY SALES"/>
      <sheetName val="FY NET SALES"/>
      <sheetName val="FY TRADE"/>
      <sheetName val="Sales"/>
      <sheetName val="Net Sales"/>
      <sheetName val="Trade (old)"/>
      <sheetName val="Trade"/>
      <sheetName val="Accuracy"/>
      <sheetName val="qtg"/>
      <sheetName val="Combined S NS T (2)"/>
      <sheetName val="Combined S NS T"/>
      <sheetName val="Compare"/>
      <sheetName val="Other"/>
      <sheetName val="Notes"/>
      <sheetName val="Plan Growth"/>
      <sheetName val="PCNA (Not strike adj)"/>
      <sheetName val="Comp Before &amp; After (2)"/>
      <sheetName val="QTRS Fcst"/>
      <sheetName val="MariosReqst"/>
      <sheetName val="OVERLAP"/>
      <sheetName val="Work_Brkdwn"/>
      <sheetName val="Reference"/>
      <sheetName val="Balance Sheet"/>
      <sheetName val="Macro"/>
      <sheetName val="Source_Files"/>
      <sheetName val="Quarters_(2)"/>
      <sheetName val="By_Period_"/>
      <sheetName val="QTG_Annual"/>
      <sheetName val="Net_Sales_ppt"/>
      <sheetName val="Gross_Sales_ppt"/>
      <sheetName val="Comp_Before_&amp;_After"/>
      <sheetName val="Before_&amp;_After"/>
      <sheetName val="Bonus_(adj_net_sales)"/>
      <sheetName val="Bonus_2"/>
      <sheetName val="Bonus_(Partial)"/>
      <sheetName val="Bonus_(Run_Rate)"/>
      <sheetName val="Bonus_(Unadjusted)"/>
      <sheetName val="FY_SALES"/>
      <sheetName val="FY_NET_SALES"/>
      <sheetName val="FY_TRADE"/>
      <sheetName val="Net_Sales"/>
      <sheetName val="Trade_(old)"/>
      <sheetName val="Combined_S_NS_T_(2)"/>
      <sheetName val="Combined_S_NS_T"/>
      <sheetName val="Plan_Growth"/>
      <sheetName val="PCNA_(Not_strike_adj)"/>
      <sheetName val="Comp_Before_&amp;_After_(2)"/>
      <sheetName val="QTRS_Fcst"/>
      <sheetName val="Balance_Sheet"/>
      <sheetName val="Source_Files1"/>
      <sheetName val="Quarters_(2)1"/>
      <sheetName val="By_Period_1"/>
      <sheetName val="QTG_Annual1"/>
      <sheetName val="Net_Sales_ppt1"/>
      <sheetName val="Gross_Sales_ppt1"/>
      <sheetName val="Comp_Before_&amp;_After1"/>
      <sheetName val="Before_&amp;_After1"/>
      <sheetName val="Bonus_(adj_net_sales)1"/>
      <sheetName val="Bonus_21"/>
      <sheetName val="Bonus_(Partial)1"/>
      <sheetName val="Bonus_(Run_Rate)1"/>
      <sheetName val="Bonus_(Unadjusted)1"/>
      <sheetName val="FY_SALES1"/>
      <sheetName val="FY_NET_SALES1"/>
      <sheetName val="FY_TRADE1"/>
      <sheetName val="Net_Sales1"/>
      <sheetName val="Trade_(old)1"/>
      <sheetName val="Combined_S_NS_T_(2)1"/>
      <sheetName val="Combined_S_NS_T1"/>
      <sheetName val="Plan_Growth1"/>
      <sheetName val="PCNA_(Not_strike_adj)1"/>
      <sheetName val="Comp_Before_&amp;_After_(2)1"/>
      <sheetName val="QTRS_Fcst1"/>
      <sheetName val="Balance_Sheet1"/>
      <sheetName val="Source_Files2"/>
      <sheetName val="Quarters_(2)2"/>
      <sheetName val="By_Period_2"/>
      <sheetName val="QTG_Annual2"/>
      <sheetName val="Net_Sales_ppt2"/>
      <sheetName val="Gross_Sales_ppt2"/>
      <sheetName val="Comp_Before_&amp;_After2"/>
      <sheetName val="Before_&amp;_After2"/>
      <sheetName val="Bonus_(adj_net_sales)2"/>
      <sheetName val="Bonus_22"/>
      <sheetName val="Bonus_(Partial)2"/>
      <sheetName val="Bonus_(Run_Rate)2"/>
      <sheetName val="Bonus_(Unadjusted)2"/>
      <sheetName val="FY_SALES2"/>
      <sheetName val="FY_NET_SALES2"/>
      <sheetName val="FY_TRADE2"/>
      <sheetName val="Net_Sales2"/>
      <sheetName val="Trade_(old)2"/>
      <sheetName val="Combined_S_NS_T_(2)2"/>
      <sheetName val="Combined_S_NS_T2"/>
      <sheetName val="Plan_Growth2"/>
      <sheetName val="PCNA_(Not_strike_adj)2"/>
      <sheetName val="Comp_Before_&amp;_After_(2)2"/>
      <sheetName val="QTRS_Fcst2"/>
      <sheetName val="Balance_Shee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igator"/>
      <sheetName val="map"/>
      <sheetName val="Notes"/>
      <sheetName val="NAT_PC"/>
      <sheetName val="FAB_PC"/>
      <sheetName val="PelletTapioca"/>
      <sheetName val="Shots"/>
      <sheetName val="PelletPotato"/>
      <sheetName val="Nutz"/>
      <sheetName val="GMD"/>
      <sheetName val="Quaker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"/>
      <sheetName val="PL (LC)"/>
      <sheetName val="PL (US)"/>
      <sheetName val="COCH LC"/>
      <sheetName val="COCH US"/>
      <sheetName val="PL Base"/>
      <sheetName val="PL Local"/>
      <sheetName val="PL FAB"/>
      <sheetName val="PL GMD"/>
      <sheetName val="PL Qkr"/>
      <sheetName val="PL Risk&amp;Opps"/>
      <sheetName val="PLPlan1"/>
      <sheetName val="PLPlan"/>
      <sheetName val="PLYAGO"/>
      <sheetName val="PL_(LC)"/>
      <sheetName val="PL_(US)"/>
      <sheetName val="COCH_LC"/>
      <sheetName val="COCH_US"/>
      <sheetName val="PL_Base"/>
      <sheetName val="PL_Local"/>
      <sheetName val="PL_FAB"/>
      <sheetName val="PL_GMD"/>
      <sheetName val="PL_Qkr"/>
      <sheetName val="PL_Risk&amp;Opps"/>
      <sheetName val="PL_(LC)1"/>
      <sheetName val="PL_(US)1"/>
      <sheetName val="COCH_LC1"/>
      <sheetName val="COCH_US1"/>
      <sheetName val="PL_Base1"/>
      <sheetName val="PL_Local1"/>
      <sheetName val="PL_FAB1"/>
      <sheetName val="PL_GMD1"/>
      <sheetName val="PL_Qkr1"/>
      <sheetName val="PL_Risk&amp;Opps1"/>
      <sheetName val="PL_(LC)2"/>
      <sheetName val="PL_(US)2"/>
      <sheetName val="COCH_LC2"/>
      <sheetName val="COCH_US2"/>
      <sheetName val="PL_Base2"/>
      <sheetName val="PL_Local2"/>
      <sheetName val="PL_FAB2"/>
      <sheetName val="PL_GMD2"/>
      <sheetName val="PL_Qkr2"/>
      <sheetName val="PL_Risk&amp;Opp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BEV FC Input"/>
      <sheetName val="BEV FC Link"/>
      <sheetName val="BEV AOP Input"/>
      <sheetName val="BEV AOP Link"/>
      <sheetName val="BEV Report"/>
      <sheetName val="SNK FC Input"/>
      <sheetName val="SNK FC Link"/>
      <sheetName val="SNK AOP Input"/>
      <sheetName val="SNK AOP Link"/>
      <sheetName val="SNK Report"/>
      <sheetName val="PL FC Input"/>
      <sheetName val="PL FC Link"/>
      <sheetName val="PL AOP Input"/>
      <sheetName val="PL AOP Link"/>
      <sheetName val="BS FC Input"/>
      <sheetName val="BS FC Link"/>
      <sheetName val="BS AOP Input"/>
      <sheetName val="BS AOP Link"/>
      <sheetName val="PL Report"/>
      <sheetName val="BS Report"/>
      <sheetName val="CF Report"/>
      <sheetName val="Forex Rates"/>
      <sheetName val="BS Validation"/>
      <sheetName val="TAR BEV Report"/>
      <sheetName val="TAR SNK Report"/>
      <sheetName val="Profit and Loss"/>
      <sheetName val="Balance Sheet"/>
      <sheetName val="Beverage Volume"/>
      <sheetName val="Snacks Volume &amp; Gross Sales"/>
      <sheetName val="Beverage Entities"/>
      <sheetName val="Snacks Entities"/>
      <sheetName val="Reference"/>
      <sheetName val="Blending"/>
      <sheetName val="Production"/>
      <sheetName val="RF Scanner,Bat,Charger"/>
      <sheetName val="PLPlan1"/>
      <sheetName val="PLPlan"/>
      <sheetName val="PLYAGO"/>
      <sheetName val="Control_Panel"/>
      <sheetName val="BEV_FC_Input"/>
      <sheetName val="BEV_FC_Link"/>
      <sheetName val="BEV_AOP_Input"/>
      <sheetName val="BEV_AOP_Link"/>
      <sheetName val="BEV_Report"/>
      <sheetName val="SNK_FC_Input"/>
      <sheetName val="SNK_FC_Link"/>
      <sheetName val="SNK_AOP_Input"/>
      <sheetName val="SNK_AOP_Link"/>
      <sheetName val="SNK_Report"/>
      <sheetName val="PL_FC_Input"/>
      <sheetName val="PL_FC_Link"/>
      <sheetName val="PL_AOP_Input"/>
      <sheetName val="PL_AOP_Link"/>
      <sheetName val="BS_FC_Input"/>
      <sheetName val="BS_FC_Link"/>
      <sheetName val="BS_AOP_Input"/>
      <sheetName val="BS_AOP_Link"/>
      <sheetName val="PL_Report"/>
      <sheetName val="BS_Report"/>
      <sheetName val="CF_Report"/>
      <sheetName val="Forex_Rates"/>
      <sheetName val="BS_Validation"/>
      <sheetName val="TAR_BEV_Report"/>
      <sheetName val="TAR_SNK_Report"/>
      <sheetName val="Profit_and_Loss"/>
      <sheetName val="Balance_Sheet"/>
      <sheetName val="Beverage_Volume"/>
      <sheetName val="Snacks_Volume_&amp;_Gross_Sales"/>
      <sheetName val="Beverage_Entities"/>
      <sheetName val="Snacks_Entities"/>
      <sheetName val="RF_Scanner,Bat,Charger"/>
      <sheetName val="Control_Panel1"/>
      <sheetName val="BEV_FC_Input1"/>
      <sheetName val="BEV_FC_Link1"/>
      <sheetName val="BEV_AOP_Input1"/>
      <sheetName val="BEV_AOP_Link1"/>
      <sheetName val="BEV_Report1"/>
      <sheetName val="SNK_FC_Input1"/>
      <sheetName val="SNK_FC_Link1"/>
      <sheetName val="SNK_AOP_Input1"/>
      <sheetName val="SNK_AOP_Link1"/>
      <sheetName val="SNK_Report1"/>
      <sheetName val="PL_FC_Input1"/>
      <sheetName val="PL_FC_Link1"/>
      <sheetName val="PL_AOP_Input1"/>
      <sheetName val="PL_AOP_Link1"/>
      <sheetName val="BS_FC_Input1"/>
      <sheetName val="BS_FC_Link1"/>
      <sheetName val="BS_AOP_Input1"/>
      <sheetName val="BS_AOP_Link1"/>
      <sheetName val="PL_Report1"/>
      <sheetName val="BS_Report1"/>
      <sheetName val="CF_Report1"/>
      <sheetName val="Forex_Rates1"/>
      <sheetName val="BS_Validation1"/>
      <sheetName val="TAR_BEV_Report1"/>
      <sheetName val="TAR_SNK_Report1"/>
      <sheetName val="Profit_and_Loss1"/>
      <sheetName val="Balance_Sheet1"/>
      <sheetName val="Beverage_Volume1"/>
      <sheetName val="Snacks_Volume_&amp;_Gross_Sales1"/>
      <sheetName val="Beverage_Entities1"/>
      <sheetName val="Snacks_Entities1"/>
      <sheetName val="RF_Scanner,Bat,Charger1"/>
      <sheetName val="Control_Panel2"/>
      <sheetName val="BEV_FC_Input2"/>
      <sheetName val="BEV_FC_Link2"/>
      <sheetName val="BEV_AOP_Input2"/>
      <sheetName val="BEV_AOP_Link2"/>
      <sheetName val="BEV_Report2"/>
      <sheetName val="SNK_FC_Input2"/>
      <sheetName val="SNK_FC_Link2"/>
      <sheetName val="SNK_AOP_Input2"/>
      <sheetName val="SNK_AOP_Link2"/>
      <sheetName val="SNK_Report2"/>
      <sheetName val="PL_FC_Input2"/>
      <sheetName val="PL_FC_Link2"/>
      <sheetName val="PL_AOP_Input2"/>
      <sheetName val="PL_AOP_Link2"/>
      <sheetName val="BS_FC_Input2"/>
      <sheetName val="BS_FC_Link2"/>
      <sheetName val="BS_AOP_Input2"/>
      <sheetName val="BS_AOP_Link2"/>
      <sheetName val="PL_Report2"/>
      <sheetName val="BS_Report2"/>
      <sheetName val="CF_Report2"/>
      <sheetName val="Forex_Rates2"/>
      <sheetName val="BS_Validation2"/>
      <sheetName val="TAR_BEV_Report2"/>
      <sheetName val="TAR_SNK_Report2"/>
      <sheetName val="Profit_and_Loss2"/>
      <sheetName val="Balance_Sheet2"/>
      <sheetName val="Beverage_Volume2"/>
      <sheetName val="Snacks_Volume_&amp;_Gross_Sales2"/>
      <sheetName val="Beverage_Entities2"/>
      <sheetName val="Snacks_Entities2"/>
      <sheetName val="RF_Scanner,Bat,Charger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ro"/>
      <sheetName val="Variety"/>
      <sheetName val="PL AOP Input"/>
      <sheetName val="RF Scanner,Bat,Charger"/>
      <sheetName val="PL_AOP_Input"/>
      <sheetName val="RF_Scanner,Bat,Charger"/>
      <sheetName val="PL_AOP_Input1"/>
      <sheetName val="RF_Scanner,Bat,Charger1"/>
      <sheetName val="PL_AOP_Input2"/>
      <sheetName val="RF_Scanner,Bat,Charger2"/>
    </sheetNames>
    <sheetDataSet>
      <sheetData sheetId="0" refreshError="1"/>
      <sheetData sheetId="1" refreshError="1">
        <row r="2">
          <cell r="A2">
            <v>1327</v>
          </cell>
        </row>
        <row r="3">
          <cell r="A3" t="str">
            <v>Agria</v>
          </cell>
        </row>
        <row r="4">
          <cell r="A4" t="str">
            <v>Andover</v>
          </cell>
        </row>
        <row r="5">
          <cell r="A5" t="str">
            <v>Atlantic</v>
          </cell>
        </row>
        <row r="6">
          <cell r="A6" t="str">
            <v>Bolesta</v>
          </cell>
        </row>
        <row r="7">
          <cell r="A7" t="str">
            <v>Canchan</v>
          </cell>
        </row>
        <row r="8">
          <cell r="A8" t="str">
            <v>Capiro</v>
          </cell>
        </row>
        <row r="9">
          <cell r="A9" t="str">
            <v>CH-1</v>
          </cell>
        </row>
        <row r="10">
          <cell r="A10" t="str">
            <v>Chipeta</v>
          </cell>
        </row>
        <row r="11">
          <cell r="A11" t="str">
            <v>Dakota Pearl</v>
          </cell>
        </row>
        <row r="12">
          <cell r="A12" t="str">
            <v>Fianna</v>
          </cell>
        </row>
        <row r="13">
          <cell r="A13" t="str">
            <v>FL1207</v>
          </cell>
        </row>
        <row r="14">
          <cell r="A14" t="str">
            <v>FL1922</v>
          </cell>
        </row>
        <row r="15">
          <cell r="A15" t="str">
            <v>FL1533</v>
          </cell>
        </row>
        <row r="16">
          <cell r="A16" t="str">
            <v>FL1625</v>
          </cell>
        </row>
        <row r="17">
          <cell r="A17" t="str">
            <v>FL1833</v>
          </cell>
        </row>
        <row r="18">
          <cell r="A18" t="str">
            <v>FL1867</v>
          </cell>
        </row>
        <row r="19">
          <cell r="A19" t="str">
            <v>FL1879</v>
          </cell>
        </row>
        <row r="20">
          <cell r="A20" t="str">
            <v>FL1953</v>
          </cell>
        </row>
        <row r="21">
          <cell r="A21" t="str">
            <v>FL2006</v>
          </cell>
        </row>
        <row r="22">
          <cell r="A22" t="str">
            <v>FL2027</v>
          </cell>
        </row>
        <row r="23">
          <cell r="A23" t="str">
            <v>FL2115</v>
          </cell>
        </row>
        <row r="24">
          <cell r="A24" t="str">
            <v>Fianna</v>
          </cell>
        </row>
        <row r="25">
          <cell r="A25" t="str">
            <v>Fraser</v>
          </cell>
        </row>
        <row r="26">
          <cell r="A26" t="str">
            <v>Fripapa</v>
          </cell>
        </row>
        <row r="27">
          <cell r="A27" t="str">
            <v>Hermes</v>
          </cell>
        </row>
        <row r="28">
          <cell r="A28" t="str">
            <v>Hertha</v>
          </cell>
        </row>
        <row r="29">
          <cell r="A29" t="str">
            <v>Ilam Hardy</v>
          </cell>
        </row>
        <row r="30">
          <cell r="A30" t="str">
            <v>KCM</v>
          </cell>
        </row>
        <row r="31">
          <cell r="A31" t="str">
            <v>Kennebec</v>
          </cell>
        </row>
        <row r="32">
          <cell r="A32" t="str">
            <v>KJ</v>
          </cell>
        </row>
        <row r="33">
          <cell r="A33" t="str">
            <v>Lady Claire</v>
          </cell>
        </row>
        <row r="34">
          <cell r="A34" t="str">
            <v>Lady Rosetta</v>
          </cell>
        </row>
        <row r="35">
          <cell r="A35" t="str">
            <v>Lavkar</v>
          </cell>
        </row>
        <row r="36">
          <cell r="A36" t="str">
            <v>Norvalley</v>
          </cell>
        </row>
        <row r="37">
          <cell r="A37" t="str">
            <v>Orion</v>
          </cell>
        </row>
        <row r="38">
          <cell r="A38" t="str">
            <v>Pike</v>
          </cell>
        </row>
        <row r="39">
          <cell r="A39" t="str">
            <v>Saturna</v>
          </cell>
        </row>
        <row r="40">
          <cell r="A40" t="str">
            <v>Sebago</v>
          </cell>
        </row>
        <row r="41">
          <cell r="A41" t="str">
            <v>Simcoe</v>
          </cell>
        </row>
        <row r="42">
          <cell r="A42" t="str">
            <v>Snowden</v>
          </cell>
        </row>
        <row r="43">
          <cell r="A43" t="str">
            <v>Superchola</v>
          </cell>
        </row>
        <row r="44">
          <cell r="A44" t="str">
            <v>Trent</v>
          </cell>
        </row>
        <row r="45">
          <cell r="A45" t="str">
            <v>Wilstore</v>
          </cell>
        </row>
        <row r="46">
          <cell r="A46" t="str">
            <v>Other</v>
          </cell>
        </row>
      </sheetData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CostCenter_Base"/>
      <sheetName val="Pre-spend"/>
      <sheetName val="PI Integ. Cost"/>
      <sheetName val="Domestic"/>
      <sheetName val="T&amp;E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  <sheetName val="PI_Integ__Cost"/>
      <sheetName val="Business_Meeting"/>
      <sheetName val="Instruc_"/>
      <sheetName val="PI_Integ__Cost1"/>
      <sheetName val="Business_Meeting1"/>
      <sheetName val="Instruc_1"/>
      <sheetName val="PI_Integ__Cost2"/>
      <sheetName val="Business_Meeting2"/>
      <sheetName val="Instruc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Mkt"/>
      <sheetName val="PBI Pack"/>
      <sheetName val="Vol"/>
      <sheetName val="Rev"/>
      <sheetName val="Var-Prod"/>
      <sheetName val="Var-Mfg"/>
      <sheetName val="Fixed-Mfg"/>
      <sheetName val="Float"/>
      <sheetName val="W_Hse"/>
      <sheetName val="Fleet"/>
      <sheetName val="DC Cost"/>
      <sheetName val="Primary"/>
      <sheetName val="MEM"/>
      <sheetName val="A&amp;M"/>
      <sheetName val="Routes"/>
      <sheetName val="S&amp;D"/>
      <sheetName val="S&amp;D Analysis"/>
      <sheetName val="G&amp;A"/>
      <sheetName val="Asm"/>
      <sheetName val="Consol_US$"/>
      <sheetName val="GF_US$"/>
      <sheetName val="GF_RMB"/>
      <sheetName val="PCI P&amp;L"/>
      <sheetName val="WC-cal"/>
      <sheetName val="Tot-Depr"/>
      <sheetName val="Tot-Cpx"/>
      <sheetName val="Payroll"/>
      <sheetName val="MC"/>
      <sheetName val="Max Capacity"/>
      <sheetName val="Capex Estimate"/>
      <sheetName val="SY Estimate "/>
      <sheetName val="TJ Estimate"/>
      <sheetName val="Word Link"/>
      <sheetName val="Sep Forecast CF_BS"/>
      <sheetName val="PBI_Pack"/>
      <sheetName val="DC_Cost"/>
      <sheetName val="S&amp;D_Analysis"/>
      <sheetName val="PCI_P&amp;L"/>
      <sheetName val="Max_Capacity"/>
      <sheetName val="Capex_Estimate"/>
      <sheetName val="SY_Estimate_"/>
      <sheetName val="TJ_Estimate"/>
      <sheetName val="Word_Link"/>
      <sheetName val="Sep_Forecast_CF_BS"/>
      <sheetName val="PBI_Pack1"/>
      <sheetName val="DC_Cost1"/>
      <sheetName val="S&amp;D_Analysis1"/>
      <sheetName val="PCI_P&amp;L1"/>
      <sheetName val="Max_Capacity1"/>
      <sheetName val="Capex_Estimate1"/>
      <sheetName val="SY_Estimate_1"/>
      <sheetName val="TJ_Estimate1"/>
      <sheetName val="Word_Link1"/>
      <sheetName val="Sep_Forecast_CF_BS1"/>
      <sheetName val="PBI_Pack2"/>
      <sheetName val="DC_Cost2"/>
      <sheetName val="S&amp;D_Analysis2"/>
      <sheetName val="PCI_P&amp;L2"/>
      <sheetName val="Max_Capacity2"/>
      <sheetName val="Capex_Estimate2"/>
      <sheetName val="SY_Estimate_2"/>
      <sheetName val="TJ_Estimate2"/>
      <sheetName val="Word_Link2"/>
      <sheetName val="Sep_Forecast_CF_B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  <sheetName val="Sheet1"/>
      <sheetName val="R&amp;M_Land"/>
      <sheetName val="OS-Cln&amp;WWT_supply"/>
      <sheetName val="OS-Lab_supplies"/>
      <sheetName val="OS-Office_sup_"/>
      <sheetName val="Corrosion_inhibitor"/>
      <sheetName val="Printing_form"/>
      <sheetName val="Clean_&amp;Waste_Removal"/>
      <sheetName val="Lab_analysis"/>
      <sheetName val="Domestics_Travel"/>
      <sheetName val="Instruc_"/>
      <sheetName val="R&amp;M_EQ"/>
      <sheetName val="Air_comp"/>
      <sheetName val="Split_AC"/>
      <sheetName val="R&amp;M_Plant"/>
      <sheetName val="R&amp;M_Computer"/>
      <sheetName val="CCRptprd-Kanish"/>
      <sheetName val="Ref"/>
      <sheetName val="ByAcct"/>
      <sheetName val="ByMth"/>
      <sheetName val="Forex Reference"/>
      <sheetName val="96LEVCOC"/>
      <sheetName val="Asm"/>
      <sheetName val="Aust ACT"/>
      <sheetName val="ABF"/>
      <sheetName val="BS-Thai"/>
      <sheetName val="SKU"/>
      <sheetName val="PM"/>
      <sheetName val="PC_LB"/>
      <sheetName val="PG_LB"/>
      <sheetName val="RM"/>
      <sheetName val="NZ SC"/>
      <sheetName val="Carat"/>
      <sheetName val="Index"/>
      <sheetName val="MAIN FX-CALC 1"/>
      <sheetName val="R&amp;M_Land1"/>
      <sheetName val="OS-Cln&amp;WWT_supply1"/>
      <sheetName val="OS-Lab_supplies1"/>
      <sheetName val="OS-Office_sup_1"/>
      <sheetName val="Corrosion_inhibitor1"/>
      <sheetName val="Printing_form1"/>
      <sheetName val="Clean_&amp;Waste_Removal1"/>
      <sheetName val="Lab_analysis1"/>
      <sheetName val="Domestics_Travel1"/>
      <sheetName val="Instruc_1"/>
      <sheetName val="R&amp;M_EQ1"/>
      <sheetName val="Air_comp1"/>
      <sheetName val="Split_AC1"/>
      <sheetName val="R&amp;M_Plant1"/>
      <sheetName val="R&amp;M_Computer1"/>
      <sheetName val="Forex_Reference"/>
      <sheetName val="MAIN_FX-CALC_1"/>
      <sheetName val="R&amp;M_Land2"/>
      <sheetName val="OS-Cln&amp;WWT_supply2"/>
      <sheetName val="OS-Lab_supplies2"/>
      <sheetName val="OS-Office_sup_2"/>
      <sheetName val="Corrosion_inhibitor2"/>
      <sheetName val="Printing_form2"/>
      <sheetName val="Clean_&amp;Waste_Removal2"/>
      <sheetName val="Lab_analysis2"/>
      <sheetName val="Domestics_Travel2"/>
      <sheetName val="Instruc_2"/>
      <sheetName val="R&amp;M_EQ2"/>
      <sheetName val="Air_comp2"/>
      <sheetName val="Split_AC2"/>
      <sheetName val="R&amp;M_Plant2"/>
      <sheetName val="R&amp;M_Computer2"/>
      <sheetName val="Forex_Reference1"/>
      <sheetName val="MAIN_FX-CALC_11"/>
      <sheetName val="R&amp;M_Land3"/>
      <sheetName val="OS-Cln&amp;WWT_supply3"/>
      <sheetName val="OS-Lab_supplies3"/>
      <sheetName val="OS-Office_sup_3"/>
      <sheetName val="Corrosion_inhibitor3"/>
      <sheetName val="Printing_form3"/>
      <sheetName val="Clean_&amp;Waste_Removal3"/>
      <sheetName val="Lab_analysis3"/>
      <sheetName val="Domestics_Travel3"/>
      <sheetName val="Instruc_3"/>
      <sheetName val="R&amp;M_EQ3"/>
      <sheetName val="Air_comp3"/>
      <sheetName val="Split_AC3"/>
      <sheetName val="R&amp;M_Plant3"/>
      <sheetName val="R&amp;M_Computer3"/>
      <sheetName val="Forex_Reference2"/>
      <sheetName val="MAIN_FX-CALC_12"/>
      <sheetName val="Aust_ACT"/>
      <sheetName val="NZ_SC"/>
      <sheetName val="R&amp;M_Land4"/>
      <sheetName val="OS-Cln&amp;WWT_supply4"/>
      <sheetName val="OS-Lab_supplies4"/>
      <sheetName val="OS-Office_sup_4"/>
      <sheetName val="Corrosion_inhibitor4"/>
      <sheetName val="Printing_form4"/>
      <sheetName val="Clean_&amp;Waste_Removal4"/>
      <sheetName val="Lab_analysis4"/>
      <sheetName val="Domestics_Travel4"/>
      <sheetName val="Instruc_4"/>
      <sheetName val="R&amp;M_EQ4"/>
      <sheetName val="Air_comp4"/>
      <sheetName val="Split_AC4"/>
      <sheetName val="R&amp;M_Plant4"/>
      <sheetName val="R&amp;M_Computer4"/>
      <sheetName val="Forex_Reference3"/>
      <sheetName val="Aust_ACT1"/>
      <sheetName val="NZ_SC1"/>
      <sheetName val="MAIN_FX-CALC_13"/>
      <sheetName val="R&amp;M_Land5"/>
      <sheetName val="OS-Cln&amp;WWT_supply5"/>
      <sheetName val="OS-Lab_supplies5"/>
      <sheetName val="OS-Office_sup_5"/>
      <sheetName val="Corrosion_inhibitor5"/>
      <sheetName val="Printing_form5"/>
      <sheetName val="Clean_&amp;Waste_Removal5"/>
      <sheetName val="Lab_analysis5"/>
      <sheetName val="Domestics_Travel5"/>
      <sheetName val="Instruc_5"/>
      <sheetName val="R&amp;M_EQ5"/>
      <sheetName val="Air_comp5"/>
      <sheetName val="Split_AC5"/>
      <sheetName val="R&amp;M_Plant5"/>
      <sheetName val="R&amp;M_Computer5"/>
      <sheetName val="Forex_Reference4"/>
      <sheetName val="Aust_ACT2"/>
      <sheetName val="NZ_SC2"/>
      <sheetName val="MAIN_FX-CALC_14"/>
      <sheetName val="Sheet1 (2)"/>
      <sheetName val="R&amp;M_Land6"/>
      <sheetName val="OS-Cln&amp;WWT_supply6"/>
      <sheetName val="OS-Lab_supplies6"/>
      <sheetName val="OS-Office_sup_6"/>
      <sheetName val="Corrosion_inhibitor6"/>
      <sheetName val="Printing_form6"/>
      <sheetName val="Clean_&amp;Waste_Removal6"/>
      <sheetName val="Lab_analysis6"/>
      <sheetName val="Domestics_Travel6"/>
      <sheetName val="Instruc_6"/>
      <sheetName val="R&amp;M_EQ6"/>
      <sheetName val="Air_comp6"/>
      <sheetName val="Split_AC6"/>
      <sheetName val="R&amp;M_Plant6"/>
      <sheetName val="R&amp;M_Computer6"/>
      <sheetName val="Forex_Reference5"/>
      <sheetName val="Aust_ACT3"/>
      <sheetName val="NZ_SC3"/>
      <sheetName val="MAIN_FX-CALC_15"/>
      <sheetName val="Sheet1_(2)"/>
      <sheetName val="Volume"/>
      <sheetName val="R&amp;M_Land7"/>
      <sheetName val="OS-Cln&amp;WWT_supply7"/>
      <sheetName val="OS-Lab_supplies7"/>
      <sheetName val="OS-Office_sup_7"/>
      <sheetName val="Corrosion_inhibitor7"/>
      <sheetName val="Printing_form7"/>
      <sheetName val="Clean_&amp;Waste_Removal7"/>
      <sheetName val="Lab_analysis7"/>
      <sheetName val="Domestics_Travel7"/>
      <sheetName val="Instruc_7"/>
      <sheetName val="R&amp;M_EQ7"/>
      <sheetName val="Air_comp7"/>
      <sheetName val="Split_AC7"/>
      <sheetName val="R&amp;M_Plant7"/>
      <sheetName val="R&amp;M_Computer7"/>
      <sheetName val="Forex_Reference6"/>
      <sheetName val="MAIN_FX-CALC_16"/>
      <sheetName val="Aust_ACT4"/>
      <sheetName val="NZ_SC4"/>
      <sheetName val="Sheet1_(2)2"/>
      <sheetName val="Sheet1_(2)1"/>
      <sheetName val="R&amp;M_Land8"/>
      <sheetName val="OS-Cln&amp;WWT_supply8"/>
      <sheetName val="OS-Lab_supplies8"/>
      <sheetName val="OS-Office_sup_8"/>
      <sheetName val="Corrosion_inhibitor8"/>
      <sheetName val="Printing_form8"/>
      <sheetName val="Clean_&amp;Waste_Removal8"/>
      <sheetName val="Lab_analysis8"/>
      <sheetName val="Domestics_Travel8"/>
      <sheetName val="Instruc_8"/>
      <sheetName val="R&amp;M_EQ8"/>
      <sheetName val="Air_comp8"/>
      <sheetName val="Split_AC8"/>
      <sheetName val="R&amp;M_Plant8"/>
      <sheetName val="R&amp;M_Computer8"/>
      <sheetName val="Forex_Reference7"/>
      <sheetName val="MAIN_FX-CALC_17"/>
      <sheetName val="Aust_ACT5"/>
      <sheetName val="NZ_SC5"/>
      <sheetName val="Sheet1_(2)3"/>
      <sheetName val="Summary"/>
      <sheetName val="Input Sheet"/>
      <sheetName val="RU"/>
      <sheetName val="Printing"/>
      <sheetName val="QTG Annual"/>
      <sheetName val="下拉选择"/>
      <sheetName val="Local"/>
      <sheetName val="Data"/>
      <sheetName val="Main"/>
      <sheetName val="3 Location Freight&amp;Rental"/>
      <sheetName val="R&amp;M_Land9"/>
      <sheetName val="OS-Cln&amp;WWT_supply9"/>
      <sheetName val="OS-Lab_supplies9"/>
      <sheetName val="OS-Office_sup_9"/>
      <sheetName val="Corrosion_inhibitor9"/>
      <sheetName val="Printing_form9"/>
      <sheetName val="Clean_&amp;Waste_Removal9"/>
      <sheetName val="Lab_analysis9"/>
      <sheetName val="Domestics_Travel9"/>
      <sheetName val="Instruc_9"/>
      <sheetName val="R&amp;M_EQ9"/>
      <sheetName val="Air_comp9"/>
      <sheetName val="Split_AC9"/>
      <sheetName val="R&amp;M_Plant9"/>
      <sheetName val="R&amp;M_Computer9"/>
      <sheetName val="Forex_Reference8"/>
      <sheetName val="MAIN_FX-CALC_18"/>
      <sheetName val="Aust_ACT6"/>
      <sheetName val="NZ_SC6"/>
      <sheetName val="Sheet1_(2)4"/>
      <sheetName val="Input_Sheet"/>
      <sheetName val="QTG_Annual"/>
      <sheetName val="3_Location_Freight&amp;Rental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nov_1"/>
      <sheetName val="SOM"/>
      <sheetName val="Summary"/>
      <sheetName val="Vol_1"/>
      <sheetName val="P&amp;L_LC"/>
      <sheetName val="Q1_Outlook"/>
      <sheetName val="COCH_YAG"/>
      <sheetName val="INPUT"/>
      <sheetName val="Data LC"/>
      <sheetName val="Data US"/>
      <sheetName val="Brand"/>
      <sheetName val="Volume"/>
      <sheetName val="Vol_2"/>
      <sheetName val="P&amp;L_US"/>
      <sheetName val="COCH_AOP"/>
      <sheetName val="ERCONS"/>
      <sheetName val="Suave Download"/>
      <sheetName val="Sheet1 (2)"/>
      <sheetName val="Compile 0606"/>
      <sheetName val="Ass.Sheet"/>
      <sheetName val=" nfcst_py"/>
      <sheetName val="W210"/>
      <sheetName val="Charts"/>
      <sheetName val="ABF"/>
      <sheetName val="Navigation"/>
      <sheetName val="SL DATA"/>
      <sheetName val="WORKINGS"/>
      <sheetName val="DIL4"/>
      <sheetName val="INDEX"/>
      <sheetName val="General"/>
      <sheetName val="Reslease Report"/>
      <sheetName val="LOGIST"/>
      <sheetName val="Reference"/>
      <sheetName val="Data_LC"/>
      <sheetName val="Data_US"/>
      <sheetName val="Suave_Download"/>
      <sheetName val="Sheet1_(2)"/>
      <sheetName val="Compile_0606"/>
      <sheetName val="Ass_Sheet"/>
      <sheetName val="_nfcst_py"/>
      <sheetName val="SL_DATA"/>
      <sheetName val="Reslease_Report"/>
      <sheetName val="Data_LC1"/>
      <sheetName val="Data_US1"/>
      <sheetName val="Suave_Download1"/>
      <sheetName val="Sheet1_(2)1"/>
      <sheetName val="Compile_06061"/>
      <sheetName val="Ass_Sheet1"/>
      <sheetName val="_nfcst_py1"/>
      <sheetName val="SL_DATA1"/>
      <sheetName val="Reslease_Report1"/>
      <sheetName val=" product "/>
      <sheetName val="Data_LC2"/>
      <sheetName val="Data_US2"/>
      <sheetName val="Suave_Download2"/>
      <sheetName val="Sheet1_(2)2"/>
      <sheetName val="Compile_06062"/>
      <sheetName val="Ass_Sheet2"/>
      <sheetName val="_nfcst_py2"/>
      <sheetName val="SL_DATA2"/>
      <sheetName val="Reslease_Report2"/>
      <sheetName val="_product_"/>
      <sheetName val="C90_NET"/>
      <sheetName val="Hub Inputs"/>
      <sheetName val="MODELO"/>
      <sheetName val="96LEVCOC"/>
      <sheetName val="Produtos"/>
      <sheetName val="Curve"/>
      <sheetName val="Cost Sheet"/>
      <sheetName val="DATA RESOURCE DOLLARS"/>
      <sheetName val="Settings"/>
      <sheetName val="Sheet1"/>
      <sheetName val="08-09 Plan"/>
      <sheetName val="PL FC Input"/>
      <sheetName val="PL AOP Input"/>
      <sheetName val="Control Panel"/>
      <sheetName val="PU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D5" t="str">
            <v>FLISITE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Sys AFS Current"/>
      <sheetName val="Sys AFS Frozen"/>
      <sheetName val="Sys AFS Variance"/>
      <sheetName val="Sh AFS Current"/>
      <sheetName val="RHQ"/>
      <sheetName val="Sh AFS Frozen"/>
      <sheetName val="Sh AFS Variance"/>
      <sheetName val="Frozen"/>
      <sheetName val="Accounts"/>
      <sheetName val="Reference"/>
      <sheetName val="S&amp;D TRAVAILP11"/>
      <sheetName val="INPUT"/>
      <sheetName val="Navigation"/>
      <sheetName val="Data Input"/>
      <sheetName val="LOGIST"/>
      <sheetName val="Control_Panel"/>
      <sheetName val="Sys_AFS_Current"/>
      <sheetName val="Sys_AFS_Frozen"/>
      <sheetName val="Sys_AFS_Variance"/>
      <sheetName val="Sh_AFS_Current"/>
      <sheetName val="Sh_AFS_Frozen"/>
      <sheetName val="Sh_AFS_Variance"/>
      <sheetName val="S&amp;D_TRAVAILP11"/>
      <sheetName val="Data_Input"/>
      <sheetName val="Control_Panel1"/>
      <sheetName val="Sys_AFS_Current1"/>
      <sheetName val="Sys_AFS_Frozen1"/>
      <sheetName val="Sys_AFS_Variance1"/>
      <sheetName val="Sh_AFS_Current1"/>
      <sheetName val="Sh_AFS_Frozen1"/>
      <sheetName val="Sh_AFS_Variance1"/>
      <sheetName val="S&amp;D_TRAVAILP111"/>
      <sheetName val="Data_Input1"/>
      <sheetName val="Control_Panel2"/>
      <sheetName val="Sys_AFS_Current2"/>
      <sheetName val="Sys_AFS_Frozen2"/>
      <sheetName val="Sys_AFS_Variance2"/>
      <sheetName val="Sh_AFS_Current2"/>
      <sheetName val="Sh_AFS_Frozen2"/>
      <sheetName val="Sh_AFS_Variance2"/>
      <sheetName val="S&amp;D_TRAVAILP112"/>
      <sheetName val="Data_Inpu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9">
          <cell r="C9" t="str">
            <v>Beverage Volume</v>
          </cell>
        </row>
        <row r="11">
          <cell r="C11" t="str">
            <v>VOB1000</v>
          </cell>
          <cell r="D11" t="str">
            <v>BOTTLER CASE SALES - 8 OZ. EQUIV - CSD</v>
          </cell>
        </row>
        <row r="12">
          <cell r="C12" t="str">
            <v>VOB1100</v>
          </cell>
          <cell r="D12" t="str">
            <v>BOTTLER CASE SALES - 8 OZ. EQUIV - NON CSD</v>
          </cell>
        </row>
        <row r="13">
          <cell r="C13" t="str">
            <v>VOB1100.10</v>
          </cell>
          <cell r="D13" t="str">
            <v>GATORADE</v>
          </cell>
        </row>
        <row r="14">
          <cell r="C14" t="str">
            <v>VOB1100.20</v>
          </cell>
          <cell r="D14" t="str">
            <v>WATER</v>
          </cell>
        </row>
        <row r="15">
          <cell r="C15" t="str">
            <v>VOB1100.30</v>
          </cell>
          <cell r="D15" t="str">
            <v>JUICE/JUICE DRINKS</v>
          </cell>
        </row>
        <row r="16">
          <cell r="C16" t="str">
            <v>VOB1100.35</v>
          </cell>
          <cell r="D16" t="str">
            <v>LIPTON</v>
          </cell>
        </row>
        <row r="17">
          <cell r="C17" t="str">
            <v>VOB1100.40</v>
          </cell>
          <cell r="D17" t="str">
            <v>ALL OTHER NON CSD</v>
          </cell>
        </row>
        <row r="20">
          <cell r="C20" t="str">
            <v>Snacks Volume</v>
          </cell>
        </row>
        <row r="22">
          <cell r="C22" t="str">
            <v>VOS1000OS</v>
          </cell>
          <cell r="D22" t="str">
            <v>Brand - Gross Kilos - Outside</v>
          </cell>
        </row>
        <row r="23">
          <cell r="C23" t="str">
            <v>VOS1000OS.20</v>
          </cell>
          <cell r="D23" t="str">
            <v>Salty Sales</v>
          </cell>
        </row>
        <row r="24">
          <cell r="C24" t="str">
            <v>VOS1000OS.30</v>
          </cell>
          <cell r="D24" t="str">
            <v>Sweet Sales</v>
          </cell>
        </row>
        <row r="25">
          <cell r="C25" t="str">
            <v>VOS1000OS.35</v>
          </cell>
          <cell r="D25" t="str">
            <v>Snack Sales (Salty &amp; Sweet)</v>
          </cell>
        </row>
        <row r="26">
          <cell r="C26" t="str">
            <v>VOS1000OS.50</v>
          </cell>
          <cell r="D26" t="str">
            <v>*Other Foods</v>
          </cell>
        </row>
        <row r="27">
          <cell r="C27" t="str">
            <v>VOS1000OS.65</v>
          </cell>
          <cell r="D27" t="str">
            <v>*Total Sales - Snacks &amp; Food</v>
          </cell>
        </row>
        <row r="28">
          <cell r="C28" t="str">
            <v>VOS1000OS.90.110</v>
          </cell>
          <cell r="D28" t="str">
            <v>Noncarb Beverage Sales - Chocolate</v>
          </cell>
        </row>
        <row r="29">
          <cell r="C29" t="str">
            <v>VOS1000OS.90.130</v>
          </cell>
          <cell r="D29" t="str">
            <v>Other Liquids</v>
          </cell>
        </row>
        <row r="30">
          <cell r="C30" t="str">
            <v>VOS1000OS.90.310</v>
          </cell>
          <cell r="D30" t="str">
            <v>Powder (Sabritas)</v>
          </cell>
        </row>
        <row r="33">
          <cell r="C33" t="str">
            <v>Profit and Loss</v>
          </cell>
        </row>
        <row r="35">
          <cell r="C35" t="str">
            <v>PL1000</v>
          </cell>
          <cell r="D35" t="str">
            <v>GROSS SALES</v>
          </cell>
        </row>
        <row r="36">
          <cell r="C36" t="str">
            <v>PL1400</v>
          </cell>
          <cell r="D36" t="str">
            <v>TRADE SPENDING DISCOUNTS &amp; ALLOWANCES</v>
          </cell>
        </row>
        <row r="37">
          <cell r="C37" t="str">
            <v>PL1500</v>
          </cell>
          <cell r="D37" t="str">
            <v>D&amp;A - Obsolete Do Not Use</v>
          </cell>
        </row>
        <row r="38">
          <cell r="C38" t="str">
            <v>PL1550</v>
          </cell>
          <cell r="D38" t="str">
            <v>PROMO SPENDING - Obsolete Do Not Use</v>
          </cell>
        </row>
        <row r="39">
          <cell r="C39" t="str">
            <v>PL1600</v>
          </cell>
          <cell r="D39" t="str">
            <v>NET SALES - OUTSIDE</v>
          </cell>
        </row>
        <row r="40">
          <cell r="C40" t="str">
            <v>PL1800</v>
          </cell>
          <cell r="D40" t="str">
            <v>NET SALES - INTERCOMPANY</v>
          </cell>
        </row>
        <row r="41">
          <cell r="C41" t="str">
            <v>PL1820</v>
          </cell>
          <cell r="D41" t="str">
            <v>NET SALES - INTRACOMPANY (SUBACCOUNT TAB</v>
          </cell>
        </row>
        <row r="42">
          <cell r="C42" t="str">
            <v>PL2000</v>
          </cell>
          <cell r="D42" t="str">
            <v>TOTAL NET REVENUES</v>
          </cell>
        </row>
        <row r="43">
          <cell r="C43" t="str">
            <v>PL3100</v>
          </cell>
          <cell r="D43" t="str">
            <v>TOTAL COST OF SALES</v>
          </cell>
        </row>
        <row r="44">
          <cell r="C44" t="str">
            <v>PL4000</v>
          </cell>
          <cell r="D44" t="str">
            <v>GROSS PROFIT</v>
          </cell>
        </row>
        <row r="45">
          <cell r="C45" t="str">
            <v>PL4100</v>
          </cell>
          <cell r="D45" t="str">
            <v>SELLING AND DISTRIBUTION</v>
          </cell>
        </row>
        <row r="46">
          <cell r="C46" t="str">
            <v>PL4400</v>
          </cell>
          <cell r="D46" t="str">
            <v>ADVERTISING AND MARKETING</v>
          </cell>
        </row>
        <row r="47">
          <cell r="C47" t="str">
            <v>PL4700</v>
          </cell>
          <cell r="D47" t="str">
            <v>GENERAL &amp; ADMINISTRATIVE</v>
          </cell>
        </row>
        <row r="48">
          <cell r="C48" t="str">
            <v>PL4710</v>
          </cell>
          <cell r="D48" t="str">
            <v>G&amp;A - STOCK OPTIONS EXPENSE</v>
          </cell>
        </row>
        <row r="49">
          <cell r="C49" t="str">
            <v>PL4800</v>
          </cell>
          <cell r="D49" t="str">
            <v>TOTAL OPERATING EXPENSE</v>
          </cell>
        </row>
        <row r="50">
          <cell r="C50" t="str">
            <v>PL5000</v>
          </cell>
          <cell r="D50" t="str">
            <v>OPERATING PROFIT (LOSS)</v>
          </cell>
        </row>
        <row r="51">
          <cell r="C51" t="str">
            <v>PL5100</v>
          </cell>
          <cell r="D51" t="str">
            <v>TOTAL OTHER INCOME</v>
          </cell>
        </row>
        <row r="52">
          <cell r="C52" t="str">
            <v>PL5100.05</v>
          </cell>
          <cell r="D52" t="str">
            <v>*Other Income</v>
          </cell>
        </row>
        <row r="53">
          <cell r="C53" t="str">
            <v>PL5100.20</v>
          </cell>
          <cell r="D53" t="str">
            <v>Equity in Unconsol Affil / LOB - Snacks</v>
          </cell>
        </row>
        <row r="54">
          <cell r="C54" t="str">
            <v>PL5100.24</v>
          </cell>
          <cell r="D54" t="str">
            <v>Equity in Bott Ops - LOB</v>
          </cell>
        </row>
        <row r="55">
          <cell r="C55" t="str">
            <v>PL5500</v>
          </cell>
          <cell r="D55" t="str">
            <v>TOTAL OTHER EXPENSES</v>
          </cell>
        </row>
        <row r="56">
          <cell r="C56" t="str">
            <v>PL5500.05</v>
          </cell>
          <cell r="D56" t="str">
            <v>*Other Expense</v>
          </cell>
        </row>
        <row r="57">
          <cell r="C57" t="str">
            <v>PL5500.55.10</v>
          </cell>
          <cell r="D57" t="str">
            <v>JV Profit In Inventory (PII)</v>
          </cell>
        </row>
        <row r="58">
          <cell r="C58" t="str">
            <v>PL5501</v>
          </cell>
          <cell r="D58" t="str">
            <v>LOB Restructuring  (Q4, 2003+)</v>
          </cell>
        </row>
        <row r="59">
          <cell r="C59" t="str">
            <v>PL5502</v>
          </cell>
          <cell r="D59" t="str">
            <v>LOB Asset Impairment (Q4, 2003+)</v>
          </cell>
        </row>
        <row r="60">
          <cell r="C60" t="str">
            <v>PL6000</v>
          </cell>
          <cell r="D60" t="str">
            <v>NOPBT</v>
          </cell>
        </row>
        <row r="61">
          <cell r="C61" t="str">
            <v>OF1250</v>
          </cell>
          <cell r="D61" t="str">
            <v>NOPBT Calc. - LOB</v>
          </cell>
        </row>
        <row r="64">
          <cell r="C64" t="str">
            <v>Cash Flow</v>
          </cell>
        </row>
        <row r="66">
          <cell r="C66" t="str">
            <v>CFT101001</v>
          </cell>
          <cell r="D66" t="str">
            <v>NOPBT(excl NonMerg,Restruc,Trans&amp;Impair)</v>
          </cell>
        </row>
        <row r="67">
          <cell r="C67" t="str">
            <v>CFT102001</v>
          </cell>
          <cell r="D67" t="str">
            <v>PP&amp;E Depreciation</v>
          </cell>
        </row>
        <row r="68">
          <cell r="C68" t="str">
            <v>CFT102003/CFT102004/CFT102005</v>
          </cell>
          <cell r="D68" t="str">
            <v>Amortization</v>
          </cell>
        </row>
        <row r="69">
          <cell r="C69" t="str">
            <v>CFT102003</v>
          </cell>
          <cell r="D69" t="str">
            <v>Goodwill &amp; Other Intangible Amortiz.</v>
          </cell>
        </row>
        <row r="70">
          <cell r="C70" t="str">
            <v>CFT102004</v>
          </cell>
          <cell r="D70" t="str">
            <v>Other Asset Amortization</v>
          </cell>
        </row>
        <row r="71">
          <cell r="C71" t="str">
            <v>CFT102005</v>
          </cell>
          <cell r="D71" t="str">
            <v>NCL - Other Amortization</v>
          </cell>
        </row>
        <row r="72">
          <cell r="C72" t="str">
            <v>CFT1035</v>
          </cell>
          <cell r="D72" t="str">
            <v>Stock Option Expense</v>
          </cell>
        </row>
        <row r="73">
          <cell r="C73" t="str">
            <v>CFT1056/CFT1059</v>
          </cell>
          <cell r="D73" t="str">
            <v>Pension/Post-Retirement Expense</v>
          </cell>
        </row>
        <row r="74">
          <cell r="C74" t="str">
            <v>CFT1056</v>
          </cell>
          <cell r="D74" t="str">
            <v>Pension Expense</v>
          </cell>
        </row>
        <row r="75">
          <cell r="C75" t="str">
            <v>CFT1059</v>
          </cell>
          <cell r="D75" t="str">
            <v>Post Retirement Expense</v>
          </cell>
        </row>
        <row r="76">
          <cell r="C76" t="str">
            <v>ICF1060</v>
          </cell>
          <cell r="D76" t="str">
            <v>ICF-Total Oth Non-Cash Items</v>
          </cell>
        </row>
        <row r="77">
          <cell r="C77" t="str">
            <v>ICF1100</v>
          </cell>
          <cell r="D77" t="str">
            <v>ICF-NOPBT Cash Flow</v>
          </cell>
        </row>
        <row r="78">
          <cell r="C78" t="str">
            <v>ICF1300</v>
          </cell>
          <cell r="D78" t="str">
            <v>ICF-Total Working Capital</v>
          </cell>
        </row>
        <row r="79">
          <cell r="C79" t="str">
            <v>ICF2010</v>
          </cell>
          <cell r="D79" t="str">
            <v>ICF-Total Capital Spending</v>
          </cell>
        </row>
        <row r="80">
          <cell r="C80" t="str">
            <v>ICF2200</v>
          </cell>
          <cell r="D80" t="str">
            <v>ICF-Other Balance Sheet Changes</v>
          </cell>
        </row>
        <row r="81">
          <cell r="C81" t="str">
            <v>ICF2250</v>
          </cell>
          <cell r="D81" t="str">
            <v>ICF-Total Pre-Tax Operating Cash Flow</v>
          </cell>
        </row>
        <row r="82">
          <cell r="C82" t="str">
            <v>ICF2300</v>
          </cell>
          <cell r="D82" t="str">
            <v>ICF-Total Taxes on Operating Cash Flow</v>
          </cell>
        </row>
        <row r="83">
          <cell r="C83" t="str">
            <v>ICF2350</v>
          </cell>
          <cell r="D83" t="str">
            <v>ICF-Operating Cash Flow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BEV AOP Input"/>
      <sheetName val="BEV AOP Link"/>
      <sheetName val="BEV Report"/>
      <sheetName val="SNK AOP Input"/>
      <sheetName val="SNK AOP Link"/>
      <sheetName val="SNK Report"/>
      <sheetName val="PL AOP Input"/>
      <sheetName val="PL AOP Link"/>
      <sheetName val="PL Report"/>
      <sheetName val="BS AOP Input"/>
      <sheetName val="BS AOP Link"/>
      <sheetName val="BS Report"/>
      <sheetName val="CF Report"/>
      <sheetName val="Forex Rates"/>
      <sheetName val="BS Validation"/>
      <sheetName val="TAR BEV Report"/>
      <sheetName val="TAR SNK Report"/>
      <sheetName val="Profit and Loss"/>
      <sheetName val="Balance Sheet"/>
      <sheetName val="Beverage Volume"/>
      <sheetName val="Snacks Volume &amp; Gross Sales"/>
      <sheetName val="Beverage Entities"/>
      <sheetName val="Snacks Entities"/>
      <sheetName val="HQ Entities"/>
      <sheetName val="Reference"/>
      <sheetName val="Control_Panel"/>
      <sheetName val="BEV_AOP_Input"/>
      <sheetName val="BEV_AOP_Link"/>
      <sheetName val="BEV_Report"/>
      <sheetName val="SNK_AOP_Input"/>
      <sheetName val="SNK_AOP_Link"/>
      <sheetName val="SNK_Report"/>
      <sheetName val="PL_AOP_Input"/>
      <sheetName val="PL_AOP_Link"/>
      <sheetName val="PL_Report"/>
      <sheetName val="BS_AOP_Input"/>
      <sheetName val="BS_AOP_Link"/>
      <sheetName val="BS_Report"/>
      <sheetName val="CF_Report"/>
      <sheetName val="Forex_Rates"/>
      <sheetName val="BS_Validation"/>
      <sheetName val="TAR_BEV_Report"/>
      <sheetName val="TAR_SNK_Report"/>
      <sheetName val="Profit_and_Loss"/>
      <sheetName val="Balance_Sheet"/>
      <sheetName val="Beverage_Volume"/>
      <sheetName val="Snacks_Volume_&amp;_Gross_Sales"/>
      <sheetName val="Beverage_Entities"/>
      <sheetName val="Snacks_Entities"/>
      <sheetName val="HQ_Entities"/>
      <sheetName val="Control_Panel1"/>
      <sheetName val="BEV_AOP_Input1"/>
      <sheetName val="BEV_AOP_Link1"/>
      <sheetName val="BEV_Report1"/>
      <sheetName val="SNK_AOP_Input1"/>
      <sheetName val="SNK_AOP_Link1"/>
      <sheetName val="SNK_Report1"/>
      <sheetName val="PL_AOP_Input1"/>
      <sheetName val="PL_AOP_Link1"/>
      <sheetName val="PL_Report1"/>
      <sheetName val="BS_AOP_Input1"/>
      <sheetName val="BS_AOP_Link1"/>
      <sheetName val="BS_Report1"/>
      <sheetName val="CF_Report1"/>
      <sheetName val="Forex_Rates1"/>
      <sheetName val="BS_Validation1"/>
      <sheetName val="TAR_BEV_Report1"/>
      <sheetName val="TAR_SNK_Report1"/>
      <sheetName val="Profit_and_Loss1"/>
      <sheetName val="Balance_Sheet1"/>
      <sheetName val="Beverage_Volume1"/>
      <sheetName val="Snacks_Volume_&amp;_Gross_Sales1"/>
      <sheetName val="Beverage_Entities1"/>
      <sheetName val="Snacks_Entities1"/>
      <sheetName val="HQ_Entities1"/>
      <sheetName val="Control_Panel2"/>
      <sheetName val="BEV_AOP_Input2"/>
      <sheetName val="BEV_AOP_Link2"/>
      <sheetName val="BEV_Report2"/>
      <sheetName val="SNK_AOP_Input2"/>
      <sheetName val="SNK_AOP_Link2"/>
      <sheetName val="SNK_Report2"/>
      <sheetName val="PL_AOP_Input2"/>
      <sheetName val="PL_AOP_Link2"/>
      <sheetName val="PL_Report2"/>
      <sheetName val="BS_AOP_Input2"/>
      <sheetName val="BS_AOP_Link2"/>
      <sheetName val="BS_Report2"/>
      <sheetName val="CF_Report2"/>
      <sheetName val="Forex_Rates2"/>
      <sheetName val="BS_Validation2"/>
      <sheetName val="TAR_BEV_Report2"/>
      <sheetName val="TAR_SNK_Report2"/>
      <sheetName val="Profit_and_Loss2"/>
      <sheetName val="Balance_Sheet2"/>
      <sheetName val="Beverage_Volume2"/>
      <sheetName val="Snacks_Volume_&amp;_Gross_Sales2"/>
      <sheetName val="Beverage_Entities2"/>
      <sheetName val="Snacks_Entities2"/>
      <sheetName val="HQ_Entitie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BEV FC Input"/>
      <sheetName val="BEV FC Link"/>
      <sheetName val="BEV SP Input"/>
      <sheetName val="BEV SP Link"/>
      <sheetName val="BEV Report"/>
      <sheetName val="SNK FC Input"/>
      <sheetName val="SNK FC Link"/>
      <sheetName val="SNK SP Input"/>
      <sheetName val="SNK SP Link"/>
      <sheetName val="SNK Report"/>
      <sheetName val="PL FC Input"/>
      <sheetName val="PL FC Link"/>
      <sheetName val="PL SP Input"/>
      <sheetName val="PL SP Link"/>
      <sheetName val="PL Report"/>
      <sheetName val="BS FC Input"/>
      <sheetName val="BS FC Link"/>
      <sheetName val="BS Report"/>
      <sheetName val="CF Report"/>
      <sheetName val="Forex Rates"/>
      <sheetName val="BS Validation"/>
      <sheetName val="TAR BEV Report"/>
      <sheetName val="TAR SNK Report"/>
      <sheetName val="Profit and Loss"/>
      <sheetName val="Balance Sheet"/>
      <sheetName val="Beverage Volume"/>
      <sheetName val="Snacks Volume &amp; Gross Sales"/>
      <sheetName val="Beverage Entities"/>
      <sheetName val="Snacks Entities"/>
      <sheetName val="Reference"/>
      <sheetName val=""/>
      <sheetName val="Control_Panel"/>
      <sheetName val="BEV_FC_Input"/>
      <sheetName val="BEV_FC_Link"/>
      <sheetName val="BEV_SP_Input"/>
      <sheetName val="BEV_SP_Link"/>
      <sheetName val="BEV_Report"/>
      <sheetName val="SNK_FC_Input"/>
      <sheetName val="SNK_FC_Link"/>
      <sheetName val="SNK_SP_Input"/>
      <sheetName val="SNK_SP_Link"/>
      <sheetName val="SNK_Report"/>
      <sheetName val="PL_FC_Input"/>
      <sheetName val="PL_FC_Link"/>
      <sheetName val="PL_SP_Input"/>
      <sheetName val="PL_SP_Link"/>
      <sheetName val="PL_Report"/>
      <sheetName val="BS_FC_Input"/>
      <sheetName val="BS_FC_Link"/>
      <sheetName val="BS_Report"/>
      <sheetName val="CF_Report"/>
      <sheetName val="Forex_Rates"/>
      <sheetName val="BS_Validation"/>
      <sheetName val="TAR_BEV_Report"/>
      <sheetName val="TAR_SNK_Report"/>
      <sheetName val="Profit_and_Loss"/>
      <sheetName val="Balance_Sheet"/>
      <sheetName val="Beverage_Volume"/>
      <sheetName val="Snacks_Volume_&amp;_Gross_Sales"/>
      <sheetName val="Beverage_Entities"/>
      <sheetName val="Snacks_Entities"/>
      <sheetName val="Control_Panel1"/>
      <sheetName val="BEV_FC_Input1"/>
      <sheetName val="BEV_FC_Link1"/>
      <sheetName val="BEV_SP_Input1"/>
      <sheetName val="BEV_SP_Link1"/>
      <sheetName val="BEV_Report1"/>
      <sheetName val="SNK_FC_Input1"/>
      <sheetName val="SNK_FC_Link1"/>
      <sheetName val="SNK_SP_Input1"/>
      <sheetName val="SNK_SP_Link1"/>
      <sheetName val="SNK_Report1"/>
      <sheetName val="PL_FC_Input1"/>
      <sheetName val="PL_FC_Link1"/>
      <sheetName val="PL_SP_Input1"/>
      <sheetName val="PL_SP_Link1"/>
      <sheetName val="PL_Report1"/>
      <sheetName val="BS_FC_Input1"/>
      <sheetName val="BS_FC_Link1"/>
      <sheetName val="BS_Report1"/>
      <sheetName val="CF_Report1"/>
      <sheetName val="Forex_Rates1"/>
      <sheetName val="BS_Validation1"/>
      <sheetName val="TAR_BEV_Report1"/>
      <sheetName val="TAR_SNK_Report1"/>
      <sheetName val="Profit_and_Loss1"/>
      <sheetName val="Balance_Sheet1"/>
      <sheetName val="Beverage_Volume1"/>
      <sheetName val="Snacks_Volume_&amp;_Gross_Sales1"/>
      <sheetName val="Beverage_Entities1"/>
      <sheetName val="Snacks_Entities1"/>
      <sheetName val="Control_Panel2"/>
      <sheetName val="BEV_FC_Input2"/>
      <sheetName val="BEV_FC_Link2"/>
      <sheetName val="BEV_SP_Input2"/>
      <sheetName val="BEV_SP_Link2"/>
      <sheetName val="BEV_Report2"/>
      <sheetName val="SNK_FC_Input2"/>
      <sheetName val="SNK_FC_Link2"/>
      <sheetName val="SNK_SP_Input2"/>
      <sheetName val="SNK_SP_Link2"/>
      <sheetName val="SNK_Report2"/>
      <sheetName val="PL_FC_Input2"/>
      <sheetName val="PL_FC_Link2"/>
      <sheetName val="PL_SP_Input2"/>
      <sheetName val="PL_SP_Link2"/>
      <sheetName val="PL_Report2"/>
      <sheetName val="BS_FC_Input2"/>
      <sheetName val="BS_FC_Link2"/>
      <sheetName val="BS_Report2"/>
      <sheetName val="CF_Report2"/>
      <sheetName val="Forex_Rates2"/>
      <sheetName val="BS_Validation2"/>
      <sheetName val="TAR_BEV_Report2"/>
      <sheetName val="TAR_SNK_Report2"/>
      <sheetName val="Profit_and_Loss2"/>
      <sheetName val="Balance_Sheet2"/>
      <sheetName val="Beverage_Volume2"/>
      <sheetName val="Snacks_Volume_&amp;_Gross_Sales2"/>
      <sheetName val="Beverage_Entities2"/>
      <sheetName val="Snacks_Entitie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2009 AOP Beverages R&amp;D"/>
      <sheetName val="Reference"/>
      <sheetName val="Taxes rec for 12m inc 90% envir"/>
      <sheetName val="Balance Sheet"/>
      <sheetName val="Snacks Volume &amp; Gross Sales"/>
      <sheetName val="Beverage Volume"/>
      <sheetName val="2009_AOP_Beverages_R&amp;D"/>
      <sheetName val="Taxes_rec_for_12m_inc_90%_envir"/>
      <sheetName val="Balance_Sheet"/>
      <sheetName val="Snacks_Volume_&amp;_Gross_Sales"/>
      <sheetName val="Beverage_Volume"/>
      <sheetName val="Accounts"/>
      <sheetName val="2009_AOP_Beverages_R&amp;D1"/>
      <sheetName val="Taxes_rec_for_12m_inc_90%_envi1"/>
      <sheetName val="Balance_Sheet1"/>
      <sheetName val="Snacks_Volume_&amp;_Gross_Sales1"/>
      <sheetName val="Beverage_Volume1"/>
      <sheetName val="2009_AOP_Beverages_R&amp;D2"/>
      <sheetName val="Taxes_rec_for_12m_inc_90%_envi2"/>
      <sheetName val="Balance_Sheet2"/>
      <sheetName val="Snacks_Volume_&amp;_Gross_Sales2"/>
      <sheetName val="Beverage_Volume2"/>
      <sheetName val="2009_AOP_Beverages_R&amp;D3"/>
      <sheetName val="Taxes_rec_for_12m_inc_90%_envi3"/>
      <sheetName val="Balance_Sheet3"/>
      <sheetName val="Snacks_Volume_&amp;_Gross_Sales3"/>
      <sheetName val="Beverage_Volume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BEV FC Input"/>
      <sheetName val="BEV FC Link"/>
      <sheetName val="BEV AOP Input"/>
      <sheetName val="BEV AOP Link"/>
      <sheetName val="BEV Report"/>
      <sheetName val="SNK FC Input"/>
      <sheetName val="SNK FC Link"/>
      <sheetName val="SNK AOP Input"/>
      <sheetName val="SNK AOP Link"/>
      <sheetName val="SNK Report"/>
      <sheetName val="PL FC Input"/>
      <sheetName val="PL FC Link"/>
      <sheetName val="PL AOP Input"/>
      <sheetName val="PL AOP Link"/>
      <sheetName val="PL Report"/>
      <sheetName val="BS FC Input"/>
      <sheetName val="BS FC Link"/>
      <sheetName val="BS AOP Input"/>
      <sheetName val="BS AOP Link"/>
      <sheetName val="BS Report"/>
      <sheetName val="CF Report"/>
      <sheetName val="Forex Rates"/>
      <sheetName val="BS Validation"/>
      <sheetName val="TAR BEV Report"/>
      <sheetName val="TAR SNK Report"/>
      <sheetName val="Profit and Loss"/>
      <sheetName val="Balance Sheet"/>
      <sheetName val="Beverage Volume"/>
      <sheetName val="Snacks Volume &amp; Gross Sales"/>
      <sheetName val="Beverage Entities"/>
      <sheetName val="Snacks Entities"/>
      <sheetName val="Reference"/>
      <sheetName val="Control_Panel"/>
      <sheetName val="BEV_FC_Input"/>
      <sheetName val="BEV_FC_Link"/>
      <sheetName val="BEV_AOP_Input"/>
      <sheetName val="BEV_AOP_Link"/>
      <sheetName val="BEV_Report"/>
      <sheetName val="SNK_FC_Input"/>
      <sheetName val="SNK_FC_Link"/>
      <sheetName val="SNK_AOP_Input"/>
      <sheetName val="SNK_AOP_Link"/>
      <sheetName val="SNK_Report"/>
      <sheetName val="PL_FC_Input"/>
      <sheetName val="PL_FC_Link"/>
      <sheetName val="PL_AOP_Input"/>
      <sheetName val="PL_AOP_Link"/>
      <sheetName val="PL_Report"/>
      <sheetName val="BS_FC_Input"/>
      <sheetName val="BS_FC_Link"/>
      <sheetName val="BS_AOP_Input"/>
      <sheetName val="BS_AOP_Link"/>
      <sheetName val="BS_Report"/>
      <sheetName val="CF_Report"/>
      <sheetName val="Forex_Rates"/>
      <sheetName val="BS_Validation"/>
      <sheetName val="TAR_BEV_Report"/>
      <sheetName val="TAR_SNK_Report"/>
      <sheetName val="Profit_and_Loss"/>
      <sheetName val="Balance_Sheet"/>
      <sheetName val="Beverage_Volume"/>
      <sheetName val="Snacks_Volume_&amp;_Gross_Sales"/>
      <sheetName val="Beverage_Entities"/>
      <sheetName val="Snacks_Entities"/>
      <sheetName val="Control_Panel1"/>
      <sheetName val="BEV_FC_Input1"/>
      <sheetName val="BEV_FC_Link1"/>
      <sheetName val="BEV_AOP_Input1"/>
      <sheetName val="BEV_AOP_Link1"/>
      <sheetName val="BEV_Report1"/>
      <sheetName val="SNK_FC_Input1"/>
      <sheetName val="SNK_FC_Link1"/>
      <sheetName val="SNK_AOP_Input1"/>
      <sheetName val="SNK_AOP_Link1"/>
      <sheetName val="SNK_Report1"/>
      <sheetName val="PL_FC_Input1"/>
      <sheetName val="PL_FC_Link1"/>
      <sheetName val="PL_AOP_Input1"/>
      <sheetName val="PL_AOP_Link1"/>
      <sheetName val="PL_Report1"/>
      <sheetName val="BS_FC_Input1"/>
      <sheetName val="BS_FC_Link1"/>
      <sheetName val="BS_AOP_Input1"/>
      <sheetName val="BS_AOP_Link1"/>
      <sheetName val="BS_Report1"/>
      <sheetName val="CF_Report1"/>
      <sheetName val="Forex_Rates1"/>
      <sheetName val="BS_Validation1"/>
      <sheetName val="TAR_BEV_Report1"/>
      <sheetName val="TAR_SNK_Report1"/>
      <sheetName val="Profit_and_Loss1"/>
      <sheetName val="Balance_Sheet1"/>
      <sheetName val="Beverage_Volume1"/>
      <sheetName val="Snacks_Volume_&amp;_Gross_Sales1"/>
      <sheetName val="Beverage_Entities1"/>
      <sheetName val="Snacks_Entitie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BEV FC Input"/>
      <sheetName val="BEV FC Link"/>
      <sheetName val="BEV SP Input"/>
      <sheetName val="BEV SP Link"/>
      <sheetName val="BEV Report"/>
      <sheetName val="SNK FC Input"/>
      <sheetName val="SNK FC Link"/>
      <sheetName val="SNK SP Input"/>
      <sheetName val="SNK SP Link"/>
      <sheetName val="SNK Report"/>
      <sheetName val="PL FC Input"/>
      <sheetName val="PL FC Link"/>
      <sheetName val="PL SP Input"/>
      <sheetName val="PL SP Link"/>
      <sheetName val="PL Report"/>
      <sheetName val="BS FC Input"/>
      <sheetName val="BS FC Link"/>
      <sheetName val="BS Report"/>
      <sheetName val="CF Report"/>
      <sheetName val="Forex Rates"/>
      <sheetName val="BS Validation"/>
      <sheetName val="TAR BEV Report"/>
      <sheetName val="TAR SNK Report"/>
      <sheetName val="Profit and Loss"/>
      <sheetName val="Balance Sheet"/>
      <sheetName val="Beverage Volume"/>
      <sheetName val="Snacks Volume &amp; Gross Sales"/>
      <sheetName val="Beverage Entities"/>
      <sheetName val="Snacks Entities"/>
      <sheetName val="Reference"/>
      <sheetName val="Snacks Volume _ Gross Sales"/>
      <sheetName val="Sheet1 (2)"/>
      <sheetName val="Control_Panel"/>
      <sheetName val="BEV_FC_Input"/>
      <sheetName val="BEV_FC_Link"/>
      <sheetName val="BEV_SP_Input"/>
      <sheetName val="BEV_SP_Link"/>
      <sheetName val="BEV_Report"/>
      <sheetName val="SNK_FC_Input"/>
      <sheetName val="SNK_FC_Link"/>
      <sheetName val="SNK_SP_Input"/>
      <sheetName val="SNK_SP_Link"/>
      <sheetName val="SNK_Report"/>
      <sheetName val="PL_FC_Input"/>
      <sheetName val="PL_FC_Link"/>
      <sheetName val="PL_SP_Input"/>
      <sheetName val="PL_SP_Link"/>
      <sheetName val="PL_Report"/>
      <sheetName val="BS_FC_Input"/>
      <sheetName val="BS_FC_Link"/>
      <sheetName val="BS_Report"/>
      <sheetName val="CF_Report"/>
      <sheetName val="Forex_Rates"/>
      <sheetName val="BS_Validation"/>
      <sheetName val="TAR_BEV_Report"/>
      <sheetName val="TAR_SNK_Report"/>
      <sheetName val="Profit_and_Loss"/>
      <sheetName val="Balance_Sheet"/>
      <sheetName val="Beverage_Volume"/>
      <sheetName val="Snacks_Volume_&amp;_Gross_Sales"/>
      <sheetName val="Beverage_Entities"/>
      <sheetName val="Snacks_Entities"/>
      <sheetName val="Snacks_Volume___Gross_Sales"/>
      <sheetName val="Sheet1_(2)"/>
      <sheetName val="Control_Panel1"/>
      <sheetName val="BEV_FC_Input1"/>
      <sheetName val="BEV_FC_Link1"/>
      <sheetName val="BEV_SP_Input1"/>
      <sheetName val="BEV_SP_Link1"/>
      <sheetName val="BEV_Report1"/>
      <sheetName val="SNK_FC_Input1"/>
      <sheetName val="SNK_FC_Link1"/>
      <sheetName val="SNK_SP_Input1"/>
      <sheetName val="SNK_SP_Link1"/>
      <sheetName val="SNK_Report1"/>
      <sheetName val="PL_FC_Input1"/>
      <sheetName val="PL_FC_Link1"/>
      <sheetName val="PL_SP_Input1"/>
      <sheetName val="PL_SP_Link1"/>
      <sheetName val="PL_Report1"/>
      <sheetName val="BS_FC_Input1"/>
      <sheetName val="BS_FC_Link1"/>
      <sheetName val="BS_Report1"/>
      <sheetName val="CF_Report1"/>
      <sheetName val="Forex_Rates1"/>
      <sheetName val="BS_Validation1"/>
      <sheetName val="TAR_BEV_Report1"/>
      <sheetName val="TAR_SNK_Report1"/>
      <sheetName val="Profit_and_Loss1"/>
      <sheetName val="Balance_Sheet1"/>
      <sheetName val="Beverage_Volume1"/>
      <sheetName val="Snacks_Volume_&amp;_Gross_Sales1"/>
      <sheetName val="Beverage_Entities1"/>
      <sheetName val="Snacks_Entities1"/>
      <sheetName val="Snacks_Volume___Gross_Sales1"/>
      <sheetName val="Sheet1_(2)1"/>
      <sheetName val="Control_Panel2"/>
      <sheetName val="BEV_FC_Input2"/>
      <sheetName val="BEV_FC_Link2"/>
      <sheetName val="BEV_SP_Input2"/>
      <sheetName val="BEV_SP_Link2"/>
      <sheetName val="BEV_Report2"/>
      <sheetName val="SNK_FC_Input2"/>
      <sheetName val="SNK_FC_Link2"/>
      <sheetName val="SNK_SP_Input2"/>
      <sheetName val="SNK_SP_Link2"/>
      <sheetName val="SNK_Report2"/>
      <sheetName val="PL_FC_Input2"/>
      <sheetName val="PL_FC_Link2"/>
      <sheetName val="PL_SP_Input2"/>
      <sheetName val="PL_SP_Link2"/>
      <sheetName val="PL_Report2"/>
      <sheetName val="BS_FC_Input2"/>
      <sheetName val="BS_FC_Link2"/>
      <sheetName val="BS_Report2"/>
      <sheetName val="CF_Report2"/>
      <sheetName val="Forex_Rates2"/>
      <sheetName val="BS_Validation2"/>
      <sheetName val="TAR_BEV_Report2"/>
      <sheetName val="TAR_SNK_Report2"/>
      <sheetName val="Profit_and_Loss2"/>
      <sheetName val="Balance_Sheet2"/>
      <sheetName val="Beverage_Volume2"/>
      <sheetName val="Snacks_Volume_&amp;_Gross_Sales2"/>
      <sheetName val="Beverage_Entities2"/>
      <sheetName val="Snacks_Entities2"/>
      <sheetName val="Snacks_Volume___Gross_Sales2"/>
      <sheetName val="Sheet1_(2)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Sys AFS Current"/>
      <sheetName val="Sys AFS Frozen"/>
      <sheetName val="Sys AFS Variance"/>
      <sheetName val="Sh AFS Current"/>
      <sheetName val="Sh AFS Frozen"/>
      <sheetName val="Sh AFS Variance"/>
      <sheetName val="Frozen"/>
      <sheetName val="Accounts"/>
      <sheetName val="Reference"/>
      <sheetName val="Snacks Volume &amp; Gross Sales"/>
      <sheetName val="Profit and Loss"/>
      <sheetName val="Control_Panel"/>
      <sheetName val="Sys_AFS_Current"/>
      <sheetName val="Sys_AFS_Frozen"/>
      <sheetName val="Sys_AFS_Variance"/>
      <sheetName val="Sh_AFS_Current"/>
      <sheetName val="Sh_AFS_Frozen"/>
      <sheetName val="Sh_AFS_Variance"/>
      <sheetName val="Snacks_Volume_&amp;_Gross_Sales"/>
      <sheetName val="Profit_and_Loss"/>
      <sheetName val="Control_Panel1"/>
      <sheetName val="Sys_AFS_Current1"/>
      <sheetName val="Sys_AFS_Frozen1"/>
      <sheetName val="Sys_AFS_Variance1"/>
      <sheetName val="Sh_AFS_Current1"/>
      <sheetName val="Sh_AFS_Frozen1"/>
      <sheetName val="Sh_AFS_Variance1"/>
      <sheetName val="Snacks_Volume_&amp;_Gross_Sales1"/>
      <sheetName val="Profit_and_Loss1"/>
      <sheetName val="Control_Panel2"/>
      <sheetName val="Sys_AFS_Current2"/>
      <sheetName val="Sys_AFS_Frozen2"/>
      <sheetName val="Sys_AFS_Variance2"/>
      <sheetName val="Sh_AFS_Current2"/>
      <sheetName val="Sh_AFS_Frozen2"/>
      <sheetName val="Sh_AFS_Variance2"/>
      <sheetName val="Snacks_Volume_&amp;_Gross_Sales2"/>
      <sheetName val="Profit_and_Los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66">
          <cell r="G66" t="str">
            <v>CFT4500.20.61</v>
          </cell>
        </row>
        <row r="67">
          <cell r="G67" t="str">
            <v>CFT4500.20.62</v>
          </cell>
        </row>
        <row r="68">
          <cell r="G68" t="str">
            <v>CFT4500.20.63</v>
          </cell>
        </row>
        <row r="72">
          <cell r="G72" t="str">
            <v>CFT4500.20.64</v>
          </cell>
        </row>
        <row r="73">
          <cell r="G73" t="str">
            <v>CFT4500.20.65</v>
          </cell>
        </row>
        <row r="76">
          <cell r="G76" t="str">
            <v>CFT4500.20.66</v>
          </cell>
        </row>
        <row r="77">
          <cell r="G77" t="str">
            <v>CFT4500.20</v>
          </cell>
        </row>
        <row r="78">
          <cell r="G78" t="str">
            <v>CFT4500.05</v>
          </cell>
        </row>
        <row r="79">
          <cell r="G79" t="str">
            <v>CFT4500.10</v>
          </cell>
        </row>
        <row r="80">
          <cell r="G80" t="str">
            <v>CFT4500.15</v>
          </cell>
        </row>
        <row r="81">
          <cell r="G81" t="str">
            <v>CFT4500</v>
          </cell>
        </row>
        <row r="82">
          <cell r="G82" t="str">
            <v>CFT4501.05</v>
          </cell>
        </row>
      </sheetData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A SPECIAL_ISSUE INVOICE"/>
      <sheetName val="Summary Accrued for PI final"/>
      <sheetName val="Sheet2"/>
      <sheetName val="Pivot data"/>
      <sheetName val="Total"/>
      <sheetName val="CDA SPECIAL"/>
      <sheetName val="CDA SPECIAL BY DETAIL"/>
      <sheetName val="special not yet charge"/>
      <sheetName val="already issued invoice"/>
      <sheetName val="Jan-Jun09"/>
      <sheetName val="Jul-Dec09"/>
      <sheetName val="Sheet1"/>
      <sheetName val="Jan10"/>
      <sheetName val="2530050Feb10"/>
      <sheetName val="2530050Mar10"/>
      <sheetName val="CDA_SPECIAL_ISSUE_INVOICE"/>
      <sheetName val="Summary_Accrued_for_PI_final"/>
      <sheetName val="Pivot_data"/>
      <sheetName val="CDA_SPECIAL"/>
      <sheetName val="CDA_SPECIAL_BY_DETAIL"/>
      <sheetName val="special_not_yet_charge"/>
      <sheetName val="already_issued_invoice"/>
      <sheetName val="CDA_SPECIAL_ISSUE_INVOICE1"/>
      <sheetName val="Summary_Accrued_for_PI_final1"/>
      <sheetName val="Pivot_data1"/>
      <sheetName val="CDA_SPECIAL1"/>
      <sheetName val="CDA_SPECIAL_BY_DETAIL1"/>
      <sheetName val="special_not_yet_charge1"/>
      <sheetName val="already_issued_invoice1"/>
      <sheetName val="CDA_SPECIAL_ISSUE_INVOICE2"/>
      <sheetName val="Summary_Accrued_for_PI_final2"/>
      <sheetName val="Pivot_data2"/>
      <sheetName val="CDA_SPECIAL2"/>
      <sheetName val="CDA_SPECIAL_BY_DETAIL2"/>
      <sheetName val="special_not_yet_charge2"/>
      <sheetName val="already_issued_invoic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"/>
      <sheetName val="COVER"/>
      <sheetName val="Total"/>
      <sheetName val="monthlyp&amp;l(Total)"/>
      <sheetName val="CSD"/>
      <sheetName val="monthlyp&amp;l (CSD)"/>
      <sheetName val="monthlyp&amp;l (CSD Intl)"/>
      <sheetName val="monthlyp&amp;l (CSD local)"/>
      <sheetName val="Cost Asspt by pack (copack)"/>
      <sheetName val="Cost Asspt by pack (CSD)"/>
      <sheetName val="G&amp;A (CSD)"/>
      <sheetName val="CSD Other Inc(Exp)"/>
      <sheetName val="Copack Inc"/>
      <sheetName val="Copack Exp"/>
      <sheetName val="CSD Volume by Province"/>
      <sheetName val="CSD Volume"/>
      <sheetName val="CSD Volume (by brand)"/>
      <sheetName val="CSD copack Vol&amp;VPC"/>
      <sheetName val="CSD Price Cost MC"/>
      <sheetName val="COC-CSD"/>
      <sheetName val="COC-CSD(Sept submission)"/>
      <sheetName val="COC by Pack-CSD"/>
      <sheetName val="Gatorade"/>
      <sheetName val="monthlyp&amp;l (Gatorade)"/>
      <sheetName val="p&amp;l breakdown (Gatorade)"/>
      <sheetName val="G&amp;A &amp; HC (Gatorade)"/>
      <sheetName val="Gatorade Other Inc(Exp)"/>
      <sheetName val="Gatorade Volume by Province"/>
      <sheetName val="Gatorade Volume"/>
      <sheetName val="Gatorade Price Cost MC"/>
      <sheetName val="COC-Gatorade"/>
      <sheetName val="COC by Pack-Gatorade"/>
      <sheetName val="Dole"/>
      <sheetName val="monthlyp&amp;l (Dole)"/>
      <sheetName val="p&amp;l breakdown (Dole)"/>
      <sheetName val="G&amp;A &amp; HC (Dole)"/>
      <sheetName val="Dole Other Inc(Exp)"/>
      <sheetName val="Dole Volume by Province"/>
      <sheetName val="Dole Volume"/>
      <sheetName val="Dole Price Cost MC"/>
      <sheetName val="COC by Pack-Dole"/>
      <sheetName val="COC-Dole"/>
      <sheetName val="Water"/>
      <sheetName val="monthlyp&amp;l (Water)"/>
      <sheetName val="p&amp;l breakdown (Water)"/>
      <sheetName val="G&amp;A &amp; HC (Water)"/>
      <sheetName val="Water  Other Inc(Exp)"/>
      <sheetName val="Water Volume by Province"/>
      <sheetName val="Water Volume"/>
      <sheetName val="Water Price Cost MC"/>
      <sheetName val="COC-Water"/>
      <sheetName val="COC by Pack-Water"/>
      <sheetName val="Soy"/>
      <sheetName val="monthlyp&amp;l (Soy)"/>
      <sheetName val="p&amp;l breakdown (Soy)"/>
      <sheetName val="G&amp;A &amp; HC (Soy)"/>
      <sheetName val="Soy  Other Inc(Exp)"/>
      <sheetName val="Soy Volume by Province"/>
      <sheetName val="Soy Volume"/>
      <sheetName val="Soy Price Cost MC"/>
      <sheetName val="COC-Soy"/>
      <sheetName val="COC by Pack-Soy"/>
      <sheetName val="CAP_mth"/>
      <sheetName val="CF_BS"/>
      <sheetName val="r&amp;o"/>
      <sheetName val="Local Tax Provision"/>
      <sheetName val="Local Tax CF"/>
      <sheetName val="Capex Instruction"/>
      <sheetName val="Other Inc(Exp)"/>
      <sheetName val="Snacks Volume &amp; Gross Sales"/>
      <sheetName val="Reference"/>
      <sheetName val="Balance Sheet"/>
      <sheetName val="Beverage Volume"/>
      <sheetName val="ONE"/>
      <sheetName val="Local"/>
      <sheetName val="REF-Hyperion Entitiy"/>
      <sheetName val="Summary"/>
      <sheetName val="Sheet1"/>
      <sheetName val="BREA Model"/>
      <sheetName val="P&amp;L"/>
      <sheetName val="Jul-Dec09"/>
      <sheetName val="DCF"/>
      <sheetName val="RMB"/>
      <sheetName val="数据源"/>
      <sheetName val="Jan-Jun09"/>
      <sheetName val="封面"/>
      <sheetName val="06Mar_Fcst_GZ"/>
      <sheetName val="Input Sheet"/>
      <sheetName val="Dec cos"/>
      <sheetName val="Coding"/>
      <sheetName val="China ttl"/>
      <sheetName val="wAccuracyChart"/>
      <sheetName val="wHist_Data"/>
      <sheetName val="wSKU_Accuracy (2)"/>
      <sheetName val="Input"/>
      <sheetName val="monthlyp&amp;l_(CSD)"/>
      <sheetName val="monthlyp&amp;l_(CSD_Intl)"/>
      <sheetName val="monthlyp&amp;l_(CSD_local)"/>
      <sheetName val="Cost_Asspt_by_pack_(copack)"/>
      <sheetName val="Cost_Asspt_by_pack_(CSD)"/>
      <sheetName val="G&amp;A_(CSD)"/>
      <sheetName val="CSD_Other_Inc(Exp)"/>
      <sheetName val="Copack_Inc"/>
      <sheetName val="Copack_Exp"/>
      <sheetName val="CSD_Volume_by_Province"/>
      <sheetName val="CSD_Volume"/>
      <sheetName val="CSD_Volume_(by_brand)"/>
      <sheetName val="CSD_copack_Vol&amp;VPC"/>
      <sheetName val="CSD_Price_Cost_MC"/>
      <sheetName val="COC-CSD(Sept_submission)"/>
      <sheetName val="COC_by_Pack-CSD"/>
      <sheetName val="monthlyp&amp;l_(Gatorade)"/>
      <sheetName val="p&amp;l_breakdown_(Gatorade)"/>
      <sheetName val="G&amp;A_&amp;_HC_(Gatorade)"/>
      <sheetName val="Gatorade_Other_Inc(Exp)"/>
      <sheetName val="Gatorade_Volume_by_Province"/>
      <sheetName val="Gatorade_Volume"/>
      <sheetName val="Gatorade_Price_Cost_MC"/>
      <sheetName val="COC_by_Pack-Gatorade"/>
      <sheetName val="monthlyp&amp;l_(Dole)"/>
      <sheetName val="p&amp;l_breakdown_(Dole)"/>
      <sheetName val="G&amp;A_&amp;_HC_(Dole)"/>
      <sheetName val="Dole_Other_Inc(Exp)"/>
      <sheetName val="Dole_Volume_by_Province"/>
      <sheetName val="Dole_Volume"/>
      <sheetName val="Dole_Price_Cost_MC"/>
      <sheetName val="COC_by_Pack-Dole"/>
      <sheetName val="monthlyp&amp;l_(Water)"/>
      <sheetName val="p&amp;l_breakdown_(Water)"/>
      <sheetName val="G&amp;A_&amp;_HC_(Water)"/>
      <sheetName val="Water__Other_Inc(Exp)"/>
      <sheetName val="Water_Volume_by_Province"/>
      <sheetName val="Water_Volume"/>
      <sheetName val="Water_Price_Cost_MC"/>
      <sheetName val="COC_by_Pack-Water"/>
      <sheetName val="monthlyp&amp;l_(Soy)"/>
      <sheetName val="p&amp;l_breakdown_(Soy)"/>
      <sheetName val="G&amp;A_&amp;_HC_(Soy)"/>
      <sheetName val="Soy__Other_Inc(Exp)"/>
      <sheetName val="Soy_Volume_by_Province"/>
      <sheetName val="Soy_Volume"/>
      <sheetName val="Soy_Price_Cost_MC"/>
      <sheetName val="COC_by_Pack-Soy"/>
      <sheetName val="Local_Tax_Provision"/>
      <sheetName val="Local_Tax_CF"/>
      <sheetName val="Capex_Instruction"/>
      <sheetName val="Other_Inc(Exp)"/>
      <sheetName val="Snacks_Volume_&amp;_Gross_Sales"/>
      <sheetName val="Balance_Sheet"/>
      <sheetName val="Beverage_Volume"/>
      <sheetName val="REF-Hyperion_Entitiy"/>
      <sheetName val="BREA_Model"/>
      <sheetName val="预算-by区域"/>
      <sheetName val="MAR-F"/>
      <sheetName val="#REF"/>
      <sheetName val="P11 逾期账款&amp;预提费用"/>
      <sheetName val="RE"/>
      <sheetName val="2001UC"/>
      <sheetName val="Input_Sheet"/>
      <sheetName val="Dec_cos"/>
      <sheetName val="China_ttl"/>
      <sheetName val="wSKU_Accuracy_(2)"/>
      <sheetName val="正常明细"/>
      <sheetName val="08、09年离职率对比"/>
      <sheetName val="原材料单价分析"/>
      <sheetName val="south"/>
      <sheetName val="1"/>
      <sheetName val="#REF!"/>
      <sheetName val="1.3 NCB_T"/>
      <sheetName val="1.1 CSD"/>
      <sheetName val="1.8 BS"/>
      <sheetName val="Entity list"/>
      <sheetName val="P1-日追踪"/>
      <sheetName val="源-各品项量"/>
      <sheetName val="P1-推进进度&amp;问题解决"/>
      <sheetName val="每日C02年费用"/>
      <sheetName val="所有效性"/>
      <sheetName val="圈地有效性"/>
      <sheetName val="部有效性"/>
      <sheetName val="商圈有效性"/>
      <sheetName val="eqpmad2"/>
      <sheetName val="备注"/>
      <sheetName val="分公司"/>
      <sheetName val="cable_915"/>
      <sheetName val="CONTENTS"/>
      <sheetName val="monthlyp&amp;l_(CSD)1"/>
      <sheetName val="monthlyp&amp;l_(CSD_Intl)1"/>
      <sheetName val="monthlyp&amp;l_(CSD_local)1"/>
      <sheetName val="Cost_Asspt_by_pack_(copack)1"/>
      <sheetName val="Cost_Asspt_by_pack_(CSD)1"/>
      <sheetName val="G&amp;A_(CSD)1"/>
      <sheetName val="CSD_Other_Inc(Exp)1"/>
      <sheetName val="Copack_Inc1"/>
      <sheetName val="Copack_Exp1"/>
      <sheetName val="CSD_Volume_by_Province1"/>
      <sheetName val="CSD_Volume1"/>
      <sheetName val="CSD_Volume_(by_brand)1"/>
      <sheetName val="CSD_copack_Vol&amp;VPC1"/>
      <sheetName val="CSD_Price_Cost_MC1"/>
      <sheetName val="COC-CSD(Sept_submission)1"/>
      <sheetName val="COC_by_Pack-CSD1"/>
      <sheetName val="monthlyp&amp;l_(Gatorade)1"/>
      <sheetName val="p&amp;l_breakdown_(Gatorade)1"/>
      <sheetName val="G&amp;A_&amp;_HC_(Gatorade)1"/>
      <sheetName val="Gatorade_Other_Inc(Exp)1"/>
      <sheetName val="Gatorade_Volume_by_Province1"/>
      <sheetName val="Gatorade_Volume1"/>
      <sheetName val="Gatorade_Price_Cost_MC1"/>
      <sheetName val="COC_by_Pack-Gatorade1"/>
      <sheetName val="monthlyp&amp;l_(Dole)1"/>
      <sheetName val="p&amp;l_breakdown_(Dole)1"/>
      <sheetName val="G&amp;A_&amp;_HC_(Dole)1"/>
      <sheetName val="Dole_Other_Inc(Exp)1"/>
      <sheetName val="Dole_Volume_by_Province1"/>
      <sheetName val="Dole_Volume1"/>
      <sheetName val="Dole_Price_Cost_MC1"/>
      <sheetName val="COC_by_Pack-Dole1"/>
      <sheetName val="monthlyp&amp;l_(Water)1"/>
      <sheetName val="p&amp;l_breakdown_(Water)1"/>
      <sheetName val="G&amp;A_&amp;_HC_(Water)1"/>
      <sheetName val="Water__Other_Inc(Exp)1"/>
      <sheetName val="Water_Volume_by_Province1"/>
      <sheetName val="Water_Volume1"/>
      <sheetName val="Water_Price_Cost_MC1"/>
      <sheetName val="COC_by_Pack-Water1"/>
      <sheetName val="monthlyp&amp;l_(Soy)1"/>
      <sheetName val="p&amp;l_breakdown_(Soy)1"/>
      <sheetName val="G&amp;A_&amp;_HC_(Soy)1"/>
      <sheetName val="Soy__Other_Inc(Exp)1"/>
      <sheetName val="Soy_Volume_by_Province1"/>
      <sheetName val="Soy_Volume1"/>
      <sheetName val="Soy_Price_Cost_MC1"/>
      <sheetName val="COC_by_Pack-Soy1"/>
      <sheetName val="Local_Tax_Provision1"/>
      <sheetName val="Local_Tax_CF1"/>
      <sheetName val="Capex_Instruction1"/>
      <sheetName val="Other_Inc(Exp)1"/>
      <sheetName val="Snacks_Volume_&amp;_Gross_Sales1"/>
      <sheetName val="Balance_Sheet1"/>
      <sheetName val="Beverage_Volume1"/>
      <sheetName val="REF-Hyperion_Entitiy1"/>
      <sheetName val="BREA_Model1"/>
      <sheetName val="Input_Sheet1"/>
      <sheetName val="Dec_cos1"/>
      <sheetName val="China_ttl1"/>
      <sheetName val="wSKU_Accuracy_(2)1"/>
      <sheetName val="P11_逾期账款&amp;预提费用"/>
      <sheetName val="1_3_NCB_T"/>
      <sheetName val="1_1_CSD"/>
      <sheetName val="1_8_BS"/>
      <sheetName val="Entity_list"/>
      <sheetName val="monthlyp&amp;l_(CSD)2"/>
      <sheetName val="monthlyp&amp;l_(CSD_Intl)2"/>
      <sheetName val="monthlyp&amp;l_(CSD_local)2"/>
      <sheetName val="Cost_Asspt_by_pack_(copack)2"/>
      <sheetName val="Cost_Asspt_by_pack_(CSD)2"/>
      <sheetName val="G&amp;A_(CSD)2"/>
      <sheetName val="CSD_Other_Inc(Exp)2"/>
      <sheetName val="Copack_Inc2"/>
      <sheetName val="Copack_Exp2"/>
      <sheetName val="CSD_Volume_by_Province2"/>
      <sheetName val="CSD_Volume2"/>
      <sheetName val="CSD_Volume_(by_brand)2"/>
      <sheetName val="CSD_copack_Vol&amp;VPC2"/>
      <sheetName val="CSD_Price_Cost_MC2"/>
      <sheetName val="COC-CSD(Sept_submission)2"/>
      <sheetName val="COC_by_Pack-CSD2"/>
      <sheetName val="monthlyp&amp;l_(Gatorade)2"/>
      <sheetName val="p&amp;l_breakdown_(Gatorade)2"/>
      <sheetName val="G&amp;A_&amp;_HC_(Gatorade)2"/>
      <sheetName val="Gatorade_Other_Inc(Exp)2"/>
      <sheetName val="Gatorade_Volume_by_Province2"/>
      <sheetName val="Gatorade_Volume2"/>
      <sheetName val="Gatorade_Price_Cost_MC2"/>
      <sheetName val="COC_by_Pack-Gatorade2"/>
      <sheetName val="monthlyp&amp;l_(Dole)2"/>
      <sheetName val="p&amp;l_breakdown_(Dole)2"/>
      <sheetName val="G&amp;A_&amp;_HC_(Dole)2"/>
      <sheetName val="Dole_Other_Inc(Exp)2"/>
      <sheetName val="Dole_Volume_by_Province2"/>
      <sheetName val="Dole_Volume2"/>
      <sheetName val="Dole_Price_Cost_MC2"/>
      <sheetName val="COC_by_Pack-Dole2"/>
      <sheetName val="monthlyp&amp;l_(Water)2"/>
      <sheetName val="p&amp;l_breakdown_(Water)2"/>
      <sheetName val="G&amp;A_&amp;_HC_(Water)2"/>
      <sheetName val="Water__Other_Inc(Exp)2"/>
      <sheetName val="Water_Volume_by_Province2"/>
      <sheetName val="Water_Volume2"/>
      <sheetName val="Water_Price_Cost_MC2"/>
      <sheetName val="COC_by_Pack-Water2"/>
      <sheetName val="monthlyp&amp;l_(Soy)2"/>
      <sheetName val="p&amp;l_breakdown_(Soy)2"/>
      <sheetName val="G&amp;A_&amp;_HC_(Soy)2"/>
      <sheetName val="Soy__Other_Inc(Exp)2"/>
      <sheetName val="Soy_Volume_by_Province2"/>
      <sheetName val="Soy_Volume2"/>
      <sheetName val="Soy_Price_Cost_MC2"/>
      <sheetName val="COC_by_Pack-Soy2"/>
      <sheetName val="Local_Tax_Provision2"/>
      <sheetName val="Local_Tax_CF2"/>
      <sheetName val="Capex_Instruction2"/>
      <sheetName val="Other_Inc(Exp)2"/>
      <sheetName val="Snacks_Volume_&amp;_Gross_Sales2"/>
      <sheetName val="Balance_Sheet2"/>
      <sheetName val="Beverage_Volume2"/>
      <sheetName val="REF-Hyperion_Entitiy2"/>
      <sheetName val="BREA_Model2"/>
      <sheetName val="Input_Sheet2"/>
      <sheetName val="Dec_cos2"/>
      <sheetName val="China_ttl2"/>
      <sheetName val="wSKU_Accuracy_(2)2"/>
      <sheetName val="P11_逾期账款&amp;预提费用1"/>
      <sheetName val="1_3_NCB_T1"/>
      <sheetName val="1_1_CSD1"/>
      <sheetName val="1_8_BS1"/>
      <sheetName val="Entity_list1"/>
      <sheetName val="Storage"/>
      <sheetName val="产量"/>
      <sheetName val="9省城市筛选≥2万"/>
      <sheetName val="Coke"/>
      <sheetName val="input_RGM"/>
      <sheetName val="output_RGM"/>
      <sheetName val="SZBL"/>
      <sheetName val="0807-0903"/>
      <sheetName val="monthlyp&amp;l_(CSD)3"/>
      <sheetName val="monthlyp&amp;l_(CSD_Intl)3"/>
      <sheetName val="monthlyp&amp;l_(CSD_local)3"/>
      <sheetName val="Cost_Asspt_by_pack_(copack)3"/>
      <sheetName val="Cost_Asspt_by_pack_(CSD)3"/>
      <sheetName val="G&amp;A_(CSD)3"/>
      <sheetName val="CSD_Other_Inc(Exp)3"/>
      <sheetName val="Copack_Inc3"/>
      <sheetName val="Copack_Exp3"/>
      <sheetName val="CSD_Volume_by_Province3"/>
      <sheetName val="CSD_Volume3"/>
      <sheetName val="CSD_Volume_(by_brand)3"/>
      <sheetName val="CSD_copack_Vol&amp;VPC3"/>
      <sheetName val="CSD_Price_Cost_MC3"/>
      <sheetName val="COC-CSD(Sept_submission)3"/>
      <sheetName val="COC_by_Pack-CSD3"/>
      <sheetName val="monthlyp&amp;l_(Gatorade)3"/>
      <sheetName val="p&amp;l_breakdown_(Gatorade)3"/>
      <sheetName val="G&amp;A_&amp;_HC_(Gatorade)3"/>
      <sheetName val="Gatorade_Other_Inc(Exp)3"/>
      <sheetName val="Gatorade_Volume_by_Province3"/>
      <sheetName val="Gatorade_Volume3"/>
      <sheetName val="Gatorade_Price_Cost_MC3"/>
      <sheetName val="COC_by_Pack-Gatorade3"/>
      <sheetName val="monthlyp&amp;l_(Dole)3"/>
      <sheetName val="p&amp;l_breakdown_(Dole)3"/>
      <sheetName val="G&amp;A_&amp;_HC_(Dole)3"/>
      <sheetName val="Dole_Other_Inc(Exp)3"/>
      <sheetName val="Dole_Volume_by_Province3"/>
      <sheetName val="Dole_Volume3"/>
      <sheetName val="Dole_Price_Cost_MC3"/>
      <sheetName val="COC_by_Pack-Dole3"/>
      <sheetName val="monthlyp&amp;l_(Water)3"/>
      <sheetName val="p&amp;l_breakdown_(Water)3"/>
      <sheetName val="G&amp;A_&amp;_HC_(Water)3"/>
      <sheetName val="Water__Other_Inc(Exp)3"/>
      <sheetName val="Water_Volume_by_Province3"/>
      <sheetName val="Water_Volume3"/>
      <sheetName val="Water_Price_Cost_MC3"/>
      <sheetName val="COC_by_Pack-Water3"/>
      <sheetName val="monthlyp&amp;l_(Soy)3"/>
      <sheetName val="p&amp;l_breakdown_(Soy)3"/>
      <sheetName val="G&amp;A_&amp;_HC_(Soy)3"/>
      <sheetName val="Soy__Other_Inc(Exp)3"/>
      <sheetName val="Soy_Volume_by_Province3"/>
      <sheetName val="Soy_Volume3"/>
      <sheetName val="Soy_Price_Cost_MC3"/>
      <sheetName val="COC_by_Pack-Soy3"/>
      <sheetName val="Local_Tax_Provision3"/>
      <sheetName val="Local_Tax_CF3"/>
      <sheetName val="Capex_Instruction3"/>
      <sheetName val="Other_Inc(Exp)3"/>
      <sheetName val="Snacks_Volume_&amp;_Gross_Sales3"/>
      <sheetName val="Balance_Sheet3"/>
      <sheetName val="Beverage_Volume3"/>
      <sheetName val="REF-Hyperion_Entitiy3"/>
      <sheetName val="BREA_Model3"/>
      <sheetName val="Input_Sheet3"/>
      <sheetName val="Dec_cos3"/>
      <sheetName val="China_ttl3"/>
      <sheetName val="wSKU_Accuracy_(2)3"/>
      <sheetName val="P11_逾期账款&amp;预提费用2"/>
      <sheetName val="1_3_NCB_T2"/>
      <sheetName val="1_1_CSD2"/>
      <sheetName val="1_8_BS2"/>
      <sheetName val="Entity_lis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DebtInput"/>
      <sheetName val="IncStatement"/>
      <sheetName val="BalanceSheet"/>
      <sheetName val="CashFlow"/>
      <sheetName val="DebtSchedule"/>
      <sheetName val="NWI"/>
      <sheetName val="OperatingRatios"/>
      <sheetName val="CreditRatios"/>
      <sheetName val="IncStat(PctOfSales)"/>
      <sheetName val="Reconciliations"/>
      <sheetName val="ValuationInput"/>
      <sheetName val="Valuation"/>
      <sheetName val="ValuationSummary"/>
      <sheetName val="Storage"/>
      <sheetName val="NT4 Qry-CisSales"/>
      <sheetName val="Taxes rec for 12m inc 90% envir"/>
      <sheetName val="Assumptions"/>
      <sheetName val="QKR WC Pmnts"/>
      <sheetName val="Snacks Volume &amp; Gross Sales"/>
      <sheetName val="Kashira"/>
      <sheetName val="Azov"/>
      <sheetName val="Materials"/>
      <sheetName val="P&amp;L"/>
      <sheetName val="NT4_Qry-CisSales"/>
      <sheetName val="Taxes_rec_for_12m_inc_90%_envir"/>
      <sheetName val="QKR_WC_Pmnts"/>
      <sheetName val="Snacks_Volume_&amp;_Gross_Sales"/>
      <sheetName val="WORK"/>
      <sheetName val="Select"/>
      <sheetName val="Time"/>
      <sheetName val="FG_consumpt"/>
      <sheetName val="FY Fsct"/>
      <sheetName val="Drop Down List"/>
      <sheetName val="Hyp-mstr"/>
      <sheetName val="Zdroj FCST8"/>
      <sheetName val="NT4_Qry-CisSales1"/>
      <sheetName val="Taxes_rec_for_12m_inc_90%_envi1"/>
      <sheetName val="QKR_WC_Pmnts1"/>
      <sheetName val="Snacks_Volume_&amp;_Gross_Sales1"/>
      <sheetName val="FY_Fsct"/>
      <sheetName val="Drop_Down_List"/>
      <sheetName val="Zdroj_FCST8"/>
      <sheetName val="NT4_Qry-CisSales2"/>
      <sheetName val="Taxes_rec_for_12m_inc_90%_envi2"/>
      <sheetName val="QKR_WC_Pmnts2"/>
      <sheetName val="Snacks_Volume_&amp;_Gross_Sales2"/>
      <sheetName val="FY_Fsct1"/>
      <sheetName val="Drop_Down_List1"/>
      <sheetName val="Zdroj_FCST81"/>
      <sheetName val="NT4_Qry-CisSales3"/>
      <sheetName val="Taxes_rec_for_12m_inc_90%_envi3"/>
      <sheetName val="QKR_WC_Pmnts3"/>
      <sheetName val="Snacks_Volume_&amp;_Gross_Sales3"/>
      <sheetName val="FY_Fsct2"/>
      <sheetName val="Drop_Down_List2"/>
      <sheetName val="Zdroj_FCST8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arameters"/>
      <sheetName val="Hyperion"/>
      <sheetName val="Title"/>
      <sheetName val="Objective"/>
      <sheetName val="Objective (2)"/>
      <sheetName val="Exec Sum Cover"/>
      <sheetName val="BSWatch Outs"/>
      <sheetName val="BAICWATCH OUTs"/>
      <sheetName val="Reserve Summary"/>
      <sheetName val="process review tracking"/>
      <sheetName val="Audit"/>
      <sheetName val="P&amp;L"/>
      <sheetName val="SumBS"/>
      <sheetName val="Cash Flows"/>
      <sheetName val="Detail Cover"/>
      <sheetName val="Hyp Structure"/>
      <sheetName val="Audit (2)"/>
      <sheetName val="CC&amp;STInv"/>
      <sheetName val="Trade Receivables"/>
      <sheetName val="Rx-MT-Wh"/>
      <sheetName val="FOBO's AR"/>
      <sheetName val="DTS-DSD"/>
      <sheetName val="N&amp;OAR"/>
      <sheetName val="Inventories Snacks"/>
      <sheetName val="Inventories_CSD"/>
      <sheetName val="Inventories Beverages"/>
      <sheetName val="Inventories_AGING"/>
      <sheetName val="Agro"/>
      <sheetName val="Agro Table"/>
      <sheetName val="PP&amp;OtherA"/>
      <sheetName val="Capex&amp;FA"/>
      <sheetName val="GW&amp;OtherInt"/>
      <sheetName val="Intercompany"/>
      <sheetName val="PepsiCo Affiliated Balances"/>
      <sheetName val="Acct Payable"/>
      <sheetName val="AL&amp;OLTL"/>
      <sheetName val="Fallin fallout"/>
      <sheetName val="Accruals details"/>
      <sheetName val="fobo marketing accruals"/>
      <sheetName val="tax"/>
      <sheetName val="Debt &amp; Equity"/>
      <sheetName val="KPI Input"/>
      <sheetName val="NAB ROIC"/>
      <sheetName val="Guidance"/>
      <sheetName val="KPI definitions"/>
      <sheetName val="OFCF definitions"/>
      <sheetName val="Objective_(2)"/>
      <sheetName val="Exec_Sum_Cover"/>
      <sheetName val="BSWatch_Outs"/>
      <sheetName val="BAICWATCH_OUTs"/>
      <sheetName val="Reserve_Summary"/>
      <sheetName val="process_review_tracking"/>
      <sheetName val="Cash_Flows"/>
      <sheetName val="Detail_Cover"/>
      <sheetName val="Hyp_Structure"/>
      <sheetName val="Audit_(2)"/>
      <sheetName val="Trade_Receivables"/>
      <sheetName val="FOBO's_AR"/>
      <sheetName val="Inventories_Snacks"/>
      <sheetName val="Inventories_Beverages"/>
      <sheetName val="Agro_Table"/>
      <sheetName val="PepsiCo_Affiliated_Balances"/>
      <sheetName val="Acct_Payable"/>
      <sheetName val="Fallin_fallout"/>
      <sheetName val="Accruals_details"/>
      <sheetName val="fobo_marketing_accruals"/>
      <sheetName val="Debt_&amp;_Equity"/>
      <sheetName val="KPI_Input"/>
      <sheetName val="NAB_ROIC"/>
      <sheetName val="KPI_definitions"/>
      <sheetName val="OFCF_definitions"/>
      <sheetName val="Objective_(2)1"/>
      <sheetName val="Exec_Sum_Cover1"/>
      <sheetName val="BSWatch_Outs1"/>
      <sheetName val="BAICWATCH_OUTs1"/>
      <sheetName val="Reserve_Summary1"/>
      <sheetName val="process_review_tracking1"/>
      <sheetName val="Cash_Flows1"/>
      <sheetName val="Detail_Cover1"/>
      <sheetName val="Hyp_Structure1"/>
      <sheetName val="Audit_(2)1"/>
      <sheetName val="Trade_Receivables1"/>
      <sheetName val="FOBO's_AR1"/>
      <sheetName val="Inventories_Snacks1"/>
      <sheetName val="Inventories_Beverages1"/>
      <sheetName val="Agro_Table1"/>
      <sheetName val="PepsiCo_Affiliated_Balances1"/>
      <sheetName val="Acct_Payable1"/>
      <sheetName val="Fallin_fallout1"/>
      <sheetName val="Accruals_details1"/>
      <sheetName val="fobo_marketing_accruals1"/>
      <sheetName val="Debt_&amp;_Equity1"/>
      <sheetName val="KPI_Input1"/>
      <sheetName val="NAB_ROIC1"/>
      <sheetName val="KPI_definitions1"/>
      <sheetName val="OFCF_definitions1"/>
      <sheetName val="Objective_(2)2"/>
      <sheetName val="Exec_Sum_Cover2"/>
      <sheetName val="BSWatch_Outs2"/>
      <sheetName val="BAICWATCH_OUTs2"/>
      <sheetName val="Reserve_Summary2"/>
      <sheetName val="process_review_tracking2"/>
      <sheetName val="Cash_Flows2"/>
      <sheetName val="Detail_Cover2"/>
      <sheetName val="Hyp_Structure2"/>
      <sheetName val="Audit_(2)2"/>
      <sheetName val="Trade_Receivables2"/>
      <sheetName val="FOBO's_AR2"/>
      <sheetName val="Inventories_Snacks2"/>
      <sheetName val="Inventories_Beverages2"/>
      <sheetName val="Agro_Table2"/>
      <sheetName val="PepsiCo_Affiliated_Balances2"/>
      <sheetName val="Acct_Payable2"/>
      <sheetName val="Fallin_fallout2"/>
      <sheetName val="Accruals_details2"/>
      <sheetName val="fobo_marketing_accruals2"/>
      <sheetName val="Debt_&amp;_Equity2"/>
      <sheetName val="KPI_Input2"/>
      <sheetName val="NAB_ROIC2"/>
      <sheetName val="KPI_definitions2"/>
      <sheetName val="OFCF_definition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Local"/>
      <sheetName val="Summary"/>
      <sheetName val="Margins"/>
      <sheetName val="Highlights"/>
      <sheetName val="Q1_Outlook"/>
      <sheetName val="Vol_1"/>
      <sheetName val="Vol_1_DR"/>
      <sheetName val="Vol_2"/>
      <sheetName val="SOM"/>
      <sheetName val="P&amp;L_US"/>
      <sheetName val="P&amp;L_LC_DR"/>
      <sheetName val="P&amp;L_US_DR"/>
      <sheetName val="COCH_YAG"/>
      <sheetName val="COCH_YAG_DR"/>
      <sheetName val="INPUT"/>
      <sheetName val="Data LC"/>
      <sheetName val="Data US"/>
      <sheetName val="Brand"/>
      <sheetName val="Data LC2"/>
      <sheetName val="Data US2"/>
      <sheetName val="Brand2"/>
      <sheetName val="Storage"/>
      <sheetName val="Control Sheet"/>
      <sheetName val="Assumptions"/>
      <sheetName val="Reference"/>
      <sheetName val="Settings"/>
      <sheetName val="QKR WC Pmnts"/>
      <sheetName val="Telecom"/>
      <sheetName val="COMICRO ROM"/>
      <sheetName val="Hyperion"/>
      <sheetName val="Chif. cles-S3"/>
      <sheetName val="Perda_Lata"/>
      <sheetName val="Profit and Loss"/>
      <sheetName val="Summary_Local"/>
      <sheetName val="Data_LC"/>
      <sheetName val="Data_US"/>
      <sheetName val="Data_LC2"/>
      <sheetName val="Data_US2"/>
      <sheetName val="Control_Sheet"/>
      <sheetName val="QKR_WC_Pmnts"/>
      <sheetName val="COMICRO_ROM"/>
      <sheetName val="Chif__cles-S3"/>
      <sheetName val="Profit_and_Loss"/>
      <sheetName val="Summary_Local1"/>
      <sheetName val="Data_LC1"/>
      <sheetName val="Data_US1"/>
      <sheetName val="Data_LC21"/>
      <sheetName val="Data_US21"/>
      <sheetName val="Control_Sheet1"/>
      <sheetName val="QKR_WC_Pmnts1"/>
      <sheetName val="COMICRO_ROM1"/>
      <sheetName val="Chif__cles-S31"/>
      <sheetName val="Profit_and_Loss1"/>
      <sheetName val="USAGES"/>
      <sheetName val="Summary_Local2"/>
      <sheetName val="Data_LC3"/>
      <sheetName val="Data_US3"/>
      <sheetName val="Data_LC22"/>
      <sheetName val="Data_US22"/>
      <sheetName val="Control_Sheet2"/>
      <sheetName val="QKR_WC_Pmnts2"/>
      <sheetName val="COMICRO_ROM2"/>
      <sheetName val="Chif__cles-S32"/>
      <sheetName val="Profit_and_Loss2"/>
      <sheetName val="Vacacion"/>
      <sheetName val="OCF Change"/>
      <sheetName val="CAPEX"/>
      <sheetName val="aux"/>
      <sheetName val="Sheet1 (2)"/>
      <sheetName val="Grf Barra Ventas"/>
      <sheetName val="MAIN FX-CALC 1"/>
      <sheetName val="Snacks Volume &amp; Gross Sales"/>
      <sheetName val="#REF"/>
      <sheetName val="Three-Year"/>
      <sheetName val="Beverage Volu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21">
          <cell r="G21" t="str">
            <v>(M Tons)</v>
          </cell>
          <cell r="H21" t="str">
            <v>MM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river"/>
      <sheetName val="Index"/>
      <sheetName val="A1 Macros"/>
      <sheetName val="A2 Salty Mkt"/>
      <sheetName val="A3 Macro Mkt"/>
      <sheetName val="A4 Volume"/>
      <sheetName val="A5 Innovation"/>
      <sheetName val="B1 P&amp;L LC"/>
      <sheetName val="B2 P&amp;L USD"/>
      <sheetName val="B3 P&amp;L Quarter"/>
      <sheetName val="B4 P&amp;L BSeg"/>
      <sheetName val="B5 BS"/>
      <sheetName val="B6 OCF"/>
      <sheetName val="B7 Algorithm"/>
      <sheetName val="C1 Capex"/>
      <sheetName val="C2 G&amp;A"/>
      <sheetName val="C3 A&amp;M"/>
      <sheetName val="C4 Cost"/>
      <sheetName val="C5 Q Synergies"/>
      <sheetName val="Forex"/>
      <sheetName val="Entities"/>
      <sheetName val="Hyperion"/>
      <sheetName val="TRIAL_BAL"/>
      <sheetName val="Input"/>
      <sheetName val="Notes"/>
      <sheetName val="Ess - AOP270"/>
      <sheetName val="Ess - PY270"/>
      <sheetName val="JAN $"/>
      <sheetName val="JAN"/>
      <sheetName val="AppA-Gat"/>
      <sheetName val="AppB-QuakCorp"/>
      <sheetName val="AppC-Trop"/>
      <sheetName val="AppD-DSD"/>
      <sheetName val="AppE-PCNA"/>
      <sheetName val="AppF_WCRes"/>
      <sheetName val="AppG-AL"/>
      <sheetName val="AppH-ALAlloc"/>
      <sheetName val="AppI-ALDSD"/>
      <sheetName val="AppJ-GLPL"/>
      <sheetName val="AppK-GLPLAlloc"/>
      <sheetName val="AppL_LL"/>
      <sheetName val="AppM Trend"/>
      <sheetName val="AppN Payout"/>
      <sheetName val="Sum"/>
      <sheetName val="Tables"/>
      <sheetName val="WC xs 100k"/>
      <sheetName val="Sheet1"/>
      <sheetName val="AOP-JUNE FCST"/>
      <sheetName val="SCH50"/>
      <sheetName val="2012 AOP Alvalle"/>
      <sheetName val="Comps"/>
      <sheetName val="POV"/>
      <sheetName val="Setup"/>
      <sheetName val="A1_Macros"/>
      <sheetName val="A2_Salty_Mkt"/>
      <sheetName val="A3_Macro_Mkt"/>
      <sheetName val="A4_Volume"/>
      <sheetName val="A5_Innovation"/>
      <sheetName val="B1_P&amp;L_LC"/>
      <sheetName val="B2_P&amp;L_USD"/>
      <sheetName val="B3_P&amp;L_Quarter"/>
      <sheetName val="B4_P&amp;L_BSeg"/>
      <sheetName val="B5_BS"/>
      <sheetName val="B6_OCF"/>
      <sheetName val="B7_Algorithm"/>
      <sheetName val="C1_Capex"/>
      <sheetName val="C2_G&amp;A"/>
      <sheetName val="C3_A&amp;M"/>
      <sheetName val="C4_Cost"/>
      <sheetName val="C5_Q_Synergies"/>
      <sheetName val="Ess_-_AOP270"/>
      <sheetName val="Ess_-_PY270"/>
      <sheetName val="JAN_$"/>
      <sheetName val="AppM_Trend"/>
      <sheetName val="AppN_Payout"/>
      <sheetName val="WC_xs_100k"/>
      <sheetName val="AOP-JUNE_FCST"/>
      <sheetName val="2012_AOP_Alvalle"/>
      <sheetName val="A1_Macros1"/>
      <sheetName val="A2_Salty_Mkt1"/>
      <sheetName val="A3_Macro_Mkt1"/>
      <sheetName val="A4_Volume1"/>
      <sheetName val="A5_Innovation1"/>
      <sheetName val="B1_P&amp;L_LC1"/>
      <sheetName val="B2_P&amp;L_USD1"/>
      <sheetName val="B3_P&amp;L_Quarter1"/>
      <sheetName val="B4_P&amp;L_BSeg1"/>
      <sheetName val="B5_BS1"/>
      <sheetName val="B6_OCF1"/>
      <sheetName val="B7_Algorithm1"/>
      <sheetName val="C1_Capex1"/>
      <sheetName val="C2_G&amp;A1"/>
      <sheetName val="C3_A&amp;M1"/>
      <sheetName val="C4_Cost1"/>
      <sheetName val="C5_Q_Synergies1"/>
      <sheetName val="Ess_-_AOP2701"/>
      <sheetName val="Ess_-_PY2701"/>
      <sheetName val="JAN_$1"/>
      <sheetName val="AppM_Trend1"/>
      <sheetName val="AppN_Payout1"/>
      <sheetName val="WC_xs_100k1"/>
      <sheetName val="AOP-JUNE_FCST1"/>
      <sheetName val="2012_AOP_Alvalle1"/>
      <sheetName val="RPT 72-VOLUME DATA-Industry"/>
      <sheetName val="2004 Brands (+Quak+Arling)"/>
      <sheetName val="RPT_72-VOLUME_DATA-Industry"/>
      <sheetName val="2004_Brands_(+Quak+Arling)"/>
      <sheetName val="A1_Macros2"/>
      <sheetName val="A2_Salty_Mkt2"/>
      <sheetName val="A3_Macro_Mkt2"/>
      <sheetName val="A4_Volume2"/>
      <sheetName val="A5_Innovation2"/>
      <sheetName val="B1_P&amp;L_LC2"/>
      <sheetName val="B2_P&amp;L_USD2"/>
      <sheetName val="B3_P&amp;L_Quarter2"/>
      <sheetName val="B4_P&amp;L_BSeg2"/>
      <sheetName val="B5_BS2"/>
      <sheetName val="B6_OCF2"/>
      <sheetName val="B7_Algorithm2"/>
      <sheetName val="C1_Capex2"/>
      <sheetName val="C2_G&amp;A2"/>
      <sheetName val="C3_A&amp;M2"/>
      <sheetName val="C4_Cost2"/>
      <sheetName val="C5_Q_Synergies2"/>
      <sheetName val="Ess_-_AOP2702"/>
      <sheetName val="Ess_-_PY2702"/>
      <sheetName val="JAN_$2"/>
      <sheetName val="AppM_Trend2"/>
      <sheetName val="AppN_Payout2"/>
      <sheetName val="WC_xs_100k2"/>
      <sheetName val="AOP-JUNE_FCST2"/>
      <sheetName val="2012_AOP_Alvalle2"/>
      <sheetName val="RPT_72-VOLUME_DATA-Industry1"/>
      <sheetName val="2004_Brands_(+Quak+Arling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Y Template"/>
      <sheetName val="Summary"/>
      <sheetName val="ThailandMU"/>
      <sheetName val="PhilsMU"/>
      <sheetName val="VietMU"/>
      <sheetName val="AFMU"/>
      <sheetName val="FB"/>
      <sheetName val="BUHQCSD"/>
      <sheetName val="BUHQ CSD Backup"/>
      <sheetName val="Jan Volume"/>
      <sheetName val="Sheet1"/>
      <sheetName val="MAIN FX-CALC 1"/>
      <sheetName val="WORKINGS"/>
      <sheetName val="Vol Ver2"/>
      <sheetName val="assumptions"/>
      <sheetName val="index"/>
      <sheetName val="Vols"/>
      <sheetName val="NY_Template"/>
      <sheetName val="BUHQ_CSD_Backup"/>
      <sheetName val="Jan_Volume"/>
      <sheetName val="MAIN_FX-CALC_1"/>
      <sheetName val="Vol_Ver2"/>
      <sheetName val="NY_Template1"/>
      <sheetName val="BUHQ_CSD_Backup1"/>
      <sheetName val="Jan_Volume1"/>
      <sheetName val="MAIN_FX-CALC_11"/>
      <sheetName val="Vol_Ver21"/>
      <sheetName val="NY_Template2"/>
      <sheetName val="BUHQ_CSD_Backup2"/>
      <sheetName val="Jan_Volume2"/>
      <sheetName val="MAIN_FX-CALC_12"/>
      <sheetName val="Vol_Ver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  <sheetName val="Entities"/>
      <sheetName val="Exec Summary"/>
      <sheetName val="Top-Line Summary"/>
      <sheetName val="VolProfits Key Mkts"/>
      <sheetName val="P&amp;L"/>
      <sheetName val="Top Line by Country"/>
      <sheetName val="Top Line by Country B(W)"/>
      <sheetName val="Top Line by Country (2)"/>
      <sheetName val="Cluster Summary"/>
      <sheetName val="P&amp;L_Sh"/>
      <sheetName val="P&amp;L_Sy"/>
      <sheetName val="2006P System"/>
      <sheetName val="2006P Share"/>
      <sheetName val="2005A Share Rptd"/>
      <sheetName val="2005A Share Adj"/>
      <sheetName val="2005A System Rptd"/>
      <sheetName val="2005A System Adj"/>
      <sheetName val="Exec_Summary"/>
      <sheetName val="Top-Line_Summary"/>
      <sheetName val="VolProfits_Key_Mkts"/>
      <sheetName val="Top_Line_by_Country"/>
      <sheetName val="Top_Line_by_Country_B(W)"/>
      <sheetName val="Top_Line_by_Country_(2)"/>
      <sheetName val="Cluster_Summary"/>
      <sheetName val="2006P_System"/>
      <sheetName val="2006P_Share"/>
      <sheetName val="2005A_Share_Rptd"/>
      <sheetName val="2005A_Share_Adj"/>
      <sheetName val="2005A_System_Rptd"/>
      <sheetName val="2005A_System_Adj"/>
      <sheetName val="Exec_Summary1"/>
      <sheetName val="Top-Line_Summary1"/>
      <sheetName val="VolProfits_Key_Mkts1"/>
      <sheetName val="Top_Line_by_Country1"/>
      <sheetName val="Top_Line_by_Country_B(W)1"/>
      <sheetName val="Top_Line_by_Country_(2)1"/>
      <sheetName val="Cluster_Summary1"/>
      <sheetName val="2006P_System1"/>
      <sheetName val="2006P_Share1"/>
      <sheetName val="2005A_Share_Rptd1"/>
      <sheetName val="2005A_Share_Adj1"/>
      <sheetName val="2005A_System_Rptd1"/>
      <sheetName val="2005A_System_Adj1"/>
      <sheetName val="Exec_Summary2"/>
      <sheetName val="Top-Line_Summary2"/>
      <sheetName val="VolProfits_Key_Mkts2"/>
      <sheetName val="Top_Line_by_Country2"/>
      <sheetName val="Top_Line_by_Country_B(W)2"/>
      <sheetName val="Top_Line_by_Country_(2)2"/>
      <sheetName val="Cluster_Summary2"/>
      <sheetName val="2006P_System2"/>
      <sheetName val="2006P_Share2"/>
      <sheetName val="2005A_Share_Rptd2"/>
      <sheetName val="2005A_Share_Adj2"/>
      <sheetName val="2005A_System_Rptd2"/>
      <sheetName val="2005A_System_Adj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Hyperion"/>
      <sheetName val="objective 1"/>
      <sheetName val="objective 2"/>
      <sheetName val="Title"/>
      <sheetName val="Exec Sum Cover"/>
      <sheetName val="BS "/>
      <sheetName val="BSWatch Outs"/>
      <sheetName val="BSR POINTS "/>
      <sheetName val="BAICWATCH OUTs"/>
      <sheetName val="Reserve Summary"/>
      <sheetName val="BIWatchOuts"/>
      <sheetName val="process review tracking"/>
      <sheetName val="Audit"/>
      <sheetName val="P&amp;L"/>
      <sheetName val="SumBS"/>
      <sheetName val="Cash Flows"/>
      <sheetName val="OCF (2)"/>
      <sheetName val="OCF_Comments"/>
      <sheetName val="Hyp Structure"/>
      <sheetName val="CC&amp;STInv"/>
      <sheetName val="Trade Receivables"/>
      <sheetName val="Rx-MT-Wh"/>
      <sheetName val="FOBO's AR"/>
      <sheetName val="DTS-DSD"/>
      <sheetName val="N&amp;OAR"/>
      <sheetName val="Inventories"/>
      <sheetName val="Inventories_AGING"/>
      <sheetName val="Inventories_CSD"/>
      <sheetName val="Agro"/>
      <sheetName val="agro tables"/>
      <sheetName val="PP&amp;OtherA"/>
      <sheetName val="Capex&amp;FA"/>
      <sheetName val="GW&amp;OtherInt"/>
      <sheetName val="Intercompany"/>
      <sheetName val="PepsiCo Affiliated Balances"/>
      <sheetName val="Acct Payable"/>
      <sheetName val="AL&amp;OLTL"/>
      <sheetName val="fobo marketing accruals"/>
      <sheetName val="tax"/>
      <sheetName val="Debt &amp; Equity"/>
      <sheetName val="KPI Input"/>
      <sheetName val="KPI definitions"/>
      <sheetName val="OFCF definitions"/>
      <sheetName val="objective_1"/>
      <sheetName val="objective_2"/>
      <sheetName val="Exec_Sum_Cover"/>
      <sheetName val="BS_"/>
      <sheetName val="BSWatch_Outs"/>
      <sheetName val="BSR_POINTS_"/>
      <sheetName val="BAICWATCH_OUTs"/>
      <sheetName val="Reserve_Summary"/>
      <sheetName val="process_review_tracking"/>
      <sheetName val="Cash_Flows"/>
      <sheetName val="OCF_(2)"/>
      <sheetName val="Hyp_Structure"/>
      <sheetName val="Trade_Receivables"/>
      <sheetName val="FOBO's_AR"/>
      <sheetName val="agro_tables"/>
      <sheetName val="PepsiCo_Affiliated_Balances"/>
      <sheetName val="Acct_Payable"/>
      <sheetName val="fobo_marketing_accruals"/>
      <sheetName val="Debt_&amp;_Equity"/>
      <sheetName val="KPI_Input"/>
      <sheetName val="KPI_definitions"/>
      <sheetName val="OFCF_definitions"/>
      <sheetName val="objective_11"/>
      <sheetName val="objective_21"/>
      <sheetName val="Exec_Sum_Cover1"/>
      <sheetName val="BS_1"/>
      <sheetName val="BSWatch_Outs1"/>
      <sheetName val="BSR_POINTS_1"/>
      <sheetName val="BAICWATCH_OUTs1"/>
      <sheetName val="Reserve_Summary1"/>
      <sheetName val="process_review_tracking1"/>
      <sheetName val="Cash_Flows1"/>
      <sheetName val="OCF_(2)1"/>
      <sheetName val="Hyp_Structure1"/>
      <sheetName val="Trade_Receivables1"/>
      <sheetName val="FOBO's_AR1"/>
      <sheetName val="agro_tables1"/>
      <sheetName val="PepsiCo_Affiliated_Balances1"/>
      <sheetName val="Acct_Payable1"/>
      <sheetName val="fobo_marketing_accruals1"/>
      <sheetName val="Debt_&amp;_Equity1"/>
      <sheetName val="KPI_Input1"/>
      <sheetName val="KPI_definitions1"/>
      <sheetName val="OFCF_definition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GI"/>
      <sheetName val="GII"/>
      <sheetName val="GIII"/>
      <sheetName val="RMB"/>
      <sheetName val="资负及利润调整"/>
      <sheetName val="利润分录"/>
      <sheetName val="资产分录"/>
      <sheetName val="销售当月"/>
      <sheetName val="销售累计"/>
      <sheetName val="BASE"/>
      <sheetName val="L-BASE"/>
      <sheetName val="BAL-adustment"/>
      <sheetName val="费用调"/>
      <sheetName val="COCC"/>
      <sheetName val="COCY"/>
      <sheetName val="价差"/>
      <sheetName val="量差"/>
      <sheetName val="结构差"/>
      <sheetName val="变原差"/>
      <sheetName val="变成本差"/>
      <sheetName val="损益表汇总"/>
      <sheetName val="Quarterly(13)"/>
      <sheetName val="Q1"/>
      <sheetName val="Q12"/>
      <sheetName val="OFCF1-12"/>
      <sheetName val="Sheet2"/>
      <sheetName val="Sheet1"/>
      <sheetName val="Input Sheet"/>
      <sheetName val="TRIAL3"/>
      <sheetName val="G-PROF1"/>
      <sheetName val="Inputs"/>
      <sheetName val="Cover"/>
      <sheetName val="Input"/>
      <sheetName val="Total"/>
      <sheetName val="Local"/>
      <sheetName val="Beverage Volume"/>
      <sheetName val="Warehouse property"/>
      <sheetName val="Input_Sheet"/>
      <sheetName val="Beverage_Volume"/>
      <sheetName val="Warehouse_property"/>
      <sheetName val="Input_Sheet1"/>
      <sheetName val="Beverage_Volume1"/>
      <sheetName val="Warehouse_property1"/>
      <sheetName val="20-5"/>
      <sheetName val="1.3 NCB_T"/>
      <sheetName val="1.1 CSD"/>
      <sheetName val="1.8 BS"/>
      <sheetName val="Summary"/>
      <sheetName val="封面"/>
      <sheetName val="Reference"/>
      <sheetName val="Balance Sheet"/>
      <sheetName val="预算-by区域"/>
      <sheetName val="China ttl"/>
      <sheetName val="所有效性"/>
      <sheetName val="公司有效性"/>
      <sheetName val="圈地有效性"/>
      <sheetName val="部有效性"/>
      <sheetName val="商圈有效性"/>
      <sheetName val="源-各品项量"/>
      <sheetName val="品牌一组"/>
      <sheetName val="Coding"/>
      <sheetName val="业务别"/>
      <sheetName val="P11 逾期账款&amp;预提费用"/>
      <sheetName val="Coke"/>
      <sheetName val="原材料单价分析"/>
      <sheetName val="South"/>
      <sheetName val="1"/>
      <sheetName val="正常明细"/>
      <sheetName val="产量"/>
      <sheetName val="P1-推进进度&amp;问题解决"/>
      <sheetName val="预算目标"/>
      <sheetName val="Entity list"/>
      <sheetName val="MAR-F"/>
      <sheetName val="CONTENTS"/>
      <sheetName val="Sum"/>
      <sheetName val="普查库示例"/>
      <sheetName val="行销部排名"/>
      <sheetName val="直营所排名"/>
      <sheetName val="TEMP"/>
      <sheetName val="汇总"/>
      <sheetName val="原材料成本"/>
      <sheetName val="cable_915"/>
      <sheetName val="Input_Sheet2"/>
      <sheetName val="Beverage_Volume2"/>
      <sheetName val="Warehouse_property2"/>
      <sheetName val="1_3_NCB_T"/>
      <sheetName val="1_1_CSD"/>
      <sheetName val="1_8_BS"/>
      <sheetName val="Balance_Sheet"/>
      <sheetName val="China_ttl"/>
      <sheetName val="P11_逾期账款&amp;预提费用"/>
      <sheetName val="Entity_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P&amp;L"/>
      <sheetName val="调整1"/>
      <sheetName val="调整2"/>
      <sheetName val="JBA"/>
      <sheetName val="资负调整"/>
      <sheetName val="资产分录"/>
      <sheetName val="利润分录"/>
      <sheetName val="RMB"/>
      <sheetName val="计划"/>
      <sheetName val="去年同期"/>
      <sheetName val="销售当月"/>
      <sheetName val="销售累计"/>
      <sheetName val="change A"/>
      <sheetName val=" change L"/>
      <sheetName val="量"/>
      <sheetName val="价"/>
      <sheetName val="结构"/>
      <sheetName val="变动成本差"/>
      <sheetName val="封"/>
      <sheetName val="checklist(1)"/>
      <sheetName val="Loan(2)"/>
      <sheetName val="P&amp;L(3)"/>
      <sheetName val="vs plan(4)"/>
      <sheetName val="vs prior year(5)"/>
      <sheetName val="Volum(6)"/>
      <sheetName val="Blance S(7)"/>
      <sheetName val="AR(8)"/>
      <sheetName val="OFCF(9)"/>
      <sheetName val="Income(10)"/>
      <sheetName val="NPMC(11)"/>
      <sheetName val="Capital(12)"/>
      <sheetName val="Quarterly(13)"/>
      <sheetName val="Q1"/>
      <sheetName val="Q12"/>
      <sheetName val="OFCF1-12"/>
      <sheetName val="Dec cos"/>
      <sheetName val="Local"/>
      <sheetName val="change_A"/>
      <sheetName val="_change_L"/>
      <sheetName val="vs_plan(4)"/>
      <sheetName val="vs_prior_year(5)"/>
      <sheetName val="Blance_S(7)"/>
      <sheetName val="Dec_cos"/>
      <sheetName val="change_A1"/>
      <sheetName val="_change_L1"/>
      <sheetName val="vs_plan(4)1"/>
      <sheetName val="vs_prior_year(5)1"/>
      <sheetName val="Blance_S(7)1"/>
      <sheetName val="Dec_cos1"/>
      <sheetName val="change_A2"/>
      <sheetName val="_change_L2"/>
      <sheetName val="vs_plan(4)2"/>
      <sheetName val="vs_prior_year(5)2"/>
      <sheetName val="Blance_S(7)2"/>
      <sheetName val="Dec_co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B5T"/>
      <sheetName val="Summary"/>
      <sheetName val="Inventory"/>
      <sheetName val="Demand"/>
      <sheetName val="Volume Tracking"/>
      <sheetName val="DO Open"/>
      <sheetName val="AOP 28072021"/>
      <sheetName val="LF"/>
      <sheetName val="DATA SHEET"/>
      <sheetName val="Parameter"/>
      <sheetName val="Detail1"/>
      <sheetName val="Pivot"/>
      <sheetName val="Prod Output"/>
      <sheetName val="Billing"/>
      <sheetName val="By Pack Size"/>
      <sheetName val="By Flavor"/>
      <sheetName val="MFBF"/>
      <sheetName val="SO"/>
      <sheetName val="MB52"/>
      <sheetName val="BillingCre."/>
      <sheetName val="Inv-SCP"/>
      <sheetName val="His DO"/>
      <sheetName val="DO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Material Description</v>
          </cell>
          <cell r="B1" t="str">
            <v>Material</v>
          </cell>
          <cell r="C1" t="str">
            <v>Transcode</v>
          </cell>
          <cell r="D1" t="str">
            <v>Boxes per layer</v>
          </cell>
          <cell r="E1" t="str">
            <v>Number of layers</v>
          </cell>
          <cell r="F1" t="str">
            <v>Cases per pallet</v>
          </cell>
          <cell r="G1" t="str">
            <v xml:space="preserve">Content Per Bottle (ml) </v>
          </cell>
          <cell r="H1" t="str">
            <v>Bottles Per Case</v>
          </cell>
          <cell r="I1" t="str">
            <v>8oz conversion</v>
          </cell>
          <cell r="J1" t="str">
            <v>Shelf Life (Days)</v>
          </cell>
          <cell r="K1" t="str">
            <v>Pack size</v>
          </cell>
          <cell r="L1" t="str">
            <v>Net fill</v>
          </cell>
          <cell r="M1" t="str">
            <v>Type</v>
          </cell>
          <cell r="N1" t="str">
            <v>Flavor</v>
          </cell>
          <cell r="P1" t="str">
            <v>Month (No.)</v>
          </cell>
          <cell r="Q1" t="str">
            <v>Month</v>
          </cell>
          <cell r="V1" t="str">
            <v>SAP Date format</v>
          </cell>
          <cell r="W1" t="str">
            <v>Date</v>
          </cell>
        </row>
        <row r="2">
          <cell r="A2" t="str">
            <v>TEA PLUS YOGURT 320ML 6X4</v>
          </cell>
          <cell r="B2">
            <v>320023110</v>
          </cell>
          <cell r="C2" t="str">
            <v>TEA PLUS YOGURT 320ML 6X4</v>
          </cell>
          <cell r="D2">
            <v>12</v>
          </cell>
          <cell r="E2">
            <v>7</v>
          </cell>
          <cell r="F2">
            <v>84</v>
          </cell>
          <cell r="G2">
            <v>320</v>
          </cell>
          <cell r="H2">
            <v>24</v>
          </cell>
          <cell r="I2">
            <v>1.3525889397675237</v>
          </cell>
          <cell r="J2">
            <v>365</v>
          </cell>
          <cell r="K2" t="str">
            <v>PET TEA+ 320</v>
          </cell>
          <cell r="L2" t="str">
            <v>320 ml</v>
          </cell>
          <cell r="M2" t="str">
            <v>NCB PET</v>
          </cell>
          <cell r="N2" t="str">
            <v>TEA PLUS</v>
          </cell>
          <cell r="P2">
            <v>1</v>
          </cell>
          <cell r="Q2" t="str">
            <v>Jan</v>
          </cell>
          <cell r="V2" t="str">
            <v>01.01.2025</v>
          </cell>
          <cell r="W2">
            <v>45658</v>
          </cell>
        </row>
        <row r="3">
          <cell r="A3" t="str">
            <v>TEA PLUS Yogurt 350ml 24X_84</v>
          </cell>
          <cell r="B3">
            <v>320023172</v>
          </cell>
          <cell r="C3" t="str">
            <v>TEA PLUS Yogurt 350ml 24X_84</v>
          </cell>
          <cell r="D3">
            <v>12</v>
          </cell>
          <cell r="E3">
            <v>7</v>
          </cell>
          <cell r="F3">
            <v>84</v>
          </cell>
          <cell r="G3">
            <v>350</v>
          </cell>
          <cell r="H3">
            <v>24</v>
          </cell>
          <cell r="I3">
            <v>1.4793941528707291</v>
          </cell>
          <cell r="J3">
            <v>365</v>
          </cell>
          <cell r="K3" t="str">
            <v>PET TEA+ 350</v>
          </cell>
          <cell r="L3" t="str">
            <v>350 ml</v>
          </cell>
          <cell r="M3" t="str">
            <v>NCB PET</v>
          </cell>
          <cell r="N3" t="str">
            <v>TEA PLUS</v>
          </cell>
          <cell r="P3">
            <v>2</v>
          </cell>
          <cell r="Q3" t="str">
            <v>Feb</v>
          </cell>
          <cell r="V3" t="str">
            <v>02.01.2025</v>
          </cell>
          <cell r="W3">
            <v>45659</v>
          </cell>
        </row>
        <row r="4">
          <cell r="A4" t="str">
            <v>PEPSI COLA 640ML PET 12X_110</v>
          </cell>
          <cell r="B4">
            <v>320018096</v>
          </cell>
          <cell r="C4" t="str">
            <v>PEPSI COLA 640ML PET 12X</v>
          </cell>
          <cell r="D4">
            <v>22</v>
          </cell>
          <cell r="E4">
            <v>5</v>
          </cell>
          <cell r="F4">
            <v>110</v>
          </cell>
          <cell r="G4">
            <v>640</v>
          </cell>
          <cell r="H4">
            <v>12</v>
          </cell>
          <cell r="I4">
            <v>1.3525889397675237</v>
          </cell>
          <cell r="J4">
            <v>180</v>
          </cell>
          <cell r="K4" t="str">
            <v>PET 640</v>
          </cell>
          <cell r="L4" t="str">
            <v>640 ml</v>
          </cell>
          <cell r="M4" t="str">
            <v>CSD PET</v>
          </cell>
          <cell r="N4" t="str">
            <v>Pepsi Cola</v>
          </cell>
          <cell r="P4">
            <v>3</v>
          </cell>
          <cell r="Q4" t="str">
            <v>Mar</v>
          </cell>
          <cell r="V4" t="str">
            <v>03.01.2025</v>
          </cell>
          <cell r="W4">
            <v>45660</v>
          </cell>
        </row>
        <row r="5">
          <cell r="A5" t="str">
            <v>PEPSI COLA 1L PET 12X_70</v>
          </cell>
          <cell r="B5">
            <v>320010390</v>
          </cell>
          <cell r="C5" t="str">
            <v>PEPSI COLA 1L PET 12X</v>
          </cell>
          <cell r="D5">
            <v>14</v>
          </cell>
          <cell r="E5">
            <v>5</v>
          </cell>
          <cell r="F5">
            <v>70</v>
          </cell>
          <cell r="G5">
            <v>1000</v>
          </cell>
          <cell r="H5">
            <v>12</v>
          </cell>
          <cell r="I5">
            <v>2.1134202183867559</v>
          </cell>
          <cell r="J5">
            <v>180</v>
          </cell>
          <cell r="K5" t="str">
            <v>PET 1000</v>
          </cell>
          <cell r="L5" t="str">
            <v>1000 ml</v>
          </cell>
          <cell r="M5" t="str">
            <v>CSD PET</v>
          </cell>
          <cell r="N5" t="str">
            <v>Pepsi Cola</v>
          </cell>
          <cell r="P5">
            <v>4</v>
          </cell>
          <cell r="Q5" t="str">
            <v>Apr</v>
          </cell>
          <cell r="V5" t="str">
            <v>04.01.2025</v>
          </cell>
          <cell r="W5">
            <v>45661</v>
          </cell>
        </row>
        <row r="6">
          <cell r="A6" t="str">
            <v>PEPSI COLA 1.2L PET 12X</v>
          </cell>
          <cell r="B6">
            <v>320012532</v>
          </cell>
          <cell r="C6" t="str">
            <v>PEPSI COLA 1.2L PET 12X</v>
          </cell>
          <cell r="D6">
            <v>11</v>
          </cell>
          <cell r="E6">
            <v>4</v>
          </cell>
          <cell r="F6">
            <v>44</v>
          </cell>
          <cell r="G6">
            <v>1200</v>
          </cell>
          <cell r="H6">
            <v>12</v>
          </cell>
          <cell r="I6">
            <v>2.5361042620641072</v>
          </cell>
          <cell r="J6">
            <v>180</v>
          </cell>
          <cell r="K6" t="str">
            <v>PET 1250</v>
          </cell>
          <cell r="L6" t="str">
            <v>1200 ml</v>
          </cell>
          <cell r="M6" t="str">
            <v>CSD PET</v>
          </cell>
          <cell r="N6" t="str">
            <v>Pepsi Cola</v>
          </cell>
          <cell r="P6">
            <v>5</v>
          </cell>
          <cell r="Q6" t="str">
            <v>May</v>
          </cell>
          <cell r="V6" t="str">
            <v>05.01.2025</v>
          </cell>
          <cell r="W6">
            <v>45662</v>
          </cell>
        </row>
        <row r="7">
          <cell r="A7" t="str">
            <v>PEPSI COLA 1.26L PET 12X_44T</v>
          </cell>
          <cell r="B7">
            <v>320013635</v>
          </cell>
          <cell r="C7" t="str">
            <v>PEPSI COLA 1.26L PET 12X</v>
          </cell>
          <cell r="D7">
            <v>11</v>
          </cell>
          <cell r="E7">
            <v>4</v>
          </cell>
          <cell r="F7">
            <v>44</v>
          </cell>
          <cell r="G7">
            <v>1260</v>
          </cell>
          <cell r="H7">
            <v>12</v>
          </cell>
          <cell r="I7">
            <v>2.6629094751673126</v>
          </cell>
          <cell r="J7">
            <v>180</v>
          </cell>
          <cell r="K7" t="str">
            <v>PET 1250</v>
          </cell>
          <cell r="L7" t="str">
            <v>1260 ml</v>
          </cell>
          <cell r="M7" t="str">
            <v>CSD PET</v>
          </cell>
          <cell r="N7" t="str">
            <v>Pepsi Cola</v>
          </cell>
          <cell r="P7">
            <v>6</v>
          </cell>
          <cell r="Q7" t="str">
            <v>Jun</v>
          </cell>
          <cell r="V7" t="str">
            <v>06.01.2025</v>
          </cell>
          <cell r="W7">
            <v>45663</v>
          </cell>
        </row>
        <row r="8">
          <cell r="A8" t="str">
            <v>PEPSI COLA 1.26L PET 12X_44</v>
          </cell>
          <cell r="B8">
            <v>320015261</v>
          </cell>
          <cell r="C8" t="str">
            <v>PEPSI COLA 1.26L PET 12X</v>
          </cell>
          <cell r="D8">
            <v>11</v>
          </cell>
          <cell r="E8">
            <v>4</v>
          </cell>
          <cell r="F8">
            <v>44</v>
          </cell>
          <cell r="G8">
            <v>1260</v>
          </cell>
          <cell r="H8">
            <v>12</v>
          </cell>
          <cell r="I8">
            <v>2.6629094751673126</v>
          </cell>
          <cell r="J8">
            <v>180</v>
          </cell>
          <cell r="K8" t="str">
            <v>PET 1250</v>
          </cell>
          <cell r="L8" t="str">
            <v>1260 ml</v>
          </cell>
          <cell r="M8" t="str">
            <v>CSD PET</v>
          </cell>
          <cell r="N8" t="str">
            <v>Pepsi Cola</v>
          </cell>
          <cell r="P8">
            <v>7</v>
          </cell>
          <cell r="Q8" t="str">
            <v>Jul</v>
          </cell>
          <cell r="V8" t="str">
            <v>07.01.2025</v>
          </cell>
          <cell r="W8">
            <v>45664</v>
          </cell>
        </row>
        <row r="9">
          <cell r="A9" t="str">
            <v>PEPSI COLA 1.26L PET 12X_44 LAYS</v>
          </cell>
          <cell r="B9">
            <v>320017071</v>
          </cell>
          <cell r="C9" t="str">
            <v>PEPSI COLA 1.26L PET 12X LAYS</v>
          </cell>
          <cell r="D9">
            <v>11</v>
          </cell>
          <cell r="E9">
            <v>4</v>
          </cell>
          <cell r="F9">
            <v>44</v>
          </cell>
          <cell r="G9">
            <v>1260</v>
          </cell>
          <cell r="H9">
            <v>12</v>
          </cell>
          <cell r="I9">
            <v>2.6629094751673126</v>
          </cell>
          <cell r="J9">
            <v>180</v>
          </cell>
          <cell r="K9" t="str">
            <v>PET 1250</v>
          </cell>
          <cell r="L9" t="str">
            <v>1260 ml</v>
          </cell>
          <cell r="M9" t="str">
            <v>CSD PET</v>
          </cell>
          <cell r="N9" t="str">
            <v>Pepsi Cola</v>
          </cell>
          <cell r="P9">
            <v>8</v>
          </cell>
          <cell r="Q9" t="str">
            <v>Aug</v>
          </cell>
          <cell r="V9" t="str">
            <v>08.01.2025</v>
          </cell>
          <cell r="W9">
            <v>45665</v>
          </cell>
        </row>
        <row r="10">
          <cell r="A10" t="str">
            <v>PEPSI COLA 1LW260ML PET 12X BP</v>
          </cell>
          <cell r="B10">
            <v>320015371</v>
          </cell>
          <cell r="C10" t="str">
            <v>PEPSI COLA 1LW260ML PET 12X BP</v>
          </cell>
          <cell r="D10">
            <v>11</v>
          </cell>
          <cell r="E10">
            <v>4</v>
          </cell>
          <cell r="F10">
            <v>44</v>
          </cell>
          <cell r="G10">
            <v>1450</v>
          </cell>
          <cell r="H10">
            <v>12</v>
          </cell>
          <cell r="I10">
            <v>3.0644593166607961</v>
          </cell>
          <cell r="J10">
            <v>180</v>
          </cell>
          <cell r="K10" t="str">
            <v>PET 1250</v>
          </cell>
          <cell r="L10" t="str">
            <v>1260 ml</v>
          </cell>
          <cell r="M10" t="str">
            <v>CSD PET</v>
          </cell>
          <cell r="N10" t="str">
            <v>Pepsi Cola</v>
          </cell>
          <cell r="P10">
            <v>9</v>
          </cell>
          <cell r="Q10" t="str">
            <v>Sep</v>
          </cell>
          <cell r="V10" t="str">
            <v>09.01.2025</v>
          </cell>
          <cell r="W10">
            <v>45666</v>
          </cell>
        </row>
        <row r="11">
          <cell r="A11" t="str">
            <v>PEPSI COLA 1.45L PET 12X_40</v>
          </cell>
          <cell r="B11">
            <v>320010389</v>
          </cell>
          <cell r="C11" t="str">
            <v>PEPSI COLA 1.45L PET 12X</v>
          </cell>
          <cell r="D11">
            <v>10</v>
          </cell>
          <cell r="E11">
            <v>4</v>
          </cell>
          <cell r="F11">
            <v>40</v>
          </cell>
          <cell r="G11">
            <v>1450</v>
          </cell>
          <cell r="H11">
            <v>12</v>
          </cell>
          <cell r="I11">
            <v>3.0644593166607961</v>
          </cell>
          <cell r="J11">
            <v>180</v>
          </cell>
          <cell r="K11" t="str">
            <v>PET 1500</v>
          </cell>
          <cell r="L11" t="str">
            <v>1450 ml</v>
          </cell>
          <cell r="M11" t="str">
            <v>CSD PET</v>
          </cell>
          <cell r="N11" t="str">
            <v>Pepsi Cola</v>
          </cell>
          <cell r="P11">
            <v>10</v>
          </cell>
          <cell r="Q11" t="str">
            <v>Oct</v>
          </cell>
          <cell r="V11" t="str">
            <v>10.01.2025</v>
          </cell>
          <cell r="W11">
            <v>45667</v>
          </cell>
        </row>
        <row r="12">
          <cell r="A12" t="str">
            <v>PEPSI COLA 1.45L PET 12X_44</v>
          </cell>
          <cell r="B12">
            <v>320012713</v>
          </cell>
          <cell r="C12" t="str">
            <v>PEPSI COLA 1.45L PET 12X</v>
          </cell>
          <cell r="D12">
            <v>11</v>
          </cell>
          <cell r="E12">
            <v>4</v>
          </cell>
          <cell r="F12">
            <v>44</v>
          </cell>
          <cell r="G12">
            <v>1450</v>
          </cell>
          <cell r="H12">
            <v>12</v>
          </cell>
          <cell r="I12">
            <v>3.0644593166607961</v>
          </cell>
          <cell r="J12">
            <v>180</v>
          </cell>
          <cell r="K12" t="str">
            <v>PET 1500</v>
          </cell>
          <cell r="L12" t="str">
            <v>1450 ml</v>
          </cell>
          <cell r="M12" t="str">
            <v>CSD PET</v>
          </cell>
          <cell r="N12" t="str">
            <v>Pepsi Cola</v>
          </cell>
          <cell r="P12">
            <v>11</v>
          </cell>
          <cell r="Q12" t="str">
            <v>Nov</v>
          </cell>
          <cell r="V12" t="str">
            <v>11.01.2025</v>
          </cell>
          <cell r="W12">
            <v>45668</v>
          </cell>
        </row>
        <row r="13">
          <cell r="A13" t="str">
            <v>PEPSI COLA 1.45L PET 12X_48</v>
          </cell>
          <cell r="B13">
            <v>320019100</v>
          </cell>
          <cell r="C13" t="str">
            <v>PEPSI COLA 1.45L PET 12X</v>
          </cell>
          <cell r="D13">
            <v>12</v>
          </cell>
          <cell r="E13">
            <v>4</v>
          </cell>
          <cell r="F13">
            <v>48</v>
          </cell>
          <cell r="G13">
            <v>1450</v>
          </cell>
          <cell r="H13">
            <v>12</v>
          </cell>
          <cell r="I13">
            <v>3.0644593166607961</v>
          </cell>
          <cell r="J13">
            <v>180</v>
          </cell>
          <cell r="K13" t="str">
            <v>PET 1500</v>
          </cell>
          <cell r="L13" t="str">
            <v>1450 ml</v>
          </cell>
          <cell r="M13" t="str">
            <v>CSD PET</v>
          </cell>
          <cell r="N13" t="str">
            <v>Pepsi Cola</v>
          </cell>
          <cell r="P13">
            <v>12</v>
          </cell>
          <cell r="Q13" t="str">
            <v>Dec</v>
          </cell>
          <cell r="V13" t="str">
            <v>12.01.2025</v>
          </cell>
          <cell r="W13">
            <v>45669</v>
          </cell>
        </row>
        <row r="14">
          <cell r="A14" t="str">
            <v>PEPSI COLA 1.95L PET 6X_64T</v>
          </cell>
          <cell r="B14">
            <v>320010394</v>
          </cell>
          <cell r="C14" t="str">
            <v>PEPSI COLA 1.95L PET 6X</v>
          </cell>
          <cell r="D14">
            <v>16</v>
          </cell>
          <cell r="E14">
            <v>4</v>
          </cell>
          <cell r="F14">
            <v>64</v>
          </cell>
          <cell r="G14">
            <v>1950</v>
          </cell>
          <cell r="H14">
            <v>6</v>
          </cell>
          <cell r="I14">
            <v>2.0605847129270871</v>
          </cell>
          <cell r="J14">
            <v>180</v>
          </cell>
          <cell r="K14" t="str">
            <v>PET 2000</v>
          </cell>
          <cell r="L14" t="str">
            <v>1950 ml</v>
          </cell>
          <cell r="M14" t="str">
            <v>CSD PET</v>
          </cell>
          <cell r="N14" t="str">
            <v>Pepsi Cola</v>
          </cell>
          <cell r="V14" t="str">
            <v>13.01.2025</v>
          </cell>
          <cell r="W14">
            <v>45670</v>
          </cell>
        </row>
        <row r="15">
          <cell r="A15" t="str">
            <v>PEPSI COLA 1.95L PET 6X_64</v>
          </cell>
          <cell r="B15">
            <v>320015562</v>
          </cell>
          <cell r="C15" t="str">
            <v>PEPSI COLA 1.95L PET 6X</v>
          </cell>
          <cell r="D15">
            <v>16</v>
          </cell>
          <cell r="E15">
            <v>4</v>
          </cell>
          <cell r="F15">
            <v>64</v>
          </cell>
          <cell r="G15">
            <v>1950</v>
          </cell>
          <cell r="H15">
            <v>6</v>
          </cell>
          <cell r="I15">
            <v>2.0605847129270871</v>
          </cell>
          <cell r="J15">
            <v>180</v>
          </cell>
          <cell r="K15" t="str">
            <v>PET 2000</v>
          </cell>
          <cell r="L15" t="str">
            <v>1950 ml</v>
          </cell>
          <cell r="M15" t="str">
            <v>CSD PET</v>
          </cell>
          <cell r="N15" t="str">
            <v>Pepsi Cola</v>
          </cell>
          <cell r="V15" t="str">
            <v>14.01.2025</v>
          </cell>
          <cell r="W15">
            <v>45671</v>
          </cell>
        </row>
        <row r="16">
          <cell r="A16" t="str">
            <v>PEPSI MAX 550ML PET 24X_54</v>
          </cell>
          <cell r="B16">
            <v>320010405</v>
          </cell>
          <cell r="C16" t="str">
            <v>PEPSI MAX 550ML PET 24X</v>
          </cell>
          <cell r="D16">
            <v>9</v>
          </cell>
          <cell r="E16">
            <v>6</v>
          </cell>
          <cell r="F16">
            <v>54</v>
          </cell>
          <cell r="G16">
            <v>550</v>
          </cell>
          <cell r="H16">
            <v>24</v>
          </cell>
          <cell r="I16">
            <v>2.3247622402254313</v>
          </cell>
          <cell r="J16">
            <v>120</v>
          </cell>
          <cell r="K16" t="str">
            <v>PET 550</v>
          </cell>
          <cell r="L16" t="str">
            <v>550 ml</v>
          </cell>
          <cell r="M16" t="str">
            <v>CSD PET</v>
          </cell>
          <cell r="N16" t="str">
            <v>Pepsi Max</v>
          </cell>
          <cell r="V16" t="str">
            <v>15.01.2025</v>
          </cell>
          <cell r="W16">
            <v>45672</v>
          </cell>
        </row>
        <row r="17">
          <cell r="A17" t="str">
            <v>PEPSI MAX 550ML PET 24X_60</v>
          </cell>
          <cell r="B17">
            <v>320012717</v>
          </cell>
          <cell r="C17" t="str">
            <v>PEPSI MAX 550ML PET 24X</v>
          </cell>
          <cell r="D17">
            <v>10</v>
          </cell>
          <cell r="E17">
            <v>6</v>
          </cell>
          <cell r="F17">
            <v>60</v>
          </cell>
          <cell r="G17">
            <v>550</v>
          </cell>
          <cell r="H17">
            <v>24</v>
          </cell>
          <cell r="I17">
            <v>2.3247622402254313</v>
          </cell>
          <cell r="J17">
            <v>120</v>
          </cell>
          <cell r="K17" t="str">
            <v>PET 550</v>
          </cell>
          <cell r="L17" t="str">
            <v>550 ml</v>
          </cell>
          <cell r="M17" t="str">
            <v>CSD PET</v>
          </cell>
          <cell r="N17" t="str">
            <v>Pepsi Max</v>
          </cell>
          <cell r="V17" t="str">
            <v>16.01.2025</v>
          </cell>
          <cell r="W17">
            <v>45673</v>
          </cell>
        </row>
        <row r="18">
          <cell r="A18" t="str">
            <v>PEPSI MAX 1.45L PET 12X_44</v>
          </cell>
          <cell r="B18">
            <v>320012772</v>
          </cell>
          <cell r="C18" t="str">
            <v>PEPSI MAX 1.45L PET 12X</v>
          </cell>
          <cell r="D18">
            <v>11</v>
          </cell>
          <cell r="E18">
            <v>4</v>
          </cell>
          <cell r="F18">
            <v>44</v>
          </cell>
          <cell r="G18">
            <v>1450</v>
          </cell>
          <cell r="H18">
            <v>12</v>
          </cell>
          <cell r="I18">
            <v>3.0644593166607961</v>
          </cell>
          <cell r="J18">
            <v>120</v>
          </cell>
          <cell r="K18" t="str">
            <v>PET 1500</v>
          </cell>
          <cell r="L18" t="str">
            <v>1450 ml</v>
          </cell>
          <cell r="M18" t="str">
            <v>CSD PET</v>
          </cell>
          <cell r="N18" t="str">
            <v>Pepsi Max</v>
          </cell>
          <cell r="V18" t="str">
            <v>17.01.2025</v>
          </cell>
          <cell r="W18">
            <v>45674</v>
          </cell>
        </row>
        <row r="19">
          <cell r="A19" t="str">
            <v>PEPSI MAX 1.45L PET 12X_48</v>
          </cell>
          <cell r="B19">
            <v>320019110</v>
          </cell>
          <cell r="C19" t="str">
            <v>PEPSI MAX 1.45L PET 12X</v>
          </cell>
          <cell r="D19">
            <v>12</v>
          </cell>
          <cell r="E19">
            <v>4</v>
          </cell>
          <cell r="F19">
            <v>48</v>
          </cell>
          <cell r="G19">
            <v>1450</v>
          </cell>
          <cell r="H19">
            <v>12</v>
          </cell>
          <cell r="I19">
            <v>3.0644593166607961</v>
          </cell>
          <cell r="J19">
            <v>120</v>
          </cell>
          <cell r="K19" t="str">
            <v>PET 1500</v>
          </cell>
          <cell r="L19" t="str">
            <v>1450 ml</v>
          </cell>
          <cell r="M19" t="str">
            <v>CSD PET</v>
          </cell>
          <cell r="N19" t="str">
            <v>Pepsi Max</v>
          </cell>
          <cell r="V19" t="str">
            <v>18.01.2025</v>
          </cell>
          <cell r="W19">
            <v>45675</v>
          </cell>
        </row>
        <row r="20">
          <cell r="A20" t="str">
            <v>PEPSI VIVO 445ML PET 24X</v>
          </cell>
          <cell r="B20">
            <v>320013624</v>
          </cell>
          <cell r="C20" t="str">
            <v>PEPSI VIVO 445ML PET 24X</v>
          </cell>
          <cell r="D20">
            <v>12</v>
          </cell>
          <cell r="E20">
            <v>6</v>
          </cell>
          <cell r="F20">
            <v>72</v>
          </cell>
          <cell r="G20">
            <v>445</v>
          </cell>
          <cell r="H20">
            <v>24</v>
          </cell>
          <cell r="I20">
            <v>1.8809439943642128</v>
          </cell>
          <cell r="J20">
            <v>180</v>
          </cell>
          <cell r="K20" t="str">
            <v>PET 450</v>
          </cell>
          <cell r="L20" t="str">
            <v>445 ml</v>
          </cell>
          <cell r="M20" t="str">
            <v>CSD PET</v>
          </cell>
          <cell r="N20" t="str">
            <v>Pepsi Vivo</v>
          </cell>
          <cell r="V20" t="str">
            <v>19.01.2025</v>
          </cell>
          <cell r="W20">
            <v>45676</v>
          </cell>
        </row>
        <row r="21">
          <cell r="A21" t="str">
            <v>PEPSI VIVO 550ML PET 24X</v>
          </cell>
          <cell r="B21">
            <v>320013631</v>
          </cell>
          <cell r="C21" t="str">
            <v>PEPSI VIVO 550ML PET 24X</v>
          </cell>
          <cell r="D21">
            <v>10</v>
          </cell>
          <cell r="E21">
            <v>6</v>
          </cell>
          <cell r="F21">
            <v>60</v>
          </cell>
          <cell r="G21">
            <v>550</v>
          </cell>
          <cell r="H21">
            <v>24</v>
          </cell>
          <cell r="I21">
            <v>2.3247622402254313</v>
          </cell>
          <cell r="J21">
            <v>180</v>
          </cell>
          <cell r="K21" t="str">
            <v>PET 550</v>
          </cell>
          <cell r="L21" t="str">
            <v>550 ml</v>
          </cell>
          <cell r="M21" t="str">
            <v>CSD PET</v>
          </cell>
          <cell r="N21" t="str">
            <v>Pepsi Vivo</v>
          </cell>
          <cell r="V21" t="str">
            <v>20.01.2025</v>
          </cell>
          <cell r="W21">
            <v>45677</v>
          </cell>
        </row>
        <row r="22">
          <cell r="A22" t="str">
            <v>PEPSI VIVO 1.45L PET 12X</v>
          </cell>
          <cell r="B22">
            <v>320013632</v>
          </cell>
          <cell r="C22" t="str">
            <v>PEPSI VIVO 1.45L PET 12X</v>
          </cell>
          <cell r="D22">
            <v>11</v>
          </cell>
          <cell r="E22">
            <v>4</v>
          </cell>
          <cell r="F22">
            <v>44</v>
          </cell>
          <cell r="G22">
            <v>1450</v>
          </cell>
          <cell r="H22">
            <v>12</v>
          </cell>
          <cell r="I22">
            <v>3.0644593166607961</v>
          </cell>
          <cell r="J22">
            <v>180</v>
          </cell>
          <cell r="K22" t="str">
            <v>PET 1500</v>
          </cell>
          <cell r="L22" t="str">
            <v>1450 ml</v>
          </cell>
          <cell r="M22" t="str">
            <v>CSD PET</v>
          </cell>
          <cell r="N22" t="str">
            <v>Pepsi Vivo</v>
          </cell>
          <cell r="V22" t="str">
            <v>21.01.2025</v>
          </cell>
          <cell r="W22">
            <v>45678</v>
          </cell>
        </row>
        <row r="23">
          <cell r="A23" t="str">
            <v>7UP 345ML PET 24X_84</v>
          </cell>
          <cell r="B23">
            <v>320010355</v>
          </cell>
          <cell r="C23" t="str">
            <v>7UP 345ML PET 24X</v>
          </cell>
          <cell r="D23">
            <v>12</v>
          </cell>
          <cell r="E23">
            <v>7</v>
          </cell>
          <cell r="F23">
            <v>84</v>
          </cell>
          <cell r="G23">
            <v>345</v>
          </cell>
          <cell r="H23">
            <v>24</v>
          </cell>
          <cell r="I23">
            <v>1.4582599506868617</v>
          </cell>
          <cell r="J23">
            <v>120</v>
          </cell>
          <cell r="K23" t="str">
            <v>PET 350 P24</v>
          </cell>
          <cell r="L23" t="str">
            <v>345 ml</v>
          </cell>
          <cell r="M23" t="str">
            <v>CSD PET</v>
          </cell>
          <cell r="N23" t="str">
            <v>7-Up</v>
          </cell>
          <cell r="V23" t="str">
            <v>22.01.2025</v>
          </cell>
          <cell r="W23">
            <v>45679</v>
          </cell>
        </row>
        <row r="24">
          <cell r="A24" t="str">
            <v>7UP 345ML PET 24X_91</v>
          </cell>
          <cell r="B24">
            <v>320011864</v>
          </cell>
          <cell r="C24" t="str">
            <v>7UP 345ML PET 24X</v>
          </cell>
          <cell r="D24">
            <v>13</v>
          </cell>
          <cell r="E24">
            <v>7</v>
          </cell>
          <cell r="F24">
            <v>91</v>
          </cell>
          <cell r="G24">
            <v>345</v>
          </cell>
          <cell r="H24">
            <v>24</v>
          </cell>
          <cell r="I24">
            <v>1.4582599506868617</v>
          </cell>
          <cell r="J24">
            <v>120</v>
          </cell>
          <cell r="K24" t="str">
            <v>PET 350 P24</v>
          </cell>
          <cell r="L24" t="str">
            <v>345 ml</v>
          </cell>
          <cell r="M24" t="str">
            <v>CSD PET</v>
          </cell>
          <cell r="N24" t="str">
            <v>7-Up</v>
          </cell>
          <cell r="V24" t="str">
            <v>23.01.2025</v>
          </cell>
          <cell r="W24">
            <v>45680</v>
          </cell>
        </row>
        <row r="25">
          <cell r="A25" t="str">
            <v>7UP 345ML PET 24X GC_96</v>
          </cell>
          <cell r="B25">
            <v>320013029</v>
          </cell>
          <cell r="C25" t="str">
            <v>7UP 345ML PET 24X GC</v>
          </cell>
          <cell r="D25">
            <v>16</v>
          </cell>
          <cell r="E25">
            <v>6</v>
          </cell>
          <cell r="F25">
            <v>96</v>
          </cell>
          <cell r="G25">
            <v>345</v>
          </cell>
          <cell r="H25">
            <v>24</v>
          </cell>
          <cell r="I25">
            <v>1.4582599506868617</v>
          </cell>
          <cell r="J25">
            <v>120</v>
          </cell>
          <cell r="K25" t="str">
            <v>PET 350 P24</v>
          </cell>
          <cell r="L25" t="str">
            <v>345 ml</v>
          </cell>
          <cell r="M25" t="str">
            <v>CSD PET</v>
          </cell>
          <cell r="N25" t="str">
            <v>7-Up</v>
          </cell>
          <cell r="V25" t="str">
            <v>24.01.2025</v>
          </cell>
          <cell r="W25">
            <v>45681</v>
          </cell>
        </row>
        <row r="26">
          <cell r="A26" t="str">
            <v>7UP 345ML PET 12X GC_192</v>
          </cell>
          <cell r="B26">
            <v>320016144</v>
          </cell>
          <cell r="C26" t="str">
            <v>7UP 345ML PET 12X GC</v>
          </cell>
          <cell r="D26">
            <v>32</v>
          </cell>
          <cell r="E26">
            <v>6</v>
          </cell>
          <cell r="F26">
            <v>192</v>
          </cell>
          <cell r="G26">
            <v>345</v>
          </cell>
          <cell r="H26">
            <v>12</v>
          </cell>
          <cell r="I26">
            <v>0.72912997534343083</v>
          </cell>
          <cell r="J26">
            <v>120</v>
          </cell>
          <cell r="K26" t="str">
            <v>PET 350 P12</v>
          </cell>
          <cell r="L26" t="str">
            <v>345 ml</v>
          </cell>
          <cell r="M26" t="str">
            <v>CSD PET</v>
          </cell>
          <cell r="N26" t="str">
            <v>7-Up</v>
          </cell>
          <cell r="V26" t="str">
            <v>25.01.2025</v>
          </cell>
          <cell r="W26">
            <v>45682</v>
          </cell>
        </row>
        <row r="27">
          <cell r="A27" t="str">
            <v>7UP 440ML PET 24X_60</v>
          </cell>
          <cell r="B27">
            <v>320010356</v>
          </cell>
          <cell r="C27" t="str">
            <v>7UP 440ML PET 24X</v>
          </cell>
          <cell r="D27">
            <v>10</v>
          </cell>
          <cell r="E27">
            <v>6</v>
          </cell>
          <cell r="F27">
            <v>60</v>
          </cell>
          <cell r="G27">
            <v>440</v>
          </cell>
          <cell r="H27">
            <v>24</v>
          </cell>
          <cell r="I27">
            <v>1.8598097921803451</v>
          </cell>
          <cell r="J27">
            <v>180</v>
          </cell>
          <cell r="K27" t="str">
            <v>PET 450</v>
          </cell>
          <cell r="L27" t="str">
            <v>440 ml</v>
          </cell>
          <cell r="M27" t="str">
            <v>CSD PET</v>
          </cell>
          <cell r="N27" t="str">
            <v>7-Up</v>
          </cell>
          <cell r="V27" t="str">
            <v>26.01.2025</v>
          </cell>
          <cell r="W27">
            <v>45683</v>
          </cell>
        </row>
        <row r="28">
          <cell r="A28" t="str">
            <v>7UP 440ML PET 24X_72</v>
          </cell>
          <cell r="B28">
            <v>320012714</v>
          </cell>
          <cell r="C28" t="str">
            <v>7UP 440ML PET 24X</v>
          </cell>
          <cell r="D28">
            <v>12</v>
          </cell>
          <cell r="E28">
            <v>6</v>
          </cell>
          <cell r="F28">
            <v>72</v>
          </cell>
          <cell r="G28">
            <v>440</v>
          </cell>
          <cell r="H28">
            <v>24</v>
          </cell>
          <cell r="I28">
            <v>1.8598097921803451</v>
          </cell>
          <cell r="J28">
            <v>180</v>
          </cell>
          <cell r="K28" t="str">
            <v>PET 450</v>
          </cell>
          <cell r="L28" t="str">
            <v>440 ml</v>
          </cell>
          <cell r="M28" t="str">
            <v>CSD PET</v>
          </cell>
          <cell r="N28" t="str">
            <v>7-Up</v>
          </cell>
          <cell r="V28" t="str">
            <v>27.01.2025</v>
          </cell>
          <cell r="W28">
            <v>45684</v>
          </cell>
        </row>
        <row r="29">
          <cell r="A29" t="str">
            <v>7UP 505ML PET 24X_54</v>
          </cell>
          <cell r="B29">
            <v>320010357</v>
          </cell>
          <cell r="C29" t="str">
            <v>7UP 505ML PET 24X</v>
          </cell>
          <cell r="D29">
            <v>9</v>
          </cell>
          <cell r="E29">
            <v>6</v>
          </cell>
          <cell r="F29">
            <v>54</v>
          </cell>
          <cell r="G29">
            <v>505</v>
          </cell>
          <cell r="H29">
            <v>24</v>
          </cell>
          <cell r="I29">
            <v>2.1345544205706233</v>
          </cell>
          <cell r="J29">
            <v>180</v>
          </cell>
          <cell r="K29" t="str">
            <v>PET 550</v>
          </cell>
          <cell r="L29" t="str">
            <v>505 ml</v>
          </cell>
          <cell r="M29" t="str">
            <v>CSD PET</v>
          </cell>
          <cell r="N29" t="str">
            <v>7-Up</v>
          </cell>
          <cell r="V29" t="str">
            <v>28.01.2025</v>
          </cell>
          <cell r="W29">
            <v>45685</v>
          </cell>
        </row>
        <row r="30">
          <cell r="A30" t="str">
            <v>7UP 505ML PET 24X_60</v>
          </cell>
          <cell r="B30">
            <v>320012718</v>
          </cell>
          <cell r="C30" t="str">
            <v>7UP 505ML PET 24X</v>
          </cell>
          <cell r="D30">
            <v>10</v>
          </cell>
          <cell r="E30">
            <v>6</v>
          </cell>
          <cell r="F30">
            <v>60</v>
          </cell>
          <cell r="G30">
            <v>505</v>
          </cell>
          <cell r="H30">
            <v>24</v>
          </cell>
          <cell r="I30">
            <v>2.1345544205706233</v>
          </cell>
          <cell r="J30">
            <v>180</v>
          </cell>
          <cell r="K30" t="str">
            <v>PET 550</v>
          </cell>
          <cell r="L30" t="str">
            <v>505 ml</v>
          </cell>
          <cell r="M30" t="str">
            <v>CSD PET</v>
          </cell>
          <cell r="N30" t="str">
            <v>7-Up</v>
          </cell>
          <cell r="V30" t="str">
            <v>29.01.2025</v>
          </cell>
          <cell r="W30">
            <v>45686</v>
          </cell>
        </row>
        <row r="31">
          <cell r="A31" t="str">
            <v>7UP 1L PET 12X_70</v>
          </cell>
          <cell r="B31">
            <v>320010352</v>
          </cell>
          <cell r="C31" t="str">
            <v>7UP 1L PET 12X</v>
          </cell>
          <cell r="D31">
            <v>14</v>
          </cell>
          <cell r="E31">
            <v>5</v>
          </cell>
          <cell r="F31">
            <v>70</v>
          </cell>
          <cell r="G31">
            <v>1000</v>
          </cell>
          <cell r="H31">
            <v>12</v>
          </cell>
          <cell r="I31">
            <v>2.1134202183867559</v>
          </cell>
          <cell r="J31">
            <v>180</v>
          </cell>
          <cell r="K31" t="str">
            <v>PET 1000</v>
          </cell>
          <cell r="L31" t="str">
            <v>1000 ml</v>
          </cell>
          <cell r="M31" t="str">
            <v>CSD PET</v>
          </cell>
          <cell r="N31" t="str">
            <v>7-Up</v>
          </cell>
          <cell r="V31" t="str">
            <v>30.01.2025</v>
          </cell>
          <cell r="W31">
            <v>45687</v>
          </cell>
        </row>
        <row r="32">
          <cell r="A32" t="str">
            <v>7UP 1.45L PET 12X_40</v>
          </cell>
          <cell r="B32">
            <v>320010350</v>
          </cell>
          <cell r="C32" t="str">
            <v>7UP 1.45L PET 12X</v>
          </cell>
          <cell r="D32">
            <v>10</v>
          </cell>
          <cell r="E32">
            <v>4</v>
          </cell>
          <cell r="F32">
            <v>40</v>
          </cell>
          <cell r="G32">
            <v>1450</v>
          </cell>
          <cell r="H32">
            <v>12</v>
          </cell>
          <cell r="I32">
            <v>3.0644593166607961</v>
          </cell>
          <cell r="J32">
            <v>180</v>
          </cell>
          <cell r="K32" t="str">
            <v>PET 1500</v>
          </cell>
          <cell r="L32" t="str">
            <v>1450 ml</v>
          </cell>
          <cell r="M32" t="str">
            <v>CSD PET</v>
          </cell>
          <cell r="N32" t="str">
            <v>7-Up</v>
          </cell>
          <cell r="V32" t="str">
            <v>31.01.2025</v>
          </cell>
          <cell r="W32">
            <v>45688</v>
          </cell>
        </row>
        <row r="33">
          <cell r="A33" t="str">
            <v>7UP 1.45L PET 12X_44</v>
          </cell>
          <cell r="B33">
            <v>320012773</v>
          </cell>
          <cell r="C33" t="str">
            <v>7UP 1.45L PET 12X</v>
          </cell>
          <cell r="D33">
            <v>11</v>
          </cell>
          <cell r="E33">
            <v>4</v>
          </cell>
          <cell r="F33">
            <v>44</v>
          </cell>
          <cell r="G33">
            <v>1450</v>
          </cell>
          <cell r="H33">
            <v>12</v>
          </cell>
          <cell r="I33">
            <v>3.0644593166607961</v>
          </cell>
          <cell r="J33">
            <v>180</v>
          </cell>
          <cell r="K33" t="str">
            <v>PET 1500</v>
          </cell>
          <cell r="L33" t="str">
            <v>1450 ml</v>
          </cell>
          <cell r="M33" t="str">
            <v>CSD PET</v>
          </cell>
          <cell r="N33" t="str">
            <v>7-Up</v>
          </cell>
          <cell r="V33" t="str">
            <v>01.02.2025</v>
          </cell>
          <cell r="W33">
            <v>45689</v>
          </cell>
        </row>
        <row r="34">
          <cell r="A34" t="str">
            <v>MIRINDA ORANGE 345ML PET 24X_84</v>
          </cell>
          <cell r="B34">
            <v>320010372</v>
          </cell>
          <cell r="C34" t="str">
            <v>MIRINDA ORANGE 345ML PET 24X</v>
          </cell>
          <cell r="D34">
            <v>12</v>
          </cell>
          <cell r="E34">
            <v>7</v>
          </cell>
          <cell r="F34">
            <v>84</v>
          </cell>
          <cell r="G34">
            <v>345</v>
          </cell>
          <cell r="H34">
            <v>24</v>
          </cell>
          <cell r="I34">
            <v>1.4582599506868617</v>
          </cell>
          <cell r="J34">
            <v>120</v>
          </cell>
          <cell r="K34" t="str">
            <v>PET 350 P24</v>
          </cell>
          <cell r="L34" t="str">
            <v>345 ml</v>
          </cell>
          <cell r="M34" t="str">
            <v>CSD PET</v>
          </cell>
          <cell r="N34" t="str">
            <v>MRD Orange</v>
          </cell>
          <cell r="V34" t="str">
            <v>02.02.2025</v>
          </cell>
          <cell r="W34">
            <v>45690</v>
          </cell>
        </row>
        <row r="35">
          <cell r="A35" t="str">
            <v>MIRINDA ORANGE 345ML PET 24X_91</v>
          </cell>
          <cell r="B35">
            <v>320011865</v>
          </cell>
          <cell r="C35" t="str">
            <v>MIRINDA ORANGE 345ML PET 24X</v>
          </cell>
          <cell r="D35">
            <v>13</v>
          </cell>
          <cell r="E35">
            <v>7</v>
          </cell>
          <cell r="F35">
            <v>91</v>
          </cell>
          <cell r="G35">
            <v>345</v>
          </cell>
          <cell r="H35">
            <v>24</v>
          </cell>
          <cell r="I35">
            <v>1.4582599506868617</v>
          </cell>
          <cell r="J35">
            <v>120</v>
          </cell>
          <cell r="K35" t="str">
            <v>PET 350 P24</v>
          </cell>
          <cell r="L35" t="str">
            <v>345 ml</v>
          </cell>
          <cell r="M35" t="str">
            <v>CSD PET</v>
          </cell>
          <cell r="N35" t="str">
            <v>MRD Orange</v>
          </cell>
          <cell r="V35" t="str">
            <v>03.02.2025</v>
          </cell>
          <cell r="W35">
            <v>45691</v>
          </cell>
        </row>
        <row r="36">
          <cell r="A36" t="str">
            <v>MIRINDA ORANGE 345ML PET 24X GC_96</v>
          </cell>
          <cell r="B36">
            <v>320013040</v>
          </cell>
          <cell r="C36" t="str">
            <v>MIRINDA ORANGE 345ML PET 24X GC</v>
          </cell>
          <cell r="D36">
            <v>16</v>
          </cell>
          <cell r="E36">
            <v>6</v>
          </cell>
          <cell r="F36">
            <v>96</v>
          </cell>
          <cell r="G36">
            <v>345</v>
          </cell>
          <cell r="H36">
            <v>24</v>
          </cell>
          <cell r="I36">
            <v>1.4582599506868617</v>
          </cell>
          <cell r="J36">
            <v>120</v>
          </cell>
          <cell r="K36" t="str">
            <v>PET 350 P24</v>
          </cell>
          <cell r="L36" t="str">
            <v>345 ml</v>
          </cell>
          <cell r="M36" t="str">
            <v>CSD PET</v>
          </cell>
          <cell r="N36" t="str">
            <v>MRD Orange</v>
          </cell>
          <cell r="V36" t="str">
            <v>04.02.2025</v>
          </cell>
          <cell r="W36">
            <v>45692</v>
          </cell>
        </row>
        <row r="37">
          <cell r="A37" t="str">
            <v>MIRINDA ORANGE 345ML PET 12X GC_192</v>
          </cell>
          <cell r="B37">
            <v>320016145</v>
          </cell>
          <cell r="C37" t="str">
            <v>MIRINDA ORANGE 345ML PET 12X GC</v>
          </cell>
          <cell r="D37">
            <v>32</v>
          </cell>
          <cell r="E37">
            <v>6</v>
          </cell>
          <cell r="F37">
            <v>192</v>
          </cell>
          <cell r="G37">
            <v>345</v>
          </cell>
          <cell r="H37">
            <v>12</v>
          </cell>
          <cell r="I37">
            <v>0.72912997534343083</v>
          </cell>
          <cell r="J37">
            <v>120</v>
          </cell>
          <cell r="K37" t="str">
            <v>PET 350 P12</v>
          </cell>
          <cell r="L37" t="str">
            <v>345 ml</v>
          </cell>
          <cell r="M37" t="str">
            <v>CSD PET</v>
          </cell>
          <cell r="N37" t="str">
            <v>MRD Orange</v>
          </cell>
          <cell r="V37" t="str">
            <v>05.02.2025</v>
          </cell>
          <cell r="W37">
            <v>45693</v>
          </cell>
        </row>
        <row r="38">
          <cell r="A38" t="str">
            <v>MIRINDA ORANGE 440ML PET 24X_60</v>
          </cell>
          <cell r="B38">
            <v>320010373</v>
          </cell>
          <cell r="C38" t="str">
            <v>MIRINDA ORANGE 440ML PET 24X</v>
          </cell>
          <cell r="D38">
            <v>10</v>
          </cell>
          <cell r="E38">
            <v>6</v>
          </cell>
          <cell r="F38">
            <v>60</v>
          </cell>
          <cell r="G38">
            <v>440</v>
          </cell>
          <cell r="H38">
            <v>24</v>
          </cell>
          <cell r="I38">
            <v>1.8598097921803451</v>
          </cell>
          <cell r="J38">
            <v>180</v>
          </cell>
          <cell r="K38" t="str">
            <v>PET 450</v>
          </cell>
          <cell r="L38" t="str">
            <v>440 ml</v>
          </cell>
          <cell r="M38" t="str">
            <v>CSD PET</v>
          </cell>
          <cell r="N38" t="str">
            <v>MRD Orange</v>
          </cell>
          <cell r="V38" t="str">
            <v>06.02.2025</v>
          </cell>
          <cell r="W38">
            <v>45694</v>
          </cell>
        </row>
        <row r="39">
          <cell r="A39" t="str">
            <v>MIRINDA ORANGE 440ML PET 24X_72</v>
          </cell>
          <cell r="B39">
            <v>320012715</v>
          </cell>
          <cell r="C39" t="str">
            <v>MIRINDA ORANGE 440ML PET 24X</v>
          </cell>
          <cell r="D39">
            <v>12</v>
          </cell>
          <cell r="E39">
            <v>6</v>
          </cell>
          <cell r="F39">
            <v>72</v>
          </cell>
          <cell r="G39">
            <v>440</v>
          </cell>
          <cell r="H39">
            <v>24</v>
          </cell>
          <cell r="I39">
            <v>1.8598097921803451</v>
          </cell>
          <cell r="J39">
            <v>180</v>
          </cell>
          <cell r="K39" t="str">
            <v>PET 450</v>
          </cell>
          <cell r="L39" t="str">
            <v>440 ml</v>
          </cell>
          <cell r="M39" t="str">
            <v>CSD PET</v>
          </cell>
          <cell r="N39" t="str">
            <v>MRD Orange</v>
          </cell>
          <cell r="V39" t="str">
            <v>07.02.2025</v>
          </cell>
          <cell r="W39">
            <v>45695</v>
          </cell>
        </row>
        <row r="40">
          <cell r="A40" t="str">
            <v>MIRINDA ORANGE 505ML PET 24X_54</v>
          </cell>
          <cell r="B40">
            <v>320010374</v>
          </cell>
          <cell r="C40" t="str">
            <v>MIRINDA ORANGE 505ML PET 24X</v>
          </cell>
          <cell r="D40">
            <v>9</v>
          </cell>
          <cell r="E40">
            <v>6</v>
          </cell>
          <cell r="F40">
            <v>54</v>
          </cell>
          <cell r="G40">
            <v>505</v>
          </cell>
          <cell r="H40">
            <v>24</v>
          </cell>
          <cell r="I40">
            <v>2.1345544205706233</v>
          </cell>
          <cell r="J40">
            <v>180</v>
          </cell>
          <cell r="K40" t="str">
            <v>PET 550</v>
          </cell>
          <cell r="L40" t="str">
            <v>505 ml</v>
          </cell>
          <cell r="M40" t="str">
            <v>CSD PET</v>
          </cell>
          <cell r="N40" t="str">
            <v>MRD Orange</v>
          </cell>
          <cell r="V40" t="str">
            <v>08.02.2025</v>
          </cell>
          <cell r="W40">
            <v>45696</v>
          </cell>
        </row>
        <row r="41">
          <cell r="A41" t="str">
            <v>MIRINDA ORANGE 505ML PET 24X_60</v>
          </cell>
          <cell r="B41">
            <v>320012719</v>
          </cell>
          <cell r="C41" t="str">
            <v>MIRINDA ORANGE 505ML PET 24X</v>
          </cell>
          <cell r="D41">
            <v>10</v>
          </cell>
          <cell r="E41">
            <v>6</v>
          </cell>
          <cell r="F41">
            <v>60</v>
          </cell>
          <cell r="G41">
            <v>505</v>
          </cell>
          <cell r="H41">
            <v>24</v>
          </cell>
          <cell r="I41">
            <v>2.1345544205706233</v>
          </cell>
          <cell r="J41">
            <v>180</v>
          </cell>
          <cell r="K41" t="str">
            <v>PET 550</v>
          </cell>
          <cell r="L41" t="str">
            <v>505 ml</v>
          </cell>
          <cell r="M41" t="str">
            <v>CSD PET</v>
          </cell>
          <cell r="N41" t="str">
            <v>MRD Orange</v>
          </cell>
          <cell r="V41" t="str">
            <v>09.02.2025</v>
          </cell>
          <cell r="W41">
            <v>45697</v>
          </cell>
        </row>
        <row r="42">
          <cell r="A42" t="str">
            <v>MIRINDA ORANGE 1L PET 12X_70</v>
          </cell>
          <cell r="B42">
            <v>320010369</v>
          </cell>
          <cell r="C42" t="str">
            <v>MIRINDA ORANGE 1L PET 12X</v>
          </cell>
          <cell r="D42">
            <v>14</v>
          </cell>
          <cell r="E42">
            <v>5</v>
          </cell>
          <cell r="F42">
            <v>70</v>
          </cell>
          <cell r="G42">
            <v>1000</v>
          </cell>
          <cell r="H42">
            <v>12</v>
          </cell>
          <cell r="I42">
            <v>2.1134202183867559</v>
          </cell>
          <cell r="J42">
            <v>180</v>
          </cell>
          <cell r="K42" t="str">
            <v>PET 1000</v>
          </cell>
          <cell r="L42" t="str">
            <v>1000 ml</v>
          </cell>
          <cell r="M42" t="str">
            <v>CSD PET</v>
          </cell>
          <cell r="N42" t="str">
            <v>MRD Orange</v>
          </cell>
          <cell r="V42" t="str">
            <v>10.02.2025</v>
          </cell>
          <cell r="W42">
            <v>45698</v>
          </cell>
        </row>
        <row r="43">
          <cell r="A43" t="str">
            <v>MIRINDA ORANGE 1LW260ML PET 12X BP</v>
          </cell>
          <cell r="B43">
            <v>320015548</v>
          </cell>
          <cell r="C43" t="str">
            <v>MIRINDA ORANGE 1LW260ML PET 12X BP</v>
          </cell>
          <cell r="D43">
            <v>10</v>
          </cell>
          <cell r="E43">
            <v>4</v>
          </cell>
          <cell r="F43">
            <v>40</v>
          </cell>
          <cell r="G43">
            <v>1260</v>
          </cell>
          <cell r="H43">
            <v>12</v>
          </cell>
          <cell r="I43">
            <v>2.6629094751673126</v>
          </cell>
          <cell r="J43">
            <v>180</v>
          </cell>
          <cell r="K43" t="str">
            <v>PET 1250</v>
          </cell>
          <cell r="L43" t="str">
            <v>1260 ml</v>
          </cell>
          <cell r="M43" t="str">
            <v>CSD PET</v>
          </cell>
          <cell r="N43" t="str">
            <v>MRD Orange</v>
          </cell>
          <cell r="V43" t="str">
            <v>11.02.2025</v>
          </cell>
          <cell r="W43">
            <v>45699</v>
          </cell>
        </row>
        <row r="44">
          <cell r="A44" t="str">
            <v>MIRINDA ORANGE 1.26L PET 12X_44</v>
          </cell>
          <cell r="B44">
            <v>320017877</v>
          </cell>
          <cell r="C44" t="str">
            <v>MIRINDA ORANGE 1.26L PET 12X</v>
          </cell>
          <cell r="D44">
            <v>11</v>
          </cell>
          <cell r="E44">
            <v>4</v>
          </cell>
          <cell r="F44">
            <v>44</v>
          </cell>
          <cell r="G44">
            <v>1260</v>
          </cell>
          <cell r="H44">
            <v>12</v>
          </cell>
          <cell r="I44">
            <v>2.6629094751673126</v>
          </cell>
          <cell r="J44">
            <v>180</v>
          </cell>
          <cell r="K44" t="str">
            <v>PET 1250</v>
          </cell>
          <cell r="L44" t="str">
            <v>1260 ml</v>
          </cell>
          <cell r="M44" t="str">
            <v>CSD PET</v>
          </cell>
          <cell r="N44" t="str">
            <v>MRD Orange</v>
          </cell>
          <cell r="V44" t="str">
            <v>12.02.2025</v>
          </cell>
          <cell r="W44">
            <v>45700</v>
          </cell>
        </row>
        <row r="45">
          <cell r="A45" t="str">
            <v>MIRINDA ORANGE 1.26L PET 12X NP_44</v>
          </cell>
          <cell r="B45">
            <v>320020361</v>
          </cell>
          <cell r="C45" t="str">
            <v>MIRINDA ORANGE 1.26L PET 12X NP_44</v>
          </cell>
          <cell r="D45">
            <v>11</v>
          </cell>
          <cell r="E45">
            <v>4</v>
          </cell>
          <cell r="F45">
            <v>44</v>
          </cell>
          <cell r="G45">
            <v>1260</v>
          </cell>
          <cell r="H45">
            <v>12</v>
          </cell>
          <cell r="I45">
            <v>2.6629094751673126</v>
          </cell>
          <cell r="J45">
            <v>180</v>
          </cell>
          <cell r="K45" t="str">
            <v>PET 1250</v>
          </cell>
          <cell r="L45" t="str">
            <v>1260 ml</v>
          </cell>
          <cell r="M45" t="str">
            <v>CSD PET</v>
          </cell>
          <cell r="N45" t="str">
            <v>MRD Orange</v>
          </cell>
          <cell r="V45" t="str">
            <v>13.02.2025</v>
          </cell>
          <cell r="W45">
            <v>45701</v>
          </cell>
        </row>
        <row r="46">
          <cell r="A46" t="str">
            <v>MIRINDA ORANGE 1.26L PET 12X_48</v>
          </cell>
          <cell r="B46">
            <v>320020692</v>
          </cell>
          <cell r="C46" t="str">
            <v>MIRINDA ORANGE 1.26L PET 12X NP_48</v>
          </cell>
          <cell r="D46">
            <v>12</v>
          </cell>
          <cell r="E46">
            <v>4</v>
          </cell>
          <cell r="F46">
            <v>48</v>
          </cell>
          <cell r="G46">
            <v>1260</v>
          </cell>
          <cell r="H46">
            <v>12</v>
          </cell>
          <cell r="I46">
            <v>2.6629094751673126</v>
          </cell>
          <cell r="J46">
            <v>180</v>
          </cell>
          <cell r="K46" t="str">
            <v>PET 1250</v>
          </cell>
          <cell r="L46" t="str">
            <v>1260 ml</v>
          </cell>
          <cell r="M46" t="str">
            <v>CSD PET</v>
          </cell>
          <cell r="N46" t="str">
            <v>MRD Orange</v>
          </cell>
          <cell r="V46" t="str">
            <v>14.02.2025</v>
          </cell>
          <cell r="W46">
            <v>45702</v>
          </cell>
        </row>
        <row r="47">
          <cell r="A47" t="str">
            <v>MIRINDA ORANGE 1.45L PET 12X_40</v>
          </cell>
          <cell r="B47">
            <v>320010367</v>
          </cell>
          <cell r="C47" t="str">
            <v>MIRINDA ORANGE 1.45L PET 12X</v>
          </cell>
          <cell r="D47">
            <v>10</v>
          </cell>
          <cell r="E47">
            <v>4</v>
          </cell>
          <cell r="F47">
            <v>40</v>
          </cell>
          <cell r="G47">
            <v>1450</v>
          </cell>
          <cell r="H47">
            <v>12</v>
          </cell>
          <cell r="I47">
            <v>3.0644593166607961</v>
          </cell>
          <cell r="J47">
            <v>180</v>
          </cell>
          <cell r="K47" t="str">
            <v>PET 1500</v>
          </cell>
          <cell r="L47" t="str">
            <v>1450 ml</v>
          </cell>
          <cell r="M47" t="str">
            <v>CSD PET</v>
          </cell>
          <cell r="N47" t="str">
            <v>MRD Orange</v>
          </cell>
          <cell r="V47" t="str">
            <v>15.02.2025</v>
          </cell>
          <cell r="W47">
            <v>45703</v>
          </cell>
        </row>
        <row r="48">
          <cell r="A48" t="str">
            <v>MIRINDA ORANGE 1.45L PET 12X_44</v>
          </cell>
          <cell r="B48">
            <v>320012774</v>
          </cell>
          <cell r="C48" t="str">
            <v>MIRINDA ORANGE 1.45L PET 12X</v>
          </cell>
          <cell r="D48">
            <v>11</v>
          </cell>
          <cell r="E48">
            <v>4</v>
          </cell>
          <cell r="F48">
            <v>44</v>
          </cell>
          <cell r="G48">
            <v>1450</v>
          </cell>
          <cell r="H48">
            <v>12</v>
          </cell>
          <cell r="I48">
            <v>3.0644593166607961</v>
          </cell>
          <cell r="J48">
            <v>180</v>
          </cell>
          <cell r="K48" t="str">
            <v>PET 1500</v>
          </cell>
          <cell r="L48" t="str">
            <v>1450 ml</v>
          </cell>
          <cell r="M48" t="str">
            <v>CSD PET</v>
          </cell>
          <cell r="N48" t="str">
            <v>MRD Orange</v>
          </cell>
          <cell r="V48" t="str">
            <v>16.02.2025</v>
          </cell>
          <cell r="W48">
            <v>45704</v>
          </cell>
        </row>
        <row r="49">
          <cell r="A49" t="str">
            <v>MIRINDA ORANGE 1.9L PET 6X_64</v>
          </cell>
          <cell r="B49">
            <v>320018090</v>
          </cell>
          <cell r="C49" t="str">
            <v>MIRINDA ORANGE 1.9L PET 6X</v>
          </cell>
          <cell r="D49">
            <v>16</v>
          </cell>
          <cell r="E49">
            <v>4</v>
          </cell>
          <cell r="F49">
            <v>64</v>
          </cell>
          <cell r="G49">
            <v>1900</v>
          </cell>
          <cell r="H49">
            <v>6</v>
          </cell>
          <cell r="I49">
            <v>2.0077492074674179</v>
          </cell>
          <cell r="J49">
            <v>180</v>
          </cell>
          <cell r="K49" t="str">
            <v>PET 2000</v>
          </cell>
          <cell r="L49" t="str">
            <v>1900 ml</v>
          </cell>
          <cell r="M49" t="str">
            <v>CSD PET</v>
          </cell>
          <cell r="N49" t="str">
            <v>MRD Orange</v>
          </cell>
          <cell r="V49" t="str">
            <v>17.02.2025</v>
          </cell>
          <cell r="W49">
            <v>45705</v>
          </cell>
        </row>
        <row r="50">
          <cell r="A50" t="str">
            <v>MIRINDA STRWB 330ML PET 24X_91</v>
          </cell>
          <cell r="B50">
            <v>320016149</v>
          </cell>
          <cell r="C50" t="str">
            <v>MIRINDA STRWB 330ML PET 24X</v>
          </cell>
          <cell r="D50">
            <v>13</v>
          </cell>
          <cell r="E50">
            <v>7</v>
          </cell>
          <cell r="F50">
            <v>91</v>
          </cell>
          <cell r="G50">
            <v>330</v>
          </cell>
          <cell r="H50">
            <v>24</v>
          </cell>
          <cell r="I50">
            <v>1.394857344135259</v>
          </cell>
          <cell r="J50">
            <v>120</v>
          </cell>
          <cell r="K50" t="str">
            <v>PET 350 P24</v>
          </cell>
          <cell r="L50" t="str">
            <v>330ml</v>
          </cell>
          <cell r="M50" t="str">
            <v>CSD PET</v>
          </cell>
          <cell r="N50" t="str">
            <v>MRD Strawberry</v>
          </cell>
          <cell r="V50" t="str">
            <v>18.02.2025</v>
          </cell>
          <cell r="W50">
            <v>45706</v>
          </cell>
        </row>
        <row r="51">
          <cell r="A51" t="str">
            <v>MIRINDA STRWB 345ML PET 24X_84</v>
          </cell>
          <cell r="B51">
            <v>320010386</v>
          </cell>
          <cell r="C51" t="str">
            <v>MIRINDA STRWB 345ML PET 24X</v>
          </cell>
          <cell r="D51">
            <v>12</v>
          </cell>
          <cell r="E51">
            <v>7</v>
          </cell>
          <cell r="F51">
            <v>84</v>
          </cell>
          <cell r="G51">
            <v>345</v>
          </cell>
          <cell r="H51">
            <v>24</v>
          </cell>
          <cell r="I51">
            <v>1.4582599506868617</v>
          </cell>
          <cell r="J51">
            <v>120</v>
          </cell>
          <cell r="K51" t="str">
            <v>PET 350 P24</v>
          </cell>
          <cell r="L51" t="str">
            <v>345 ml</v>
          </cell>
          <cell r="M51" t="str">
            <v>CSD PET</v>
          </cell>
          <cell r="N51" t="str">
            <v>MRD Strawberry</v>
          </cell>
          <cell r="V51" t="str">
            <v>19.02.2025</v>
          </cell>
          <cell r="W51">
            <v>45707</v>
          </cell>
        </row>
        <row r="52">
          <cell r="A52" t="str">
            <v>MIRINDA STRWB 345ML PET 24X_91</v>
          </cell>
          <cell r="B52">
            <v>320011866</v>
          </cell>
          <cell r="C52" t="str">
            <v>MIRINDA STRWB 345ML PET 24X</v>
          </cell>
          <cell r="D52">
            <v>13</v>
          </cell>
          <cell r="E52">
            <v>7</v>
          </cell>
          <cell r="F52">
            <v>91</v>
          </cell>
          <cell r="G52">
            <v>345</v>
          </cell>
          <cell r="H52">
            <v>24</v>
          </cell>
          <cell r="I52">
            <v>1.4582599506868617</v>
          </cell>
          <cell r="J52">
            <v>120</v>
          </cell>
          <cell r="K52" t="str">
            <v>PET 350 P24</v>
          </cell>
          <cell r="L52" t="str">
            <v>345 ml</v>
          </cell>
          <cell r="M52" t="str">
            <v>CSD PET</v>
          </cell>
          <cell r="N52" t="str">
            <v>MRD Strawberry</v>
          </cell>
          <cell r="V52" t="str">
            <v>20.02.2025</v>
          </cell>
          <cell r="W52">
            <v>45708</v>
          </cell>
        </row>
        <row r="53">
          <cell r="A53" t="str">
            <v>MIRINDA STRWB 345ML PET 24X GC_96</v>
          </cell>
          <cell r="B53">
            <v>320013041</v>
          </cell>
          <cell r="C53" t="str">
            <v>MIRINDA STRWB 345ML PET 24X GC</v>
          </cell>
          <cell r="D53">
            <v>16</v>
          </cell>
          <cell r="E53">
            <v>6</v>
          </cell>
          <cell r="F53">
            <v>96</v>
          </cell>
          <cell r="G53">
            <v>345</v>
          </cell>
          <cell r="H53">
            <v>24</v>
          </cell>
          <cell r="I53">
            <v>1.4582599506868617</v>
          </cell>
          <cell r="J53">
            <v>120</v>
          </cell>
          <cell r="K53" t="str">
            <v>PET 350 P24</v>
          </cell>
          <cell r="L53" t="str">
            <v>345 ml</v>
          </cell>
          <cell r="M53" t="str">
            <v>CSD PET</v>
          </cell>
          <cell r="N53" t="str">
            <v>MRD Strawberry</v>
          </cell>
          <cell r="V53" t="str">
            <v>21.02.2025</v>
          </cell>
          <cell r="W53">
            <v>45709</v>
          </cell>
        </row>
        <row r="54">
          <cell r="A54" t="str">
            <v>MIRINDA STRWB 345ML PET 12X GC_192</v>
          </cell>
          <cell r="B54">
            <v>320016146</v>
          </cell>
          <cell r="C54" t="str">
            <v>MIRINDA STRWB 345ML PET 12X GC</v>
          </cell>
          <cell r="D54">
            <v>32</v>
          </cell>
          <cell r="E54">
            <v>6</v>
          </cell>
          <cell r="F54">
            <v>192</v>
          </cell>
          <cell r="G54">
            <v>345</v>
          </cell>
          <cell r="H54">
            <v>12</v>
          </cell>
          <cell r="I54">
            <v>0.72912997534343083</v>
          </cell>
          <cell r="J54">
            <v>120</v>
          </cell>
          <cell r="K54" t="str">
            <v>PET 350 P12</v>
          </cell>
          <cell r="L54" t="str">
            <v>345 ml</v>
          </cell>
          <cell r="M54" t="str">
            <v>CSD PET</v>
          </cell>
          <cell r="N54" t="str">
            <v>MRD Strawberry</v>
          </cell>
          <cell r="V54" t="str">
            <v>22.02.2025</v>
          </cell>
          <cell r="W54">
            <v>45710</v>
          </cell>
        </row>
        <row r="55">
          <cell r="A55" t="str">
            <v>MIRINDA STRWB 505ML PET 24X_54</v>
          </cell>
          <cell r="B55">
            <v>320010388</v>
          </cell>
          <cell r="C55" t="str">
            <v>MIRINDA STRWB 505ML PET 24X</v>
          </cell>
          <cell r="D55">
            <v>9</v>
          </cell>
          <cell r="E55">
            <v>6</v>
          </cell>
          <cell r="F55">
            <v>54</v>
          </cell>
          <cell r="G55">
            <v>505</v>
          </cell>
          <cell r="H55">
            <v>24</v>
          </cell>
          <cell r="I55">
            <v>2.1345544205706233</v>
          </cell>
          <cell r="J55">
            <v>180</v>
          </cell>
          <cell r="K55" t="str">
            <v>PET 550</v>
          </cell>
          <cell r="L55" t="str">
            <v>505 ml</v>
          </cell>
          <cell r="M55" t="str">
            <v>CSD PET</v>
          </cell>
          <cell r="N55" t="str">
            <v>MRD Strawberry</v>
          </cell>
          <cell r="V55" t="str">
            <v>23.02.2025</v>
          </cell>
          <cell r="W55">
            <v>45711</v>
          </cell>
        </row>
        <row r="56">
          <cell r="A56" t="str">
            <v>MIRINDA STRWB 505ML PET 24X_60</v>
          </cell>
          <cell r="B56">
            <v>320012770</v>
          </cell>
          <cell r="C56" t="str">
            <v>MIRINDA STRWB 505ML PET 24X</v>
          </cell>
          <cell r="D56">
            <v>10</v>
          </cell>
          <cell r="E56">
            <v>6</v>
          </cell>
          <cell r="F56">
            <v>60</v>
          </cell>
          <cell r="G56">
            <v>505</v>
          </cell>
          <cell r="H56">
            <v>24</v>
          </cell>
          <cell r="I56">
            <v>2.1345544205706233</v>
          </cell>
          <cell r="J56">
            <v>180</v>
          </cell>
          <cell r="K56" t="str">
            <v>PET 550</v>
          </cell>
          <cell r="L56" t="str">
            <v>505 ml</v>
          </cell>
          <cell r="M56" t="str">
            <v>CSD PET</v>
          </cell>
          <cell r="N56" t="str">
            <v>MRD Strawberry</v>
          </cell>
          <cell r="V56" t="str">
            <v>24.02.2025</v>
          </cell>
          <cell r="W56">
            <v>45712</v>
          </cell>
        </row>
        <row r="57">
          <cell r="A57" t="str">
            <v>MIRINDA STRWB 1L PET 12X_70</v>
          </cell>
          <cell r="B57">
            <v>320010383</v>
          </cell>
          <cell r="C57" t="str">
            <v>MIRINDA STRWB 1L PET 12X</v>
          </cell>
          <cell r="D57">
            <v>14</v>
          </cell>
          <cell r="E57">
            <v>5</v>
          </cell>
          <cell r="F57">
            <v>70</v>
          </cell>
          <cell r="G57">
            <v>1000</v>
          </cell>
          <cell r="H57">
            <v>12</v>
          </cell>
          <cell r="I57">
            <v>2.1134202183867559</v>
          </cell>
          <cell r="J57">
            <v>180</v>
          </cell>
          <cell r="K57" t="str">
            <v>PET 1000</v>
          </cell>
          <cell r="L57" t="str">
            <v>1000 ml</v>
          </cell>
          <cell r="M57" t="str">
            <v>CSD PET</v>
          </cell>
          <cell r="N57" t="str">
            <v>MRD Strawberry</v>
          </cell>
          <cell r="V57" t="str">
            <v>25.02.2025</v>
          </cell>
          <cell r="W57">
            <v>45713</v>
          </cell>
        </row>
        <row r="58">
          <cell r="A58" t="str">
            <v>MIRINDA STRWB 1.26L PET 12X_44</v>
          </cell>
          <cell r="B58">
            <v>320017878</v>
          </cell>
          <cell r="C58" t="str">
            <v>MIRINDA STRWB 1.26L PET 12X</v>
          </cell>
          <cell r="D58">
            <v>11</v>
          </cell>
          <cell r="E58">
            <v>4</v>
          </cell>
          <cell r="F58">
            <v>44</v>
          </cell>
          <cell r="G58">
            <v>1260</v>
          </cell>
          <cell r="H58">
            <v>12</v>
          </cell>
          <cell r="I58">
            <v>2.6629094751673126</v>
          </cell>
          <cell r="J58">
            <v>180</v>
          </cell>
          <cell r="K58" t="str">
            <v>PET 1250</v>
          </cell>
          <cell r="L58" t="str">
            <v>1260 ml</v>
          </cell>
          <cell r="M58" t="str">
            <v>CSD PET</v>
          </cell>
          <cell r="N58" t="str">
            <v>MRD Strawberry</v>
          </cell>
          <cell r="V58" t="str">
            <v>26.02.2025</v>
          </cell>
          <cell r="W58">
            <v>45714</v>
          </cell>
        </row>
        <row r="59">
          <cell r="A59" t="str">
            <v>MIRINDA STRWB 1.26L PET 12X NP_44</v>
          </cell>
          <cell r="B59">
            <v>320020362</v>
          </cell>
          <cell r="C59" t="str">
            <v>MIRINDA STRWB 1.26L PET 12X NP_44</v>
          </cell>
          <cell r="D59">
            <v>11</v>
          </cell>
          <cell r="E59">
            <v>4</v>
          </cell>
          <cell r="F59">
            <v>44</v>
          </cell>
          <cell r="G59">
            <v>1260</v>
          </cell>
          <cell r="H59">
            <v>12</v>
          </cell>
          <cell r="I59">
            <v>2.6629094751673126</v>
          </cell>
          <cell r="J59">
            <v>180</v>
          </cell>
          <cell r="K59" t="str">
            <v>PET 1250</v>
          </cell>
          <cell r="L59" t="str">
            <v>1260 ml</v>
          </cell>
          <cell r="M59" t="str">
            <v>CSD PET</v>
          </cell>
          <cell r="N59" t="str">
            <v>MRD Strawberry</v>
          </cell>
          <cell r="V59" t="str">
            <v>27.02.2025</v>
          </cell>
          <cell r="W59">
            <v>45715</v>
          </cell>
        </row>
        <row r="60">
          <cell r="A60" t="str">
            <v>MIRINDA STRWB 1.26L PET 12X_48</v>
          </cell>
          <cell r="B60">
            <v>320020693</v>
          </cell>
          <cell r="C60" t="str">
            <v>MIRINDA STRWB 1.26L PET 12X</v>
          </cell>
          <cell r="D60">
            <v>12</v>
          </cell>
          <cell r="E60">
            <v>4</v>
          </cell>
          <cell r="F60">
            <v>48</v>
          </cell>
          <cell r="G60">
            <v>1260</v>
          </cell>
          <cell r="H60">
            <v>12</v>
          </cell>
          <cell r="I60">
            <v>2.6629094751673126</v>
          </cell>
          <cell r="J60">
            <v>180</v>
          </cell>
          <cell r="K60" t="str">
            <v>PET 1250</v>
          </cell>
          <cell r="L60" t="str">
            <v>1260 ml</v>
          </cell>
          <cell r="M60" t="str">
            <v>CSD PET</v>
          </cell>
          <cell r="N60" t="str">
            <v>MRD Strawberry</v>
          </cell>
          <cell r="V60" t="str">
            <v>28.02.2025</v>
          </cell>
          <cell r="W60">
            <v>45716</v>
          </cell>
        </row>
        <row r="61">
          <cell r="A61" t="str">
            <v>MIRINDA STRWB 1.45L PET 12X_40</v>
          </cell>
          <cell r="B61">
            <v>320010381</v>
          </cell>
          <cell r="C61" t="str">
            <v>MIRINDA STRWB 1.45L PET 12X</v>
          </cell>
          <cell r="D61">
            <v>10</v>
          </cell>
          <cell r="E61">
            <v>4</v>
          </cell>
          <cell r="F61">
            <v>40</v>
          </cell>
          <cell r="G61">
            <v>1450</v>
          </cell>
          <cell r="H61">
            <v>12</v>
          </cell>
          <cell r="I61">
            <v>3.0644593166607961</v>
          </cell>
          <cell r="J61">
            <v>180</v>
          </cell>
          <cell r="K61" t="str">
            <v>PET 1500</v>
          </cell>
          <cell r="L61" t="str">
            <v>1450 ml</v>
          </cell>
          <cell r="M61" t="str">
            <v>CSD PET</v>
          </cell>
          <cell r="N61" t="str">
            <v>MRD Strawberry</v>
          </cell>
          <cell r="V61" t="str">
            <v>01.03.2025</v>
          </cell>
          <cell r="W61">
            <v>45717</v>
          </cell>
        </row>
        <row r="62">
          <cell r="A62" t="str">
            <v>MIRINDA STRWB 1.45L PET 12X_44</v>
          </cell>
          <cell r="B62">
            <v>320012775</v>
          </cell>
          <cell r="C62" t="str">
            <v>MIRINDA STRWB 1.45L PET 12X</v>
          </cell>
          <cell r="D62">
            <v>11</v>
          </cell>
          <cell r="E62">
            <v>4</v>
          </cell>
          <cell r="F62">
            <v>44</v>
          </cell>
          <cell r="G62">
            <v>1450</v>
          </cell>
          <cell r="H62">
            <v>12</v>
          </cell>
          <cell r="I62">
            <v>3.0644593166607961</v>
          </cell>
          <cell r="J62">
            <v>180</v>
          </cell>
          <cell r="K62" t="str">
            <v>PET 1500</v>
          </cell>
          <cell r="L62" t="str">
            <v>1450 ml</v>
          </cell>
          <cell r="M62" t="str">
            <v>CSD PET</v>
          </cell>
          <cell r="N62" t="str">
            <v>MRD Strawberry</v>
          </cell>
          <cell r="V62" t="str">
            <v>02.03.2025</v>
          </cell>
          <cell r="W62">
            <v>45718</v>
          </cell>
        </row>
        <row r="63">
          <cell r="A63" t="str">
            <v>MIRINDA STRWB 1.9L PET 6X_64</v>
          </cell>
          <cell r="B63">
            <v>320018091</v>
          </cell>
          <cell r="C63" t="str">
            <v>MIRINDA STRWB 1.9L PET 6X</v>
          </cell>
          <cell r="D63">
            <v>16</v>
          </cell>
          <cell r="E63">
            <v>4</v>
          </cell>
          <cell r="F63">
            <v>64</v>
          </cell>
          <cell r="G63">
            <v>1900</v>
          </cell>
          <cell r="H63">
            <v>6</v>
          </cell>
          <cell r="I63">
            <v>2.0077492074674179</v>
          </cell>
          <cell r="J63">
            <v>180</v>
          </cell>
          <cell r="K63" t="str">
            <v>PET 2000</v>
          </cell>
          <cell r="L63" t="str">
            <v>1900 ml</v>
          </cell>
          <cell r="M63" t="str">
            <v>CSD PET</v>
          </cell>
          <cell r="N63" t="str">
            <v>MRD Strawberry</v>
          </cell>
          <cell r="V63" t="str">
            <v>03.03.2025</v>
          </cell>
          <cell r="W63">
            <v>45719</v>
          </cell>
        </row>
        <row r="64">
          <cell r="A64" t="str">
            <v>MIRINDA GRN CRM 505ML PET 24X_54</v>
          </cell>
          <cell r="B64">
            <v>320010366</v>
          </cell>
          <cell r="C64" t="str">
            <v>MIRINDA GRN CRM 505ML PET 24X</v>
          </cell>
          <cell r="D64">
            <v>9</v>
          </cell>
          <cell r="E64">
            <v>6</v>
          </cell>
          <cell r="F64">
            <v>54</v>
          </cell>
          <cell r="G64">
            <v>505</v>
          </cell>
          <cell r="H64">
            <v>24</v>
          </cell>
          <cell r="I64">
            <v>2.1345544205706233</v>
          </cell>
          <cell r="J64">
            <v>180</v>
          </cell>
          <cell r="K64" t="str">
            <v>PET 550</v>
          </cell>
          <cell r="L64" t="str">
            <v>505 ml</v>
          </cell>
          <cell r="M64" t="str">
            <v>CSD PET</v>
          </cell>
          <cell r="N64" t="str">
            <v>MRD Green Cream</v>
          </cell>
          <cell r="V64" t="str">
            <v>04.03.2025</v>
          </cell>
          <cell r="W64">
            <v>45720</v>
          </cell>
        </row>
        <row r="65">
          <cell r="A65" t="str">
            <v>MIRINDA GRN CRM 505ML PET 24X_60</v>
          </cell>
          <cell r="B65">
            <v>320012771</v>
          </cell>
          <cell r="C65" t="str">
            <v>MIRINDA GRN CRM 505ML PET 24X</v>
          </cell>
          <cell r="D65">
            <v>10</v>
          </cell>
          <cell r="E65">
            <v>6</v>
          </cell>
          <cell r="F65">
            <v>60</v>
          </cell>
          <cell r="G65">
            <v>505</v>
          </cell>
          <cell r="H65">
            <v>24</v>
          </cell>
          <cell r="I65">
            <v>2.1345544205706233</v>
          </cell>
          <cell r="J65">
            <v>180</v>
          </cell>
          <cell r="K65" t="str">
            <v>PET 550</v>
          </cell>
          <cell r="L65" t="str">
            <v>505 ml</v>
          </cell>
          <cell r="M65" t="str">
            <v>CSD PET</v>
          </cell>
          <cell r="N65" t="str">
            <v>MRD Green Cream</v>
          </cell>
          <cell r="V65" t="str">
            <v>05.03.2025</v>
          </cell>
          <cell r="W65">
            <v>45721</v>
          </cell>
        </row>
        <row r="66">
          <cell r="A66" t="str">
            <v>MIRINDA GRN CRM 1L PET 12X</v>
          </cell>
          <cell r="B66">
            <v>320010361</v>
          </cell>
          <cell r="C66" t="str">
            <v>MIRINDA GRN CRM 1L PET 12X</v>
          </cell>
          <cell r="D66">
            <v>14</v>
          </cell>
          <cell r="E66">
            <v>5</v>
          </cell>
          <cell r="F66">
            <v>70</v>
          </cell>
          <cell r="G66">
            <v>1000</v>
          </cell>
          <cell r="H66">
            <v>12</v>
          </cell>
          <cell r="I66">
            <v>2.1134202183867559</v>
          </cell>
          <cell r="J66">
            <v>180</v>
          </cell>
          <cell r="K66" t="str">
            <v>PET 1000</v>
          </cell>
          <cell r="L66" t="str">
            <v>1000 ml</v>
          </cell>
          <cell r="M66" t="str">
            <v>CSD PET</v>
          </cell>
          <cell r="N66" t="str">
            <v>MRD Green Cream</v>
          </cell>
          <cell r="V66" t="str">
            <v>06.03.2025</v>
          </cell>
          <cell r="W66">
            <v>45722</v>
          </cell>
        </row>
        <row r="67">
          <cell r="A67" t="str">
            <v>MIRINDA ROOTBEER 440ML PET 24X_60</v>
          </cell>
          <cell r="B67">
            <v>320010380</v>
          </cell>
          <cell r="C67" t="str">
            <v>MIRINDA ROOTBEER 440ML PET 24X</v>
          </cell>
          <cell r="D67">
            <v>10</v>
          </cell>
          <cell r="E67">
            <v>6</v>
          </cell>
          <cell r="F67">
            <v>60</v>
          </cell>
          <cell r="G67">
            <v>440</v>
          </cell>
          <cell r="H67">
            <v>24</v>
          </cell>
          <cell r="I67">
            <v>1.8598097921803451</v>
          </cell>
          <cell r="J67">
            <v>180</v>
          </cell>
          <cell r="K67" t="str">
            <v>PET 450</v>
          </cell>
          <cell r="L67" t="str">
            <v>440 ml</v>
          </cell>
          <cell r="M67" t="str">
            <v>CSD PET</v>
          </cell>
          <cell r="N67" t="str">
            <v>MRD Rootbeer</v>
          </cell>
          <cell r="V67" t="str">
            <v>07.03.2025</v>
          </cell>
          <cell r="W67">
            <v>45723</v>
          </cell>
        </row>
        <row r="68">
          <cell r="A68" t="str">
            <v>MIRINDA ROOTBEER 440ML PET 24X_72</v>
          </cell>
          <cell r="B68">
            <v>320012716</v>
          </cell>
          <cell r="C68" t="str">
            <v>MIRINDA ROOTBEER 440ML PET 24X</v>
          </cell>
          <cell r="D68">
            <v>12</v>
          </cell>
          <cell r="E68">
            <v>6</v>
          </cell>
          <cell r="F68">
            <v>72</v>
          </cell>
          <cell r="G68">
            <v>440</v>
          </cell>
          <cell r="H68">
            <v>24</v>
          </cell>
          <cell r="I68">
            <v>1.8598097921803451</v>
          </cell>
          <cell r="J68">
            <v>180</v>
          </cell>
          <cell r="K68" t="str">
            <v>PET 450</v>
          </cell>
          <cell r="L68" t="str">
            <v>440 ml</v>
          </cell>
          <cell r="M68" t="str">
            <v>CSD PET</v>
          </cell>
          <cell r="N68" t="str">
            <v>MRD Rootbeer</v>
          </cell>
          <cell r="V68" t="str">
            <v>08.03.2025</v>
          </cell>
          <cell r="W68">
            <v>45724</v>
          </cell>
        </row>
        <row r="69">
          <cell r="A69" t="str">
            <v>MIRINDA ROOTBEER 1L PET 12X_70</v>
          </cell>
          <cell r="B69">
            <v>320010377</v>
          </cell>
          <cell r="C69" t="str">
            <v>MIRINDA ROOTBEER 1L PET 12X</v>
          </cell>
          <cell r="D69">
            <v>14</v>
          </cell>
          <cell r="E69">
            <v>5</v>
          </cell>
          <cell r="F69">
            <v>70</v>
          </cell>
          <cell r="G69">
            <v>1000</v>
          </cell>
          <cell r="H69">
            <v>12</v>
          </cell>
          <cell r="I69">
            <v>2.1134202183867559</v>
          </cell>
          <cell r="J69">
            <v>180</v>
          </cell>
          <cell r="K69" t="str">
            <v>PET 1000</v>
          </cell>
          <cell r="L69" t="str">
            <v>1000 ml</v>
          </cell>
          <cell r="M69" t="str">
            <v>CSD PET</v>
          </cell>
          <cell r="N69" t="str">
            <v>MRD Rootbeer</v>
          </cell>
          <cell r="V69" t="str">
            <v>09.03.2025</v>
          </cell>
          <cell r="W69">
            <v>45725</v>
          </cell>
        </row>
        <row r="70">
          <cell r="A70" t="str">
            <v>MIRINDA ROOTBEER 1LW260ML PET 12X BP</v>
          </cell>
          <cell r="B70">
            <v>320015560</v>
          </cell>
          <cell r="C70" t="str">
            <v>MIRINDA ROOTBEER 1LW260ML PET 12X BP</v>
          </cell>
          <cell r="D70">
            <v>11</v>
          </cell>
          <cell r="E70">
            <v>4</v>
          </cell>
          <cell r="F70">
            <v>44</v>
          </cell>
          <cell r="G70">
            <v>1260</v>
          </cell>
          <cell r="H70">
            <v>12</v>
          </cell>
          <cell r="I70">
            <v>2.6629094751673126</v>
          </cell>
          <cell r="J70">
            <v>180</v>
          </cell>
          <cell r="K70" t="str">
            <v>PET 1250</v>
          </cell>
          <cell r="L70" t="str">
            <v>1260 ml</v>
          </cell>
          <cell r="M70" t="str">
            <v>CSD PET</v>
          </cell>
          <cell r="N70" t="str">
            <v>MRD Rootbeer</v>
          </cell>
          <cell r="V70" t="str">
            <v>10.03.2025</v>
          </cell>
          <cell r="W70">
            <v>45726</v>
          </cell>
        </row>
        <row r="71">
          <cell r="A71" t="str">
            <v>MOUNTAIN DEW 345ML PET 12X GC10_192</v>
          </cell>
          <cell r="B71">
            <v>320016544</v>
          </cell>
          <cell r="C71" t="str">
            <v>MOUNTAIN DEW CITRUS 345ML PET 12X GC</v>
          </cell>
          <cell r="D71">
            <v>32</v>
          </cell>
          <cell r="E71">
            <v>6</v>
          </cell>
          <cell r="F71">
            <v>192</v>
          </cell>
          <cell r="G71">
            <v>345</v>
          </cell>
          <cell r="H71">
            <v>12</v>
          </cell>
          <cell r="I71">
            <v>0.72912997534343083</v>
          </cell>
          <cell r="J71">
            <v>120</v>
          </cell>
          <cell r="K71" t="str">
            <v>PET 350 P12</v>
          </cell>
          <cell r="L71" t="str">
            <v>345 ml</v>
          </cell>
          <cell r="M71" t="str">
            <v>CSD PET</v>
          </cell>
          <cell r="N71" t="str">
            <v>Dew</v>
          </cell>
          <cell r="V71" t="str">
            <v>11.03.2025</v>
          </cell>
          <cell r="W71">
            <v>45727</v>
          </cell>
        </row>
        <row r="72">
          <cell r="A72" t="str">
            <v>MOUNTAIN DEW CITRUS 400ML PET 24X_72T</v>
          </cell>
          <cell r="B72">
            <v>320011392</v>
          </cell>
          <cell r="C72" t="str">
            <v>MOUNTAIN DEW CITRUS 400ML PET 24X</v>
          </cell>
          <cell r="D72">
            <v>12</v>
          </cell>
          <cell r="E72">
            <v>6</v>
          </cell>
          <cell r="F72">
            <v>72</v>
          </cell>
          <cell r="G72">
            <v>400</v>
          </cell>
          <cell r="H72">
            <v>24</v>
          </cell>
          <cell r="I72">
            <v>1.6907361747094047</v>
          </cell>
          <cell r="J72">
            <v>180</v>
          </cell>
          <cell r="K72" t="str">
            <v>PET 400</v>
          </cell>
          <cell r="L72" t="str">
            <v>400 ml</v>
          </cell>
          <cell r="M72" t="str">
            <v>CSD PET</v>
          </cell>
          <cell r="N72" t="str">
            <v>Dew</v>
          </cell>
          <cell r="V72" t="str">
            <v>12.03.2025</v>
          </cell>
          <cell r="W72">
            <v>45728</v>
          </cell>
        </row>
        <row r="73">
          <cell r="A73" t="str">
            <v>MOUNTAIN DEW CITRUS 400ML PET 24X_72</v>
          </cell>
          <cell r="B73">
            <v>320013342</v>
          </cell>
          <cell r="C73" t="str">
            <v>MOUNTAIN DEW CITRUS 400ML PET 24X</v>
          </cell>
          <cell r="D73">
            <v>12</v>
          </cell>
          <cell r="E73">
            <v>6</v>
          </cell>
          <cell r="F73">
            <v>72</v>
          </cell>
          <cell r="G73">
            <v>400</v>
          </cell>
          <cell r="H73">
            <v>24</v>
          </cell>
          <cell r="I73">
            <v>1.6907361747094047</v>
          </cell>
          <cell r="J73">
            <v>180</v>
          </cell>
          <cell r="K73" t="str">
            <v>PET 400</v>
          </cell>
          <cell r="L73" t="str">
            <v>400 ml</v>
          </cell>
          <cell r="M73" t="str">
            <v>CSD PET</v>
          </cell>
          <cell r="N73" t="str">
            <v>Dew</v>
          </cell>
          <cell r="V73" t="str">
            <v>13.03.2025</v>
          </cell>
          <cell r="W73">
            <v>45729</v>
          </cell>
        </row>
        <row r="74">
          <cell r="A74" t="str">
            <v>MOUNTAIN DEW CITRUS 495ML PET 24X_54</v>
          </cell>
          <cell r="B74">
            <v>320011393</v>
          </cell>
          <cell r="C74" t="str">
            <v>MOUNTAIN DEW CITRUS 495ML PET 24X</v>
          </cell>
          <cell r="D74">
            <v>9</v>
          </cell>
          <cell r="E74">
            <v>6</v>
          </cell>
          <cell r="F74">
            <v>54</v>
          </cell>
          <cell r="G74">
            <v>495</v>
          </cell>
          <cell r="H74">
            <v>24</v>
          </cell>
          <cell r="I74">
            <v>2.0922860162028885</v>
          </cell>
          <cell r="J74">
            <v>180</v>
          </cell>
          <cell r="K74" t="str">
            <v>PET 500</v>
          </cell>
          <cell r="L74" t="str">
            <v>495 ml</v>
          </cell>
          <cell r="M74" t="str">
            <v>CSD PET</v>
          </cell>
          <cell r="N74" t="str">
            <v>Dew</v>
          </cell>
          <cell r="V74" t="str">
            <v>14.03.2025</v>
          </cell>
          <cell r="W74">
            <v>45730</v>
          </cell>
        </row>
        <row r="75">
          <cell r="A75" t="str">
            <v>MOUNTAIN DEW CITRUS 495ML PET 24X_60</v>
          </cell>
          <cell r="B75">
            <v>320013343</v>
          </cell>
          <cell r="C75" t="str">
            <v>MOUNTAIN DEW CITRUS 495ML PET 24X</v>
          </cell>
          <cell r="D75">
            <v>10</v>
          </cell>
          <cell r="E75">
            <v>6</v>
          </cell>
          <cell r="F75">
            <v>60</v>
          </cell>
          <cell r="G75">
            <v>495</v>
          </cell>
          <cell r="H75">
            <v>24</v>
          </cell>
          <cell r="I75">
            <v>2.0922860162028885</v>
          </cell>
          <cell r="J75">
            <v>180</v>
          </cell>
          <cell r="K75" t="str">
            <v>PET 500</v>
          </cell>
          <cell r="L75" t="str">
            <v>495 ml</v>
          </cell>
          <cell r="M75" t="str">
            <v>CSD PET</v>
          </cell>
          <cell r="N75" t="str">
            <v>Dew</v>
          </cell>
          <cell r="V75" t="str">
            <v>15.03.2025</v>
          </cell>
          <cell r="W75">
            <v>45731</v>
          </cell>
        </row>
        <row r="76">
          <cell r="A76" t="str">
            <v>MOUNTAIN DEW CITRUS 1L PET 12X_70</v>
          </cell>
          <cell r="B76">
            <v>320011394</v>
          </cell>
          <cell r="C76" t="str">
            <v>MOUNTAIN DEW CITRUS 1L PET 12X</v>
          </cell>
          <cell r="D76">
            <v>14</v>
          </cell>
          <cell r="E76">
            <v>5</v>
          </cell>
          <cell r="F76">
            <v>70</v>
          </cell>
          <cell r="G76">
            <v>1000</v>
          </cell>
          <cell r="H76">
            <v>12</v>
          </cell>
          <cell r="I76">
            <v>2.1134202183867559</v>
          </cell>
          <cell r="J76">
            <v>180</v>
          </cell>
          <cell r="K76" t="str">
            <v>PET 1000</v>
          </cell>
          <cell r="L76" t="str">
            <v>1000 ml</v>
          </cell>
          <cell r="M76" t="str">
            <v>CSD PET</v>
          </cell>
          <cell r="N76" t="str">
            <v>Dew</v>
          </cell>
          <cell r="V76" t="str">
            <v>16.03.2025</v>
          </cell>
          <cell r="W76">
            <v>45732</v>
          </cell>
        </row>
        <row r="77">
          <cell r="A77" t="str">
            <v>MOUNTAIN DEW CITRUS 1LW260ML PET 12X BP</v>
          </cell>
          <cell r="B77">
            <v>320015561</v>
          </cell>
          <cell r="C77" t="str">
            <v>MOUNTAIN DEW CITRUS 1LW260ML PET 12X BP</v>
          </cell>
          <cell r="D77">
            <v>11</v>
          </cell>
          <cell r="E77">
            <v>4</v>
          </cell>
          <cell r="F77">
            <v>44</v>
          </cell>
          <cell r="G77">
            <v>1260</v>
          </cell>
          <cell r="H77">
            <v>12</v>
          </cell>
          <cell r="I77">
            <v>2.6629094751673126</v>
          </cell>
          <cell r="J77">
            <v>180</v>
          </cell>
          <cell r="K77" t="str">
            <v>PET 1250</v>
          </cell>
          <cell r="L77" t="str">
            <v>1260 ml</v>
          </cell>
          <cell r="M77" t="str">
            <v>CSD PET</v>
          </cell>
          <cell r="N77" t="str">
            <v>Dew</v>
          </cell>
          <cell r="V77" t="str">
            <v>17.03.2025</v>
          </cell>
          <cell r="W77">
            <v>45733</v>
          </cell>
        </row>
        <row r="78">
          <cell r="A78" t="str">
            <v>PEPSI COLA 245ML CAN 24X_128</v>
          </cell>
          <cell r="B78">
            <v>320010392</v>
          </cell>
          <cell r="C78" t="str">
            <v>PEPSI COLA 245ML CAN 24X</v>
          </cell>
          <cell r="D78">
            <v>16</v>
          </cell>
          <cell r="E78">
            <v>8</v>
          </cell>
          <cell r="F78">
            <v>128</v>
          </cell>
          <cell r="G78">
            <v>245</v>
          </cell>
          <cell r="H78">
            <v>24</v>
          </cell>
          <cell r="I78">
            <v>1.0355759070095103</v>
          </cell>
          <cell r="J78">
            <v>270</v>
          </cell>
          <cell r="K78" t="str">
            <v>CAN 250</v>
          </cell>
          <cell r="L78" t="str">
            <v>245 ml</v>
          </cell>
          <cell r="M78" t="str">
            <v>CSD CAN</v>
          </cell>
          <cell r="N78" t="str">
            <v>Pepsi Cola</v>
          </cell>
          <cell r="V78" t="str">
            <v>18.03.2025</v>
          </cell>
          <cell r="W78">
            <v>45734</v>
          </cell>
        </row>
        <row r="79">
          <cell r="A79" t="str">
            <v>PEPSI COLA 245ML CAN 4X MP_128</v>
          </cell>
          <cell r="B79">
            <v>320010393</v>
          </cell>
          <cell r="C79" t="str">
            <v>PEPSI COLA 245ML CAN 4X MP</v>
          </cell>
          <cell r="D79">
            <v>16</v>
          </cell>
          <cell r="E79">
            <v>8</v>
          </cell>
          <cell r="F79">
            <v>128</v>
          </cell>
          <cell r="G79">
            <v>245</v>
          </cell>
          <cell r="H79">
            <v>24</v>
          </cell>
          <cell r="I79">
            <v>1.0355759070095103</v>
          </cell>
          <cell r="J79">
            <v>270</v>
          </cell>
          <cell r="K79" t="str">
            <v>CAN 250</v>
          </cell>
          <cell r="L79" t="str">
            <v>245 ml</v>
          </cell>
          <cell r="M79" t="str">
            <v>CSD CAN</v>
          </cell>
          <cell r="N79" t="str">
            <v>Pepsi Cola</v>
          </cell>
          <cell r="V79" t="str">
            <v>19.03.2025</v>
          </cell>
          <cell r="W79">
            <v>45735</v>
          </cell>
        </row>
        <row r="80">
          <cell r="A80" t="str">
            <v>PEPSI COLA 245ML CAN 24X_144</v>
          </cell>
          <cell r="B80">
            <v>320014850</v>
          </cell>
          <cell r="C80" t="str">
            <v>PEPSI COLA 245ML CAN 24X</v>
          </cell>
          <cell r="D80">
            <v>16</v>
          </cell>
          <cell r="E80">
            <v>9</v>
          </cell>
          <cell r="F80">
            <v>144</v>
          </cell>
          <cell r="G80">
            <v>245</v>
          </cell>
          <cell r="H80">
            <v>24</v>
          </cell>
          <cell r="I80">
            <v>1.0355759070095103</v>
          </cell>
          <cell r="J80">
            <v>270</v>
          </cell>
          <cell r="K80" t="str">
            <v>CAN 250</v>
          </cell>
          <cell r="L80" t="str">
            <v>245 ml</v>
          </cell>
          <cell r="M80" t="str">
            <v>CSD CAN</v>
          </cell>
          <cell r="N80" t="str">
            <v>Pepsi Cola</v>
          </cell>
          <cell r="V80" t="str">
            <v>20.03.2025</v>
          </cell>
          <cell r="W80">
            <v>45736</v>
          </cell>
        </row>
        <row r="81">
          <cell r="A81" t="str">
            <v>PEPSI COLA 245ML CAN 4X MP_144</v>
          </cell>
          <cell r="B81">
            <v>320014851</v>
          </cell>
          <cell r="C81" t="str">
            <v>PEPSI COLA 245ML CAN 4X MP</v>
          </cell>
          <cell r="D81">
            <v>16</v>
          </cell>
          <cell r="E81">
            <v>9</v>
          </cell>
          <cell r="F81">
            <v>144</v>
          </cell>
          <cell r="G81">
            <v>245</v>
          </cell>
          <cell r="H81">
            <v>24</v>
          </cell>
          <cell r="I81">
            <v>1.0355759070095103</v>
          </cell>
          <cell r="J81">
            <v>270</v>
          </cell>
          <cell r="K81" t="str">
            <v>CAN 250</v>
          </cell>
          <cell r="L81" t="str">
            <v>245 ml</v>
          </cell>
          <cell r="M81" t="str">
            <v>CSD CAN</v>
          </cell>
          <cell r="N81" t="str">
            <v>Pepsi Cola</v>
          </cell>
          <cell r="V81" t="str">
            <v>21.03.2025</v>
          </cell>
          <cell r="W81">
            <v>45737</v>
          </cell>
        </row>
        <row r="82">
          <cell r="A82" t="str">
            <v>PEPSI COLA 245ML CAN 4X MP 5F1_144</v>
          </cell>
          <cell r="B82">
            <v>320021017</v>
          </cell>
          <cell r="C82" t="str">
            <v>PEPSI COLA 245ML CAN 4X MP 5F1</v>
          </cell>
          <cell r="D82">
            <v>16</v>
          </cell>
          <cell r="E82">
            <v>9</v>
          </cell>
          <cell r="F82">
            <v>144</v>
          </cell>
          <cell r="G82">
            <v>245</v>
          </cell>
          <cell r="H82">
            <v>24</v>
          </cell>
          <cell r="I82">
            <v>1.0355759070095103</v>
          </cell>
          <cell r="J82">
            <v>270</v>
          </cell>
          <cell r="K82" t="str">
            <v>CAN 250</v>
          </cell>
          <cell r="L82" t="str">
            <v>245 ml</v>
          </cell>
          <cell r="M82" t="str">
            <v>CSD CAN</v>
          </cell>
          <cell r="N82" t="str">
            <v>Pepsi Cola</v>
          </cell>
          <cell r="V82" t="str">
            <v>22.03.2025</v>
          </cell>
          <cell r="W82">
            <v>45738</v>
          </cell>
        </row>
        <row r="83">
          <cell r="A83" t="str">
            <v>PEPSI COLA 375ML CAN 24X_91</v>
          </cell>
          <cell r="B83">
            <v>320018094</v>
          </cell>
          <cell r="C83" t="str">
            <v>PEPSI COLA 375ML CAN 24X</v>
          </cell>
          <cell r="D83">
            <v>13</v>
          </cell>
          <cell r="E83">
            <v>7</v>
          </cell>
          <cell r="F83">
            <v>91</v>
          </cell>
          <cell r="G83">
            <v>375</v>
          </cell>
          <cell r="H83">
            <v>24</v>
          </cell>
          <cell r="I83">
            <v>1.585065163790067</v>
          </cell>
          <cell r="J83">
            <v>270</v>
          </cell>
          <cell r="K83" t="str">
            <v>CAN 375</v>
          </cell>
          <cell r="L83" t="str">
            <v>375 ml</v>
          </cell>
          <cell r="M83" t="str">
            <v>CSD CAN</v>
          </cell>
          <cell r="N83" t="str">
            <v>Pepsi Cola</v>
          </cell>
          <cell r="V83" t="str">
            <v>23.03.2025</v>
          </cell>
          <cell r="W83">
            <v>45739</v>
          </cell>
        </row>
        <row r="84">
          <cell r="A84" t="str">
            <v>PEPSI COLA 375ML CAN 4X MP_91</v>
          </cell>
          <cell r="B84">
            <v>320018095</v>
          </cell>
          <cell r="C84" t="str">
            <v>PEPSI COLA 375ML CAN 4X MP</v>
          </cell>
          <cell r="D84">
            <v>13</v>
          </cell>
          <cell r="E84">
            <v>7</v>
          </cell>
          <cell r="F84">
            <v>91</v>
          </cell>
          <cell r="G84">
            <v>375</v>
          </cell>
          <cell r="H84">
            <v>24</v>
          </cell>
          <cell r="I84">
            <v>1.585065163790067</v>
          </cell>
          <cell r="J84">
            <v>270</v>
          </cell>
          <cell r="K84" t="str">
            <v>CAN 375</v>
          </cell>
          <cell r="L84" t="str">
            <v>375 ml</v>
          </cell>
          <cell r="M84" t="str">
            <v>CSD CAN</v>
          </cell>
          <cell r="N84" t="str">
            <v>Pepsi Cola</v>
          </cell>
          <cell r="V84" t="str">
            <v>24.03.2025</v>
          </cell>
          <cell r="W84">
            <v>45740</v>
          </cell>
        </row>
        <row r="85">
          <cell r="A85" t="str">
            <v>PEPSI MAX 245ML CAN 24X_128</v>
          </cell>
          <cell r="B85">
            <v>320010401</v>
          </cell>
          <cell r="C85" t="str">
            <v>PEPSI MAX 245ML CAN 24X</v>
          </cell>
          <cell r="D85">
            <v>16</v>
          </cell>
          <cell r="E85">
            <v>8</v>
          </cell>
          <cell r="F85">
            <v>128</v>
          </cell>
          <cell r="G85">
            <v>245</v>
          </cell>
          <cell r="H85">
            <v>24</v>
          </cell>
          <cell r="I85">
            <v>1.0355759070095103</v>
          </cell>
          <cell r="J85">
            <v>120</v>
          </cell>
          <cell r="K85" t="str">
            <v>CAN 250</v>
          </cell>
          <cell r="L85" t="str">
            <v>245 ml</v>
          </cell>
          <cell r="M85" t="str">
            <v>CSD CAN</v>
          </cell>
          <cell r="N85" t="str">
            <v>Pepsi Max</v>
          </cell>
          <cell r="V85" t="str">
            <v>25.03.2025</v>
          </cell>
          <cell r="W85">
            <v>45741</v>
          </cell>
        </row>
        <row r="86">
          <cell r="A86" t="str">
            <v>PEPSI MAX 245ML CAN 24X_64</v>
          </cell>
          <cell r="B86">
            <v>320012409</v>
          </cell>
          <cell r="C86" t="str">
            <v>PEPSI MAX 245ML CAN 24X</v>
          </cell>
          <cell r="D86">
            <v>16</v>
          </cell>
          <cell r="E86">
            <v>4</v>
          </cell>
          <cell r="F86">
            <v>64</v>
          </cell>
          <cell r="G86">
            <v>245</v>
          </cell>
          <cell r="H86">
            <v>24</v>
          </cell>
          <cell r="I86">
            <v>1.0355759070095103</v>
          </cell>
          <cell r="J86">
            <v>120</v>
          </cell>
          <cell r="K86" t="str">
            <v>CAN 250</v>
          </cell>
          <cell r="L86" t="str">
            <v>245 ml</v>
          </cell>
          <cell r="M86" t="str">
            <v>CSD CAN</v>
          </cell>
          <cell r="N86" t="str">
            <v>Pepsi Max</v>
          </cell>
          <cell r="V86" t="str">
            <v>26.03.2025</v>
          </cell>
          <cell r="W86">
            <v>45742</v>
          </cell>
        </row>
        <row r="87">
          <cell r="A87" t="str">
            <v>PEPSI MAX 245ML CAN 4X MP_128</v>
          </cell>
          <cell r="B87">
            <v>320010402</v>
          </cell>
          <cell r="C87" t="str">
            <v>PEPSI MAX 245ML CAN 4X MP</v>
          </cell>
          <cell r="D87">
            <v>16</v>
          </cell>
          <cell r="E87">
            <v>8</v>
          </cell>
          <cell r="F87">
            <v>128</v>
          </cell>
          <cell r="G87">
            <v>245</v>
          </cell>
          <cell r="H87">
            <v>24</v>
          </cell>
          <cell r="I87">
            <v>1.0355759070095103</v>
          </cell>
          <cell r="J87">
            <v>120</v>
          </cell>
          <cell r="K87" t="str">
            <v>CAN 250</v>
          </cell>
          <cell r="L87" t="str">
            <v>245 ml</v>
          </cell>
          <cell r="M87" t="str">
            <v>CSD CAN</v>
          </cell>
          <cell r="N87" t="str">
            <v>Pepsi Max</v>
          </cell>
          <cell r="V87" t="str">
            <v>27.03.2025</v>
          </cell>
          <cell r="W87">
            <v>45743</v>
          </cell>
        </row>
        <row r="88">
          <cell r="A88" t="str">
            <v>PEPSI MAX 245ML CAN 4X MP_64</v>
          </cell>
          <cell r="B88">
            <v>320012440</v>
          </cell>
          <cell r="C88" t="str">
            <v>PEPSI MAX 245ML CAN 4X MP</v>
          </cell>
          <cell r="D88">
            <v>16</v>
          </cell>
          <cell r="E88">
            <v>4</v>
          </cell>
          <cell r="F88">
            <v>64</v>
          </cell>
          <cell r="G88">
            <v>245</v>
          </cell>
          <cell r="H88">
            <v>24</v>
          </cell>
          <cell r="I88">
            <v>1.0355759070095103</v>
          </cell>
          <cell r="J88">
            <v>120</v>
          </cell>
          <cell r="K88" t="str">
            <v>CAN 250</v>
          </cell>
          <cell r="L88" t="str">
            <v>245 ml</v>
          </cell>
          <cell r="M88" t="str">
            <v>CSD CAN</v>
          </cell>
          <cell r="N88" t="str">
            <v>Pepsi Max</v>
          </cell>
          <cell r="V88" t="str">
            <v>28.03.2025</v>
          </cell>
          <cell r="W88">
            <v>45744</v>
          </cell>
        </row>
        <row r="89">
          <cell r="A89" t="str">
            <v>7UP 245ML CAN 24X_128</v>
          </cell>
          <cell r="B89">
            <v>320010353</v>
          </cell>
          <cell r="C89" t="str">
            <v>7UP 245ML CAN 24X</v>
          </cell>
          <cell r="D89">
            <v>16</v>
          </cell>
          <cell r="E89">
            <v>8</v>
          </cell>
          <cell r="F89">
            <v>128</v>
          </cell>
          <cell r="G89">
            <v>245</v>
          </cell>
          <cell r="H89">
            <v>24</v>
          </cell>
          <cell r="I89">
            <v>1.0355759070095103</v>
          </cell>
          <cell r="J89">
            <v>270</v>
          </cell>
          <cell r="K89" t="str">
            <v>CAN 250</v>
          </cell>
          <cell r="L89" t="str">
            <v>245 ml</v>
          </cell>
          <cell r="M89" t="str">
            <v>CSD CAN</v>
          </cell>
          <cell r="N89" t="str">
            <v>7-Up</v>
          </cell>
          <cell r="V89" t="str">
            <v>29.03.2025</v>
          </cell>
          <cell r="W89">
            <v>45745</v>
          </cell>
        </row>
        <row r="90">
          <cell r="A90" t="str">
            <v>7UP 245ML CAN 24X_64</v>
          </cell>
          <cell r="B90">
            <v>320012403</v>
          </cell>
          <cell r="C90" t="str">
            <v>7UP 245ML CAN 24X</v>
          </cell>
          <cell r="D90">
            <v>16</v>
          </cell>
          <cell r="E90">
            <v>4</v>
          </cell>
          <cell r="F90">
            <v>64</v>
          </cell>
          <cell r="G90">
            <v>245</v>
          </cell>
          <cell r="H90">
            <v>24</v>
          </cell>
          <cell r="I90">
            <v>1.0355759070095103</v>
          </cell>
          <cell r="J90">
            <v>270</v>
          </cell>
          <cell r="K90" t="str">
            <v>CAN 250</v>
          </cell>
          <cell r="L90" t="str">
            <v>245 ml</v>
          </cell>
          <cell r="M90" t="str">
            <v>CSD CAN</v>
          </cell>
          <cell r="N90" t="str">
            <v>7-Up</v>
          </cell>
          <cell r="V90" t="str">
            <v>30.03.2025</v>
          </cell>
          <cell r="W90">
            <v>45746</v>
          </cell>
        </row>
        <row r="91">
          <cell r="A91" t="str">
            <v>7UP 245ML CAN 4X MP_128</v>
          </cell>
          <cell r="B91">
            <v>320010354</v>
          </cell>
          <cell r="C91" t="str">
            <v>7UP 245ML CAN 4X MP</v>
          </cell>
          <cell r="D91">
            <v>16</v>
          </cell>
          <cell r="E91">
            <v>8</v>
          </cell>
          <cell r="F91">
            <v>128</v>
          </cell>
          <cell r="G91">
            <v>245</v>
          </cell>
          <cell r="H91">
            <v>24</v>
          </cell>
          <cell r="I91">
            <v>1.0355759070095103</v>
          </cell>
          <cell r="J91">
            <v>270</v>
          </cell>
          <cell r="K91" t="str">
            <v>CAN 250</v>
          </cell>
          <cell r="L91" t="str">
            <v>245 ml</v>
          </cell>
          <cell r="M91" t="str">
            <v>CSD CAN</v>
          </cell>
          <cell r="N91" t="str">
            <v>7-Up</v>
          </cell>
          <cell r="V91" t="str">
            <v>31.03.2025</v>
          </cell>
          <cell r="W91">
            <v>45747</v>
          </cell>
        </row>
        <row r="92">
          <cell r="A92" t="str">
            <v>7UP 245ML CAN 4X MP_64</v>
          </cell>
          <cell r="B92">
            <v>320012404</v>
          </cell>
          <cell r="C92" t="str">
            <v>7UP 245ML CAN 4X MP</v>
          </cell>
          <cell r="D92">
            <v>16</v>
          </cell>
          <cell r="E92">
            <v>4</v>
          </cell>
          <cell r="F92">
            <v>64</v>
          </cell>
          <cell r="G92">
            <v>245</v>
          </cell>
          <cell r="H92">
            <v>24</v>
          </cell>
          <cell r="I92">
            <v>1.0355759070095103</v>
          </cell>
          <cell r="J92">
            <v>270</v>
          </cell>
          <cell r="K92" t="str">
            <v>CAN 250</v>
          </cell>
          <cell r="L92" t="str">
            <v>245 ml</v>
          </cell>
          <cell r="M92" t="str">
            <v>CSD CAN</v>
          </cell>
          <cell r="N92" t="str">
            <v>7-Up</v>
          </cell>
          <cell r="V92" t="str">
            <v>01.04.2025</v>
          </cell>
          <cell r="W92">
            <v>45748</v>
          </cell>
        </row>
        <row r="93">
          <cell r="A93" t="str">
            <v>MIRINDA ORANGE 245ML CAN 24X_128</v>
          </cell>
          <cell r="B93">
            <v>320010370</v>
          </cell>
          <cell r="C93" t="str">
            <v>MIRINDA ORANGE 245ML CAN 24X</v>
          </cell>
          <cell r="D93">
            <v>16</v>
          </cell>
          <cell r="E93">
            <v>8</v>
          </cell>
          <cell r="F93">
            <v>128</v>
          </cell>
          <cell r="G93">
            <v>245</v>
          </cell>
          <cell r="H93">
            <v>24</v>
          </cell>
          <cell r="I93">
            <v>1.0355759070095103</v>
          </cell>
          <cell r="J93">
            <v>270</v>
          </cell>
          <cell r="K93" t="str">
            <v>CAN 250</v>
          </cell>
          <cell r="L93" t="str">
            <v>245 ml</v>
          </cell>
          <cell r="M93" t="str">
            <v>CSD CAN</v>
          </cell>
          <cell r="N93" t="str">
            <v>MRD Orange</v>
          </cell>
          <cell r="V93" t="str">
            <v>02.04.2025</v>
          </cell>
          <cell r="W93">
            <v>45749</v>
          </cell>
        </row>
        <row r="94">
          <cell r="A94" t="str">
            <v>MIRINDA ORANGE 245ML CAN 24X_64</v>
          </cell>
          <cell r="B94">
            <v>320012405</v>
          </cell>
          <cell r="C94" t="str">
            <v>MIRINDA ORANGE 245ML CAN 24X</v>
          </cell>
          <cell r="D94">
            <v>16</v>
          </cell>
          <cell r="E94">
            <v>4</v>
          </cell>
          <cell r="F94">
            <v>64</v>
          </cell>
          <cell r="G94">
            <v>245</v>
          </cell>
          <cell r="H94">
            <v>24</v>
          </cell>
          <cell r="I94">
            <v>1.0355759070095103</v>
          </cell>
          <cell r="J94">
            <v>270</v>
          </cell>
          <cell r="K94" t="str">
            <v>CAN 250</v>
          </cell>
          <cell r="L94" t="str">
            <v>245 ml</v>
          </cell>
          <cell r="M94" t="str">
            <v>CSD CAN</v>
          </cell>
          <cell r="N94" t="str">
            <v>MRD Orange</v>
          </cell>
          <cell r="V94" t="str">
            <v>03.04.2025</v>
          </cell>
          <cell r="W94">
            <v>45750</v>
          </cell>
        </row>
        <row r="95">
          <cell r="A95" t="str">
            <v>MIRINDA ORANGE 245ML CAN 4X MP_128</v>
          </cell>
          <cell r="B95">
            <v>320010371</v>
          </cell>
          <cell r="C95" t="str">
            <v>MIRINDA ORANGE 245ML CAN 4X MP</v>
          </cell>
          <cell r="D95">
            <v>16</v>
          </cell>
          <cell r="E95">
            <v>8</v>
          </cell>
          <cell r="F95">
            <v>128</v>
          </cell>
          <cell r="G95">
            <v>245</v>
          </cell>
          <cell r="H95">
            <v>24</v>
          </cell>
          <cell r="I95">
            <v>1.0355759070095103</v>
          </cell>
          <cell r="J95">
            <v>270</v>
          </cell>
          <cell r="K95" t="str">
            <v>CAN 250</v>
          </cell>
          <cell r="L95" t="str">
            <v>245 ml</v>
          </cell>
          <cell r="M95" t="str">
            <v>CSD CAN</v>
          </cell>
          <cell r="N95" t="str">
            <v>MRD Orange</v>
          </cell>
          <cell r="V95" t="str">
            <v>04.04.2025</v>
          </cell>
          <cell r="W95">
            <v>45751</v>
          </cell>
        </row>
        <row r="96">
          <cell r="A96" t="str">
            <v>MIRINDA ORANGE 245ML CAN 4X MP 10B_64</v>
          </cell>
          <cell r="B96">
            <v>320012406</v>
          </cell>
          <cell r="C96" t="str">
            <v>MIRINDA ORANGE 245ML CAN 4X MP 10B_64</v>
          </cell>
          <cell r="D96">
            <v>16</v>
          </cell>
          <cell r="E96">
            <v>4</v>
          </cell>
          <cell r="F96">
            <v>64</v>
          </cell>
          <cell r="G96">
            <v>245</v>
          </cell>
          <cell r="H96">
            <v>24</v>
          </cell>
          <cell r="I96">
            <v>1.0355759070095103</v>
          </cell>
          <cell r="J96">
            <v>270</v>
          </cell>
          <cell r="K96" t="str">
            <v>CAN 250</v>
          </cell>
          <cell r="L96" t="str">
            <v>245 ml</v>
          </cell>
          <cell r="M96" t="str">
            <v>CSD CAN</v>
          </cell>
          <cell r="N96" t="str">
            <v>MRD Orange</v>
          </cell>
          <cell r="V96" t="str">
            <v>05.04.2025</v>
          </cell>
          <cell r="W96">
            <v>45752</v>
          </cell>
        </row>
        <row r="97">
          <cell r="A97" t="str">
            <v>MIRINDA STRWB 245ML CAN 24X_128</v>
          </cell>
          <cell r="B97">
            <v>320010384</v>
          </cell>
          <cell r="C97" t="str">
            <v>MIRINDA STRWB 245ML CAN 24X</v>
          </cell>
          <cell r="D97">
            <v>16</v>
          </cell>
          <cell r="E97">
            <v>8</v>
          </cell>
          <cell r="F97">
            <v>128</v>
          </cell>
          <cell r="G97">
            <v>245</v>
          </cell>
          <cell r="H97">
            <v>24</v>
          </cell>
          <cell r="I97">
            <v>1.0355759070095103</v>
          </cell>
          <cell r="J97">
            <v>270</v>
          </cell>
          <cell r="K97" t="str">
            <v>CAN 250</v>
          </cell>
          <cell r="L97" t="str">
            <v>245 ml</v>
          </cell>
          <cell r="M97" t="str">
            <v>CSD CAN</v>
          </cell>
          <cell r="N97" t="str">
            <v>MRD Strawberry</v>
          </cell>
          <cell r="V97" t="str">
            <v>06.04.2025</v>
          </cell>
          <cell r="W97">
            <v>45753</v>
          </cell>
        </row>
        <row r="98">
          <cell r="A98" t="str">
            <v>MIRINDA STRWB 245ML CAN 24X_64</v>
          </cell>
          <cell r="B98">
            <v>320012407</v>
          </cell>
          <cell r="C98" t="str">
            <v>MIRINDA STRWB 245ML CAN 24X</v>
          </cell>
          <cell r="D98">
            <v>16</v>
          </cell>
          <cell r="E98">
            <v>4</v>
          </cell>
          <cell r="F98">
            <v>64</v>
          </cell>
          <cell r="G98">
            <v>245</v>
          </cell>
          <cell r="H98">
            <v>24</v>
          </cell>
          <cell r="I98">
            <v>1.0355759070095103</v>
          </cell>
          <cell r="J98">
            <v>270</v>
          </cell>
          <cell r="K98" t="str">
            <v>CAN 250</v>
          </cell>
          <cell r="L98" t="str">
            <v>245 ml</v>
          </cell>
          <cell r="M98" t="str">
            <v>CSD CAN</v>
          </cell>
          <cell r="N98" t="str">
            <v>MRD Strawberry</v>
          </cell>
          <cell r="V98" t="str">
            <v>07.04.2025</v>
          </cell>
          <cell r="W98">
            <v>45754</v>
          </cell>
        </row>
        <row r="99">
          <cell r="A99" t="str">
            <v>MIRINDA STRWB 245ML CAN 4X MP_128</v>
          </cell>
          <cell r="B99">
            <v>320010385</v>
          </cell>
          <cell r="C99" t="str">
            <v>MIRINDA STRWB 245ML CAN 4X MP</v>
          </cell>
          <cell r="D99">
            <v>16</v>
          </cell>
          <cell r="E99">
            <v>8</v>
          </cell>
          <cell r="F99">
            <v>128</v>
          </cell>
          <cell r="G99">
            <v>245</v>
          </cell>
          <cell r="H99">
            <v>24</v>
          </cell>
          <cell r="I99">
            <v>1.0355759070095103</v>
          </cell>
          <cell r="J99">
            <v>270</v>
          </cell>
          <cell r="K99" t="str">
            <v>CAN 250</v>
          </cell>
          <cell r="L99" t="str">
            <v>245 ml</v>
          </cell>
          <cell r="M99" t="str">
            <v>CSD CAN</v>
          </cell>
          <cell r="N99" t="str">
            <v>MRD Strawberry</v>
          </cell>
          <cell r="V99" t="str">
            <v>08.04.2025</v>
          </cell>
          <cell r="W99">
            <v>45755</v>
          </cell>
        </row>
        <row r="100">
          <cell r="A100" t="str">
            <v>MIRINDA STRWB 245ML CAN 4X MP 10B_64</v>
          </cell>
          <cell r="B100">
            <v>320012408</v>
          </cell>
          <cell r="C100" t="str">
            <v>MIRINDA STRWB 245ML CAN 4X MP 10B_64</v>
          </cell>
          <cell r="D100">
            <v>16</v>
          </cell>
          <cell r="E100">
            <v>4</v>
          </cell>
          <cell r="F100">
            <v>64</v>
          </cell>
          <cell r="G100">
            <v>245</v>
          </cell>
          <cell r="H100">
            <v>24</v>
          </cell>
          <cell r="I100">
            <v>1.0355759070095103</v>
          </cell>
          <cell r="J100">
            <v>270</v>
          </cell>
          <cell r="K100" t="str">
            <v>CAN 250</v>
          </cell>
          <cell r="L100" t="str">
            <v>245 ml</v>
          </cell>
          <cell r="M100" t="str">
            <v>CSD CAN</v>
          </cell>
          <cell r="N100" t="str">
            <v>MRD Strawberry</v>
          </cell>
          <cell r="V100" t="str">
            <v>09.04.2025</v>
          </cell>
          <cell r="W100">
            <v>45756</v>
          </cell>
        </row>
        <row r="101">
          <cell r="A101" t="str">
            <v>MOUNTAIN DEW CITRUS 245ML CAN 24X_64</v>
          </cell>
          <cell r="B101">
            <v>320011390</v>
          </cell>
          <cell r="C101" t="str">
            <v>MOUNTAIN DEW CITRUS 245ML CAN 24X</v>
          </cell>
          <cell r="D101">
            <v>16</v>
          </cell>
          <cell r="E101">
            <v>4</v>
          </cell>
          <cell r="F101">
            <v>64</v>
          </cell>
          <cell r="G101">
            <v>245</v>
          </cell>
          <cell r="H101">
            <v>24</v>
          </cell>
          <cell r="I101">
            <v>1.0355759070095103</v>
          </cell>
          <cell r="J101">
            <v>270</v>
          </cell>
          <cell r="K101" t="str">
            <v>CAN 250</v>
          </cell>
          <cell r="L101" t="str">
            <v>245 ml</v>
          </cell>
          <cell r="M101" t="str">
            <v>CSD CAN</v>
          </cell>
          <cell r="N101" t="str">
            <v>Dew</v>
          </cell>
          <cell r="V101" t="str">
            <v>10.04.2025</v>
          </cell>
          <cell r="W101">
            <v>45757</v>
          </cell>
        </row>
        <row r="102">
          <cell r="A102" t="str">
            <v>MOUNTAIN DEW CITRUS 245ML CAN 4X MP_64</v>
          </cell>
          <cell r="B102">
            <v>320011391</v>
          </cell>
          <cell r="C102" t="str">
            <v>MOUNTAIN DEW CITRUS 245ML CAN 4X MP</v>
          </cell>
          <cell r="D102">
            <v>16</v>
          </cell>
          <cell r="E102">
            <v>4</v>
          </cell>
          <cell r="F102">
            <v>64</v>
          </cell>
          <cell r="G102">
            <v>245</v>
          </cell>
          <cell r="H102">
            <v>24</v>
          </cell>
          <cell r="I102">
            <v>1.0355759070095103</v>
          </cell>
          <cell r="J102">
            <v>270</v>
          </cell>
          <cell r="K102" t="str">
            <v>CAN 250</v>
          </cell>
          <cell r="L102" t="str">
            <v>245 ml</v>
          </cell>
          <cell r="M102" t="str">
            <v>CSD CAN</v>
          </cell>
          <cell r="N102" t="str">
            <v>Dew</v>
          </cell>
          <cell r="V102" t="str">
            <v>11.04.2025</v>
          </cell>
          <cell r="W102">
            <v>45758</v>
          </cell>
        </row>
        <row r="103">
          <cell r="A103" t="str">
            <v>PEPSI COLA 20L BIB 1X</v>
          </cell>
          <cell r="B103">
            <v>320010391</v>
          </cell>
          <cell r="C103" t="str">
            <v>PEPSI COLA 20L BIB 1X</v>
          </cell>
          <cell r="D103">
            <v>9</v>
          </cell>
          <cell r="E103">
            <v>4</v>
          </cell>
          <cell r="F103">
            <v>36</v>
          </cell>
          <cell r="G103">
            <v>20000</v>
          </cell>
          <cell r="H103">
            <v>6</v>
          </cell>
          <cell r="I103">
            <v>21.134202183867558</v>
          </cell>
          <cell r="J103">
            <v>180</v>
          </cell>
          <cell r="K103" t="str">
            <v>BIB 20L</v>
          </cell>
          <cell r="L103" t="str">
            <v>20 L</v>
          </cell>
          <cell r="M103" t="str">
            <v>CSD PMX</v>
          </cell>
          <cell r="N103" t="str">
            <v>Pepsi Cola</v>
          </cell>
          <cell r="V103" t="str">
            <v>12.04.2025</v>
          </cell>
          <cell r="W103">
            <v>45759</v>
          </cell>
        </row>
        <row r="104">
          <cell r="A104" t="str">
            <v>PEPSI COLA 20L BIB 1X_SL</v>
          </cell>
          <cell r="B104">
            <v>320019516</v>
          </cell>
          <cell r="C104" t="str">
            <v>PEPSI COLA 20L BIB 1X_SL</v>
          </cell>
          <cell r="D104">
            <v>9</v>
          </cell>
          <cell r="E104">
            <v>4</v>
          </cell>
          <cell r="F104">
            <v>36</v>
          </cell>
          <cell r="G104">
            <v>20000</v>
          </cell>
          <cell r="H104">
            <v>6</v>
          </cell>
          <cell r="I104">
            <v>21.134202183867558</v>
          </cell>
          <cell r="J104">
            <v>180</v>
          </cell>
          <cell r="K104" t="str">
            <v>BIB 20L</v>
          </cell>
          <cell r="L104" t="str">
            <v>20 L</v>
          </cell>
          <cell r="M104" t="str">
            <v>CSD PMX</v>
          </cell>
          <cell r="N104" t="str">
            <v>Pepsi Cola</v>
          </cell>
          <cell r="V104" t="str">
            <v>13.04.2025</v>
          </cell>
          <cell r="W104">
            <v>45760</v>
          </cell>
        </row>
        <row r="105">
          <cell r="A105" t="str">
            <v>PEPSI COLA 10L BIB 1X</v>
          </cell>
          <cell r="B105">
            <v>320016339</v>
          </cell>
          <cell r="C105" t="str">
            <v>PEPSI COLA 10L BIB 1X</v>
          </cell>
          <cell r="D105">
            <v>12</v>
          </cell>
          <cell r="E105">
            <v>4</v>
          </cell>
          <cell r="F105">
            <v>48</v>
          </cell>
          <cell r="G105">
            <v>10000</v>
          </cell>
          <cell r="H105">
            <v>6</v>
          </cell>
          <cell r="I105">
            <v>10.567101091933779</v>
          </cell>
          <cell r="J105">
            <v>180</v>
          </cell>
          <cell r="K105" t="str">
            <v>BIB 10L</v>
          </cell>
          <cell r="L105" t="str">
            <v>10 L</v>
          </cell>
          <cell r="M105" t="str">
            <v>CSD PMX</v>
          </cell>
          <cell r="N105" t="str">
            <v>Pepsi Cola</v>
          </cell>
          <cell r="V105" t="str">
            <v>14.04.2025</v>
          </cell>
          <cell r="W105">
            <v>45761</v>
          </cell>
        </row>
        <row r="106">
          <cell r="A106" t="str">
            <v>7UP 10L BIB 1X</v>
          </cell>
          <cell r="B106">
            <v>320010351</v>
          </cell>
          <cell r="C106" t="str">
            <v>7UP 10L BIB 1X</v>
          </cell>
          <cell r="D106">
            <v>12</v>
          </cell>
          <cell r="E106">
            <v>4</v>
          </cell>
          <cell r="F106">
            <v>48</v>
          </cell>
          <cell r="G106">
            <v>10000</v>
          </cell>
          <cell r="H106">
            <v>6</v>
          </cell>
          <cell r="I106">
            <v>10.567101091933779</v>
          </cell>
          <cell r="J106">
            <v>180</v>
          </cell>
          <cell r="K106" t="str">
            <v>BIB 10L</v>
          </cell>
          <cell r="L106" t="str">
            <v>10 L</v>
          </cell>
          <cell r="M106" t="str">
            <v>CSD PMX</v>
          </cell>
          <cell r="N106" t="str">
            <v>7-Up</v>
          </cell>
          <cell r="V106" t="str">
            <v>15.04.2025</v>
          </cell>
          <cell r="W106">
            <v>45762</v>
          </cell>
        </row>
        <row r="107">
          <cell r="A107" t="str">
            <v>MIRINDA ORANGE 10L BIB 1X</v>
          </cell>
          <cell r="B107">
            <v>320010368</v>
          </cell>
          <cell r="C107" t="str">
            <v>MIRINDA ORANGE 10L BIB 1X</v>
          </cell>
          <cell r="D107">
            <v>12</v>
          </cell>
          <cell r="E107">
            <v>4</v>
          </cell>
          <cell r="F107">
            <v>48</v>
          </cell>
          <cell r="G107">
            <v>10000</v>
          </cell>
          <cell r="H107">
            <v>5</v>
          </cell>
          <cell r="I107">
            <v>8.805917576611483</v>
          </cell>
          <cell r="J107">
            <v>180</v>
          </cell>
          <cell r="K107" t="str">
            <v>BIB 10L</v>
          </cell>
          <cell r="L107" t="str">
            <v>10 L</v>
          </cell>
          <cell r="M107" t="str">
            <v>CSD PMX</v>
          </cell>
          <cell r="N107" t="str">
            <v>MRD Orange</v>
          </cell>
          <cell r="V107" t="str">
            <v>16.04.2025</v>
          </cell>
          <cell r="W107">
            <v>45763</v>
          </cell>
        </row>
        <row r="108">
          <cell r="A108" t="str">
            <v>MIRINDA STRWB 10L BIB 1X</v>
          </cell>
          <cell r="B108">
            <v>320010382</v>
          </cell>
          <cell r="C108" t="str">
            <v>MIRINDA STRWB 10L BIB 1X</v>
          </cell>
          <cell r="D108">
            <v>12</v>
          </cell>
          <cell r="E108">
            <v>4</v>
          </cell>
          <cell r="F108">
            <v>48</v>
          </cell>
          <cell r="G108">
            <v>10000</v>
          </cell>
          <cell r="H108">
            <v>5</v>
          </cell>
          <cell r="I108">
            <v>8.805917576611483</v>
          </cell>
          <cell r="J108">
            <v>180</v>
          </cell>
          <cell r="K108" t="str">
            <v>BIB 10L</v>
          </cell>
          <cell r="L108" t="str">
            <v>10 L</v>
          </cell>
          <cell r="M108" t="str">
            <v>CSD PMX</v>
          </cell>
          <cell r="N108" t="str">
            <v>MRD Strawberry</v>
          </cell>
          <cell r="V108" t="str">
            <v>17.04.2025</v>
          </cell>
          <cell r="W108">
            <v>45764</v>
          </cell>
        </row>
        <row r="109">
          <cell r="A109" t="str">
            <v>MIRINDA STRWB 10L BIB 1X_SL</v>
          </cell>
          <cell r="B109">
            <v>320019518</v>
          </cell>
          <cell r="C109" t="str">
            <v>MIRINDA STRWB 10L BIB 1X_SL</v>
          </cell>
          <cell r="D109">
            <v>12</v>
          </cell>
          <cell r="E109">
            <v>4</v>
          </cell>
          <cell r="F109">
            <v>48</v>
          </cell>
          <cell r="G109">
            <v>10000</v>
          </cell>
          <cell r="H109">
            <v>5</v>
          </cell>
          <cell r="I109">
            <v>8.805917576611483</v>
          </cell>
          <cell r="J109">
            <v>180</v>
          </cell>
          <cell r="K109" t="str">
            <v>BIB 10L</v>
          </cell>
          <cell r="L109" t="str">
            <v>10 L</v>
          </cell>
          <cell r="M109" t="str">
            <v>CSD PMX</v>
          </cell>
          <cell r="N109" t="str">
            <v>MRD Strawberry</v>
          </cell>
          <cell r="V109" t="str">
            <v>18.04.2025</v>
          </cell>
          <cell r="W109">
            <v>45765</v>
          </cell>
        </row>
        <row r="110">
          <cell r="A110" t="str">
            <v>MIRINDA ROOTBEER 10L BIB 1X</v>
          </cell>
          <cell r="B110">
            <v>320010376</v>
          </cell>
          <cell r="C110" t="str">
            <v>MIRINDA ROOTBEER 10L BIB 1X</v>
          </cell>
          <cell r="D110">
            <v>12</v>
          </cell>
          <cell r="E110">
            <v>4</v>
          </cell>
          <cell r="F110">
            <v>48</v>
          </cell>
          <cell r="G110">
            <v>10000</v>
          </cell>
          <cell r="H110">
            <v>5</v>
          </cell>
          <cell r="I110">
            <v>8.805917576611483</v>
          </cell>
          <cell r="J110">
            <v>180</v>
          </cell>
          <cell r="K110" t="str">
            <v>BIB 10L</v>
          </cell>
          <cell r="L110" t="str">
            <v>10 L</v>
          </cell>
          <cell r="M110" t="str">
            <v>CSD PMX</v>
          </cell>
          <cell r="N110" t="str">
            <v>MRD Rootbeer</v>
          </cell>
          <cell r="V110" t="str">
            <v>19.04.2025</v>
          </cell>
          <cell r="W110">
            <v>45766</v>
          </cell>
        </row>
        <row r="111">
          <cell r="A111" t="str">
            <v>PEPSI MAX 10L BIB 1X</v>
          </cell>
          <cell r="B111">
            <v>320019573</v>
          </cell>
          <cell r="C111" t="str">
            <v>PEPSI MAX 10L BIB 1X</v>
          </cell>
          <cell r="D111">
            <v>12</v>
          </cell>
          <cell r="E111">
            <v>4</v>
          </cell>
          <cell r="F111">
            <v>48</v>
          </cell>
          <cell r="G111">
            <v>10000</v>
          </cell>
          <cell r="H111">
            <v>6</v>
          </cell>
          <cell r="I111">
            <v>10.567101091933779</v>
          </cell>
          <cell r="J111">
            <v>120</v>
          </cell>
          <cell r="K111" t="str">
            <v>BIB 10L</v>
          </cell>
          <cell r="L111" t="str">
            <v>10 L</v>
          </cell>
          <cell r="M111" t="str">
            <v>CSD PMX</v>
          </cell>
          <cell r="N111" t="str">
            <v>Pepsi Max</v>
          </cell>
          <cell r="V111" t="str">
            <v>20.04.2025</v>
          </cell>
          <cell r="W111">
            <v>45767</v>
          </cell>
        </row>
        <row r="112">
          <cell r="A112" t="str">
            <v>MOUNTAIN DEW CITRUS 10L BIB 1X</v>
          </cell>
          <cell r="B112">
            <v>320016160</v>
          </cell>
          <cell r="C112" t="str">
            <v>MOUNTAIN DEW CITRUS 10L BIB 1X</v>
          </cell>
          <cell r="D112">
            <v>12</v>
          </cell>
          <cell r="E112">
            <v>4</v>
          </cell>
          <cell r="F112">
            <v>48</v>
          </cell>
          <cell r="G112">
            <v>10000</v>
          </cell>
          <cell r="H112">
            <v>5</v>
          </cell>
          <cell r="I112">
            <v>8.805917576611483</v>
          </cell>
          <cell r="J112">
            <v>180</v>
          </cell>
          <cell r="K112" t="str">
            <v>BIB 10L</v>
          </cell>
          <cell r="L112" t="str">
            <v>10 L</v>
          </cell>
          <cell r="M112" t="str">
            <v>CSD PMX</v>
          </cell>
          <cell r="N112" t="str">
            <v>Dew</v>
          </cell>
          <cell r="V112" t="str">
            <v>21.04.2025</v>
          </cell>
          <cell r="W112">
            <v>45768</v>
          </cell>
        </row>
        <row r="113">
          <cell r="A113" t="str">
            <v>GAS CYLINDER CO2 9KG FILLED</v>
          </cell>
          <cell r="B113">
            <v>320010358</v>
          </cell>
          <cell r="C113" t="str">
            <v>GAS CYLINDER CO2 9KG FILLED</v>
          </cell>
          <cell r="D113">
            <v>20</v>
          </cell>
          <cell r="E113">
            <v>1</v>
          </cell>
          <cell r="F113">
            <v>20</v>
          </cell>
          <cell r="G113">
            <v>9000</v>
          </cell>
          <cell r="I113">
            <v>0</v>
          </cell>
          <cell r="J113">
            <v>365</v>
          </cell>
          <cell r="K113" t="str">
            <v>Co2 9KG</v>
          </cell>
          <cell r="L113" t="str">
            <v>9 KG</v>
          </cell>
          <cell r="M113" t="str">
            <v>CSD PMX</v>
          </cell>
          <cell r="N113" t="str">
            <v>CO2</v>
          </cell>
          <cell r="V113" t="str">
            <v>22.04.2025</v>
          </cell>
          <cell r="W113">
            <v>45769</v>
          </cell>
        </row>
        <row r="114">
          <cell r="A114" t="str">
            <v>AQUAVESS OTHER 1.5L PET</v>
          </cell>
          <cell r="B114">
            <v>320011204</v>
          </cell>
          <cell r="C114" t="str">
            <v>AQUAVESS OTHER 1.5L PET</v>
          </cell>
          <cell r="D114">
            <v>28</v>
          </cell>
          <cell r="E114">
            <v>4</v>
          </cell>
          <cell r="F114">
            <v>112</v>
          </cell>
          <cell r="G114">
            <v>1500</v>
          </cell>
          <cell r="H114">
            <v>6</v>
          </cell>
          <cell r="I114">
            <v>1.585065163790067</v>
          </cell>
          <cell r="J114">
            <v>730</v>
          </cell>
          <cell r="K114" t="str">
            <v>WATER 1500</v>
          </cell>
          <cell r="L114" t="str">
            <v>1500 ml</v>
          </cell>
          <cell r="M114" t="str">
            <v>WATER PET</v>
          </cell>
          <cell r="N114" t="str">
            <v>Water</v>
          </cell>
          <cell r="V114" t="str">
            <v>23.04.2025</v>
          </cell>
          <cell r="W114">
            <v>45770</v>
          </cell>
        </row>
        <row r="115">
          <cell r="A115" t="str">
            <v>AQUAVESS OTHER 600ML PET</v>
          </cell>
          <cell r="B115">
            <v>320011203</v>
          </cell>
          <cell r="C115" t="str">
            <v>AQUAVESS OTHER 600ML PET</v>
          </cell>
          <cell r="D115">
            <v>12</v>
          </cell>
          <cell r="E115">
            <v>10</v>
          </cell>
          <cell r="F115">
            <v>120</v>
          </cell>
          <cell r="G115">
            <v>600</v>
          </cell>
          <cell r="H115">
            <v>12</v>
          </cell>
          <cell r="I115">
            <v>1.2680521310320536</v>
          </cell>
          <cell r="J115">
            <v>730</v>
          </cell>
          <cell r="K115" t="str">
            <v>WATER 600</v>
          </cell>
          <cell r="L115" t="str">
            <v>600 ml</v>
          </cell>
          <cell r="M115" t="str">
            <v>WATER PET</v>
          </cell>
          <cell r="N115" t="str">
            <v>Water</v>
          </cell>
          <cell r="V115" t="str">
            <v>24.04.2025</v>
          </cell>
          <cell r="W115">
            <v>45771</v>
          </cell>
        </row>
        <row r="116">
          <cell r="A116" t="str">
            <v>AQUAFINA WATER 550ML PET_120</v>
          </cell>
          <cell r="B116">
            <v>320019179</v>
          </cell>
          <cell r="C116" t="str">
            <v>AQUAFINA WATER 550ML PET_120</v>
          </cell>
          <cell r="D116">
            <v>12</v>
          </cell>
          <cell r="E116">
            <v>10</v>
          </cell>
          <cell r="F116">
            <v>120</v>
          </cell>
          <cell r="G116">
            <v>550</v>
          </cell>
          <cell r="H116">
            <v>12</v>
          </cell>
          <cell r="I116">
            <v>1.1623811201127157</v>
          </cell>
          <cell r="J116">
            <v>730</v>
          </cell>
          <cell r="K116" t="str">
            <v>WATER 550</v>
          </cell>
          <cell r="L116" t="str">
            <v>550ml</v>
          </cell>
          <cell r="M116" t="str">
            <v>WATER PET</v>
          </cell>
          <cell r="N116" t="str">
            <v>Water</v>
          </cell>
          <cell r="V116" t="str">
            <v>25.04.2025</v>
          </cell>
          <cell r="W116">
            <v>45772</v>
          </cell>
        </row>
        <row r="117">
          <cell r="A117" t="str">
            <v>AQUAFINA WATER  600ML PET_120</v>
          </cell>
          <cell r="B117">
            <v>320017381</v>
          </cell>
          <cell r="C117" t="str">
            <v>AQUAFINA WATER  600ML PET_120</v>
          </cell>
          <cell r="D117">
            <v>12</v>
          </cell>
          <cell r="E117">
            <v>10</v>
          </cell>
          <cell r="F117">
            <v>120</v>
          </cell>
          <cell r="G117">
            <v>600</v>
          </cell>
          <cell r="H117">
            <v>12</v>
          </cell>
          <cell r="I117">
            <v>1.2680521310320536</v>
          </cell>
          <cell r="J117">
            <v>730</v>
          </cell>
          <cell r="K117" t="str">
            <v>WATER 600</v>
          </cell>
          <cell r="L117" t="str">
            <v>600 ml</v>
          </cell>
          <cell r="M117" t="str">
            <v>WATER PET</v>
          </cell>
          <cell r="N117" t="str">
            <v>Water</v>
          </cell>
          <cell r="V117" t="str">
            <v>26.04.2025</v>
          </cell>
          <cell r="W117">
            <v>45773</v>
          </cell>
        </row>
        <row r="118">
          <cell r="A118" t="str">
            <v>AQUAFINA WATER  1.5L PET_112</v>
          </cell>
          <cell r="B118">
            <v>320017382</v>
          </cell>
          <cell r="C118" t="str">
            <v>AQUAFINA WATER  1.5L PET_112</v>
          </cell>
          <cell r="D118">
            <v>28</v>
          </cell>
          <cell r="E118">
            <v>4</v>
          </cell>
          <cell r="F118">
            <v>112</v>
          </cell>
          <cell r="G118">
            <v>1500</v>
          </cell>
          <cell r="H118">
            <v>6</v>
          </cell>
          <cell r="I118">
            <v>1.585065163790067</v>
          </cell>
          <cell r="J118">
            <v>730</v>
          </cell>
          <cell r="K118" t="str">
            <v>WATER 1500</v>
          </cell>
          <cell r="L118" t="str">
            <v>1500 ml</v>
          </cell>
          <cell r="M118" t="str">
            <v>WATER PET</v>
          </cell>
          <cell r="N118" t="str">
            <v>Water</v>
          </cell>
          <cell r="V118" t="str">
            <v>27.04.2025</v>
          </cell>
          <cell r="W118">
            <v>45774</v>
          </cell>
        </row>
        <row r="119">
          <cell r="A119" t="str">
            <v>LIPTON LEMON 10L BIB 1X</v>
          </cell>
          <cell r="B119">
            <v>320013321</v>
          </cell>
          <cell r="C119" t="str">
            <v>LIPTON LEMON 10L BIB 1X</v>
          </cell>
          <cell r="D119">
            <v>12</v>
          </cell>
          <cell r="E119">
            <v>4</v>
          </cell>
          <cell r="F119">
            <v>48</v>
          </cell>
          <cell r="G119">
            <v>10000</v>
          </cell>
          <cell r="H119">
            <v>6</v>
          </cell>
          <cell r="I119">
            <v>10.567101091933779</v>
          </cell>
          <cell r="J119">
            <v>180</v>
          </cell>
          <cell r="K119" t="str">
            <v>BIB NCB 10L</v>
          </cell>
          <cell r="L119" t="str">
            <v>10 L</v>
          </cell>
          <cell r="M119" t="str">
            <v>NCB PMX</v>
          </cell>
          <cell r="N119" t="str">
            <v>Lipton</v>
          </cell>
          <cell r="V119" t="str">
            <v>28.04.2025</v>
          </cell>
          <cell r="W119">
            <v>45775</v>
          </cell>
        </row>
        <row r="120">
          <cell r="A120" t="str">
            <v>AQUAFINA WATER 1.5L PET_92</v>
          </cell>
          <cell r="B120">
            <v>320017934</v>
          </cell>
          <cell r="C120" t="str">
            <v>AQUAFINA WATER  1.5L PET</v>
          </cell>
          <cell r="D120">
            <v>23</v>
          </cell>
          <cell r="E120">
            <v>4</v>
          </cell>
          <cell r="F120">
            <v>92</v>
          </cell>
          <cell r="G120">
            <v>1500</v>
          </cell>
          <cell r="H120">
            <v>6</v>
          </cell>
          <cell r="I120">
            <v>1.585065163790067</v>
          </cell>
          <cell r="J120">
            <v>730</v>
          </cell>
          <cell r="K120" t="str">
            <v>WATER 1500</v>
          </cell>
          <cell r="L120" t="str">
            <v>1500 ml</v>
          </cell>
          <cell r="M120" t="str">
            <v>WATER PET</v>
          </cell>
          <cell r="N120" t="str">
            <v>Water</v>
          </cell>
          <cell r="V120" t="str">
            <v>29.04.2025</v>
          </cell>
          <cell r="W120">
            <v>45776</v>
          </cell>
        </row>
        <row r="121">
          <cell r="A121" t="str">
            <v>AQUAFINA WATER 600ML PET_110</v>
          </cell>
          <cell r="B121">
            <v>320017933</v>
          </cell>
          <cell r="C121" t="str">
            <v>AQUAFINA WATER  600ML PET</v>
          </cell>
          <cell r="D121">
            <v>22</v>
          </cell>
          <cell r="E121">
            <v>5</v>
          </cell>
          <cell r="F121">
            <v>110</v>
          </cell>
          <cell r="G121">
            <v>600</v>
          </cell>
          <cell r="H121">
            <v>12</v>
          </cell>
          <cell r="I121">
            <v>1.2680521310320536</v>
          </cell>
          <cell r="J121">
            <v>730</v>
          </cell>
          <cell r="K121" t="str">
            <v>WATER 600</v>
          </cell>
          <cell r="L121" t="str">
            <v>600 ml</v>
          </cell>
          <cell r="M121" t="str">
            <v>WATER PET</v>
          </cell>
          <cell r="N121" t="str">
            <v>Water</v>
          </cell>
          <cell r="V121" t="str">
            <v>30.04.2025</v>
          </cell>
          <cell r="W121">
            <v>45777</v>
          </cell>
        </row>
        <row r="122">
          <cell r="A122" t="str">
            <v>AQUAFINA MINERAL WATER 550ML PET_110 TC</v>
          </cell>
          <cell r="B122">
            <v>320022369</v>
          </cell>
          <cell r="C122" t="str">
            <v>AQUAFINA MINERAL WATER 550ML PET_110 TC</v>
          </cell>
          <cell r="D122">
            <v>22</v>
          </cell>
          <cell r="E122">
            <v>5</v>
          </cell>
          <cell r="F122">
            <v>110</v>
          </cell>
          <cell r="G122">
            <v>550</v>
          </cell>
          <cell r="H122">
            <v>12</v>
          </cell>
          <cell r="I122">
            <v>1.1623811201127157</v>
          </cell>
          <cell r="J122">
            <v>365</v>
          </cell>
          <cell r="K122" t="str">
            <v>MINERAL 550</v>
          </cell>
          <cell r="L122" t="str">
            <v>550ml</v>
          </cell>
          <cell r="M122" t="str">
            <v>WATER PET</v>
          </cell>
          <cell r="N122" t="str">
            <v>Water</v>
          </cell>
          <cell r="V122" t="str">
            <v>01.05.2025</v>
          </cell>
          <cell r="W122">
            <v>45778</v>
          </cell>
        </row>
        <row r="123">
          <cell r="A123" t="str">
            <v>AQUAFINA MINERAL WATER 550ML PET_110</v>
          </cell>
          <cell r="B123">
            <v>320019739</v>
          </cell>
          <cell r="C123" t="str">
            <v>AQUAFINA MINERAL WATER 550ML PET</v>
          </cell>
          <cell r="D123">
            <v>22</v>
          </cell>
          <cell r="E123">
            <v>5</v>
          </cell>
          <cell r="F123">
            <v>110</v>
          </cell>
          <cell r="G123">
            <v>550</v>
          </cell>
          <cell r="H123">
            <v>12</v>
          </cell>
          <cell r="I123">
            <v>1.1623811201127157</v>
          </cell>
          <cell r="J123">
            <v>365</v>
          </cell>
          <cell r="K123" t="str">
            <v>MINERAL 550</v>
          </cell>
          <cell r="L123" t="str">
            <v>550ml</v>
          </cell>
          <cell r="M123" t="str">
            <v>WATER PET</v>
          </cell>
          <cell r="N123" t="str">
            <v>Water</v>
          </cell>
          <cell r="V123" t="str">
            <v>02.05.2025</v>
          </cell>
          <cell r="W123">
            <v>45779</v>
          </cell>
        </row>
        <row r="124">
          <cell r="A124" t="str">
            <v>AQUAFINA MINERAL WATER 1.5L PET_92</v>
          </cell>
          <cell r="B124">
            <v>320019740</v>
          </cell>
          <cell r="C124" t="str">
            <v>AQUAFINA MINERAL WATER 1.5L PET</v>
          </cell>
          <cell r="D124">
            <v>23</v>
          </cell>
          <cell r="E124">
            <v>4</v>
          </cell>
          <cell r="F124">
            <v>92</v>
          </cell>
          <cell r="G124">
            <v>1500</v>
          </cell>
          <cell r="H124">
            <v>6</v>
          </cell>
          <cell r="I124">
            <v>1.585065163790067</v>
          </cell>
          <cell r="J124">
            <v>365</v>
          </cell>
          <cell r="K124" t="str">
            <v>MINERAL 1500</v>
          </cell>
          <cell r="L124" t="str">
            <v>1500 ml</v>
          </cell>
          <cell r="M124" t="str">
            <v>WATER PET</v>
          </cell>
          <cell r="N124" t="str">
            <v>Water</v>
          </cell>
          <cell r="V124" t="str">
            <v>03.05.2025</v>
          </cell>
          <cell r="W124">
            <v>45780</v>
          </cell>
        </row>
        <row r="125">
          <cell r="A125" t="str">
            <v>LIPTON LEMON 300ML PET 12X_196</v>
          </cell>
          <cell r="B125">
            <v>320018097</v>
          </cell>
          <cell r="C125" t="str">
            <v>LIPTON LEMON 300ML PET 12X</v>
          </cell>
          <cell r="D125">
            <v>28</v>
          </cell>
          <cell r="E125">
            <v>7</v>
          </cell>
          <cell r="F125">
            <v>196</v>
          </cell>
          <cell r="G125">
            <v>300</v>
          </cell>
          <cell r="H125">
            <v>12</v>
          </cell>
          <cell r="I125">
            <v>0.6340260655160268</v>
          </cell>
          <cell r="J125">
            <v>270</v>
          </cell>
          <cell r="K125" t="str">
            <v>PET NCB 320</v>
          </cell>
          <cell r="L125" t="str">
            <v>300 ml</v>
          </cell>
          <cell r="M125" t="str">
            <v>NCB PET</v>
          </cell>
          <cell r="N125" t="str">
            <v>Lipton</v>
          </cell>
          <cell r="V125" t="str">
            <v>04.05.2025</v>
          </cell>
          <cell r="W125">
            <v>45781</v>
          </cell>
        </row>
        <row r="126">
          <cell r="A126" t="str">
            <v>LIPTON LEMON 445ML PET 24X_60</v>
          </cell>
          <cell r="B126">
            <v>320018098</v>
          </cell>
          <cell r="C126" t="str">
            <v>LIPTON LEMON 445ML PET 24X</v>
          </cell>
          <cell r="D126">
            <v>10</v>
          </cell>
          <cell r="E126">
            <v>6</v>
          </cell>
          <cell r="F126">
            <v>60</v>
          </cell>
          <cell r="G126">
            <v>445</v>
          </cell>
          <cell r="H126">
            <v>24</v>
          </cell>
          <cell r="I126">
            <v>1.8809439943642128</v>
          </cell>
          <cell r="J126">
            <v>270</v>
          </cell>
          <cell r="K126" t="str">
            <v>PET NCB 445</v>
          </cell>
          <cell r="L126" t="str">
            <v>445 ml</v>
          </cell>
          <cell r="M126" t="str">
            <v>NCB PET</v>
          </cell>
          <cell r="N126" t="str">
            <v>Lipton</v>
          </cell>
          <cell r="V126" t="str">
            <v>05.05.2025</v>
          </cell>
          <cell r="W126">
            <v>45782</v>
          </cell>
        </row>
        <row r="127">
          <cell r="A127" t="str">
            <v>LIPTON LEMON 245ML CAN 4X MP_64</v>
          </cell>
          <cell r="B127">
            <v>320018099</v>
          </cell>
          <cell r="C127" t="str">
            <v>LIPTON LEMON 245ML CAN 4X MP</v>
          </cell>
          <cell r="D127">
            <v>16</v>
          </cell>
          <cell r="E127">
            <v>4</v>
          </cell>
          <cell r="F127">
            <v>64</v>
          </cell>
          <cell r="G127">
            <v>245</v>
          </cell>
          <cell r="H127">
            <v>24</v>
          </cell>
          <cell r="I127">
            <v>1.0355759070095103</v>
          </cell>
          <cell r="J127">
            <v>365</v>
          </cell>
          <cell r="K127" t="str">
            <v>CAN NCB 250</v>
          </cell>
          <cell r="L127" t="str">
            <v>245 ml</v>
          </cell>
          <cell r="M127" t="str">
            <v>NCB CAN</v>
          </cell>
          <cell r="N127" t="str">
            <v>Lipton</v>
          </cell>
          <cell r="V127" t="str">
            <v>06.05.2025</v>
          </cell>
          <cell r="W127">
            <v>45783</v>
          </cell>
        </row>
        <row r="128">
          <cell r="A128" t="str">
            <v>LIPTON PEACH 245ML CAN 4X MP_64</v>
          </cell>
          <cell r="B128">
            <v>320018110</v>
          </cell>
          <cell r="C128" t="str">
            <v>LIPTON PEACH 245ML CAN 4X MP</v>
          </cell>
          <cell r="D128">
            <v>16</v>
          </cell>
          <cell r="E128">
            <v>4</v>
          </cell>
          <cell r="F128">
            <v>64</v>
          </cell>
          <cell r="G128">
            <v>245</v>
          </cell>
          <cell r="H128">
            <v>24</v>
          </cell>
          <cell r="I128">
            <v>1.0355759070095103</v>
          </cell>
          <cell r="J128">
            <v>365</v>
          </cell>
          <cell r="K128" t="str">
            <v>CAN NCB 250</v>
          </cell>
          <cell r="L128" t="str">
            <v>245 ml</v>
          </cell>
          <cell r="M128" t="str">
            <v>NCB CAN</v>
          </cell>
          <cell r="N128" t="str">
            <v>Lipton</v>
          </cell>
          <cell r="V128" t="str">
            <v>07.05.2025</v>
          </cell>
          <cell r="W128">
            <v>45784</v>
          </cell>
        </row>
        <row r="129">
          <cell r="A129" t="str">
            <v>AQF VITZAA ORANGE PET 345ML 12X _180</v>
          </cell>
          <cell r="B129">
            <v>320018792</v>
          </cell>
          <cell r="C129" t="str">
            <v>AQUAFINA VITAMIN ORANGE 345ML PET 12X</v>
          </cell>
          <cell r="D129">
            <v>30</v>
          </cell>
          <cell r="E129">
            <v>6</v>
          </cell>
          <cell r="F129">
            <v>180</v>
          </cell>
          <cell r="G129">
            <v>345</v>
          </cell>
          <cell r="H129">
            <v>12</v>
          </cell>
          <cell r="I129">
            <v>0.72912997534343083</v>
          </cell>
          <cell r="J129">
            <v>120</v>
          </cell>
          <cell r="K129" t="str">
            <v>PET AQ 350</v>
          </cell>
          <cell r="L129" t="str">
            <v>345 ml</v>
          </cell>
          <cell r="M129" t="str">
            <v>CSD PET</v>
          </cell>
          <cell r="N129" t="str">
            <v>AQF Vitzaa</v>
          </cell>
          <cell r="V129" t="str">
            <v>08.05.2025</v>
          </cell>
          <cell r="W129">
            <v>45785</v>
          </cell>
        </row>
        <row r="130">
          <cell r="A130" t="str">
            <v>AQF VITZAA ORANGE PET 445ML 24X_72</v>
          </cell>
          <cell r="B130">
            <v>320018793</v>
          </cell>
          <cell r="C130" t="str">
            <v>AQUAFINA VITAMIN ORANGE 445ML PET 24X</v>
          </cell>
          <cell r="D130">
            <v>12</v>
          </cell>
          <cell r="E130">
            <v>6</v>
          </cell>
          <cell r="F130">
            <v>72</v>
          </cell>
          <cell r="G130">
            <v>445</v>
          </cell>
          <cell r="H130">
            <v>24</v>
          </cell>
          <cell r="I130">
            <v>1.8809439943642128</v>
          </cell>
          <cell r="J130">
            <v>180</v>
          </cell>
          <cell r="K130" t="str">
            <v>PET AQ 450</v>
          </cell>
          <cell r="L130" t="str">
            <v>445 ml</v>
          </cell>
          <cell r="M130" t="str">
            <v>CSD PET</v>
          </cell>
          <cell r="N130" t="str">
            <v>AQF Vitzaa</v>
          </cell>
          <cell r="V130" t="str">
            <v>09.05.2025</v>
          </cell>
          <cell r="W130">
            <v>45786</v>
          </cell>
        </row>
        <row r="131">
          <cell r="A131" t="str">
            <v>AQF VITZ ORANGE 445ML PET 24X 15B_72</v>
          </cell>
          <cell r="B131">
            <v>320020579</v>
          </cell>
          <cell r="C131" t="str">
            <v>AQF VITZ ORANGE 445ML PET 24X 15B_72</v>
          </cell>
          <cell r="D131">
            <v>12</v>
          </cell>
          <cell r="E131">
            <v>6</v>
          </cell>
          <cell r="F131">
            <v>72</v>
          </cell>
          <cell r="G131">
            <v>445</v>
          </cell>
          <cell r="H131">
            <v>24</v>
          </cell>
          <cell r="I131">
            <v>1.8809439943642128</v>
          </cell>
          <cell r="J131">
            <v>180</v>
          </cell>
          <cell r="K131" t="str">
            <v>PET AQ 450</v>
          </cell>
          <cell r="L131" t="str">
            <v>445 ml</v>
          </cell>
          <cell r="M131" t="str">
            <v>CSD PET</v>
          </cell>
          <cell r="N131" t="str">
            <v>AQF Vitzaa</v>
          </cell>
          <cell r="V131" t="str">
            <v>10.05.2025</v>
          </cell>
          <cell r="W131">
            <v>45787</v>
          </cell>
        </row>
        <row r="132">
          <cell r="A132" t="str">
            <v>AQF VITZAA GRN APPLE PET 345ML 12X_180</v>
          </cell>
          <cell r="B132">
            <v>320018928</v>
          </cell>
          <cell r="C132" t="str">
            <v>AQUAFINA VITAMIN GREEN APPLE 345ML PET 12X</v>
          </cell>
          <cell r="D132">
            <v>30</v>
          </cell>
          <cell r="E132">
            <v>6</v>
          </cell>
          <cell r="F132">
            <v>180</v>
          </cell>
          <cell r="G132">
            <v>345</v>
          </cell>
          <cell r="H132">
            <v>12</v>
          </cell>
          <cell r="I132">
            <v>0.72912997534343083</v>
          </cell>
          <cell r="J132">
            <v>120</v>
          </cell>
          <cell r="K132" t="str">
            <v>PET AQ 350</v>
          </cell>
          <cell r="L132" t="str">
            <v>345 ml</v>
          </cell>
          <cell r="M132" t="str">
            <v>CSD PET</v>
          </cell>
          <cell r="N132" t="str">
            <v>AQF Vitzaa</v>
          </cell>
          <cell r="V132" t="str">
            <v>11.05.2025</v>
          </cell>
          <cell r="W132">
            <v>45788</v>
          </cell>
        </row>
        <row r="133">
          <cell r="A133" t="str">
            <v>AQF VITZAA GRN APPLE PET 445ML 24X_72</v>
          </cell>
          <cell r="B133">
            <v>320018795</v>
          </cell>
          <cell r="C133" t="str">
            <v>AQUAFINA VITAMIN GREEN APPLE 445ML PET 24X</v>
          </cell>
          <cell r="D133">
            <v>12</v>
          </cell>
          <cell r="E133">
            <v>6</v>
          </cell>
          <cell r="F133">
            <v>72</v>
          </cell>
          <cell r="G133">
            <v>445</v>
          </cell>
          <cell r="H133">
            <v>24</v>
          </cell>
          <cell r="I133">
            <v>1.8809439943642128</v>
          </cell>
          <cell r="J133">
            <v>180</v>
          </cell>
          <cell r="K133" t="str">
            <v>PET AQ 450</v>
          </cell>
          <cell r="L133" t="str">
            <v>445 ml</v>
          </cell>
          <cell r="M133" t="str">
            <v>CSD PET</v>
          </cell>
          <cell r="N133" t="str">
            <v>AQF Vitzaa</v>
          </cell>
          <cell r="V133" t="str">
            <v>12.05.2025</v>
          </cell>
          <cell r="W133">
            <v>45789</v>
          </cell>
        </row>
        <row r="134">
          <cell r="A134" t="str">
            <v>AQF VITZ GRN APPLE 445ML PET 24X 15B_72</v>
          </cell>
          <cell r="B134">
            <v>320020578</v>
          </cell>
          <cell r="C134" t="str">
            <v>AQF VITZ GRN APPLE 445ML PET 24X 15B_72</v>
          </cell>
          <cell r="D134">
            <v>12</v>
          </cell>
          <cell r="E134">
            <v>6</v>
          </cell>
          <cell r="F134">
            <v>72</v>
          </cell>
          <cell r="G134">
            <v>445</v>
          </cell>
          <cell r="H134">
            <v>24</v>
          </cell>
          <cell r="I134">
            <v>1.8809439943642128</v>
          </cell>
          <cell r="J134">
            <v>180</v>
          </cell>
          <cell r="K134" t="str">
            <v>PET AQ 450</v>
          </cell>
          <cell r="L134" t="str">
            <v>445 ml</v>
          </cell>
          <cell r="M134" t="str">
            <v>CSD PET</v>
          </cell>
          <cell r="N134" t="str">
            <v>AQF Vitzaa</v>
          </cell>
          <cell r="V134" t="str">
            <v>13.05.2025</v>
          </cell>
          <cell r="W134">
            <v>45790</v>
          </cell>
        </row>
        <row r="135">
          <cell r="A135" t="str">
            <v>MRD MIX IT APPLE KIWI 300ML PET 12X_174</v>
          </cell>
          <cell r="B135">
            <v>320020570</v>
          </cell>
          <cell r="C135" t="str">
            <v>MRD MIX-IT APPLE KIWI 300ML PET 12X_174</v>
          </cell>
          <cell r="D135">
            <v>29</v>
          </cell>
          <cell r="E135">
            <v>6</v>
          </cell>
          <cell r="F135">
            <v>174</v>
          </cell>
          <cell r="G135">
            <v>300</v>
          </cell>
          <cell r="H135">
            <v>12</v>
          </cell>
          <cell r="I135">
            <v>0.6340260655160268</v>
          </cell>
          <cell r="J135">
            <v>120</v>
          </cell>
          <cell r="K135" t="str">
            <v>PET MIXIT 300</v>
          </cell>
          <cell r="L135" t="str">
            <v>300 ml</v>
          </cell>
          <cell r="M135" t="str">
            <v>CSD PET</v>
          </cell>
          <cell r="N135" t="str">
            <v>Mixit</v>
          </cell>
          <cell r="V135" t="str">
            <v>14.05.2025</v>
          </cell>
          <cell r="W135">
            <v>45791</v>
          </cell>
        </row>
        <row r="136">
          <cell r="A136" t="str">
            <v>MRD MIX IT APPLE KIWI 400ML PET 24X_72</v>
          </cell>
          <cell r="B136">
            <v>320020571</v>
          </cell>
          <cell r="C136" t="str">
            <v>MRD MIX-IT APPLE KIWI 400ML PET 24X_72</v>
          </cell>
          <cell r="D136">
            <v>12</v>
          </cell>
          <cell r="E136">
            <v>6</v>
          </cell>
          <cell r="F136">
            <v>72</v>
          </cell>
          <cell r="G136">
            <v>400</v>
          </cell>
          <cell r="H136">
            <v>24</v>
          </cell>
          <cell r="I136">
            <v>1.6907361747094047</v>
          </cell>
          <cell r="J136">
            <v>180</v>
          </cell>
          <cell r="K136" t="str">
            <v>PET MIXIT 400</v>
          </cell>
          <cell r="L136" t="str">
            <v>400 ml</v>
          </cell>
          <cell r="M136" t="str">
            <v>CSD PET</v>
          </cell>
          <cell r="N136" t="str">
            <v>Mixit</v>
          </cell>
          <cell r="V136" t="str">
            <v>15.05.2025</v>
          </cell>
          <cell r="W136">
            <v>45792</v>
          </cell>
        </row>
        <row r="137">
          <cell r="A137" t="str">
            <v>MRD MIX IT APPLE KIWI 1.2L PET 12X_44</v>
          </cell>
          <cell r="B137">
            <v>320020572</v>
          </cell>
          <cell r="C137" t="str">
            <v>MRD MIX-IT APPLE KIWI 1.2L PET 12X_48</v>
          </cell>
          <cell r="D137">
            <v>11</v>
          </cell>
          <cell r="E137">
            <v>4</v>
          </cell>
          <cell r="F137">
            <v>44</v>
          </cell>
          <cell r="G137">
            <v>1200</v>
          </cell>
          <cell r="H137">
            <v>12</v>
          </cell>
          <cell r="I137">
            <v>2.5361042620641072</v>
          </cell>
          <cell r="J137">
            <v>180</v>
          </cell>
          <cell r="K137" t="str">
            <v>PET MIXIT 1200</v>
          </cell>
          <cell r="L137" t="str">
            <v>1250 ml</v>
          </cell>
          <cell r="M137" t="str">
            <v>CSD PET</v>
          </cell>
          <cell r="N137" t="str">
            <v>Mixit</v>
          </cell>
          <cell r="V137" t="str">
            <v>16.05.2025</v>
          </cell>
          <cell r="W137">
            <v>45793</v>
          </cell>
        </row>
        <row r="138">
          <cell r="A138" t="str">
            <v>MRD MIX IT APPLE KIWI 1.45L PET 12X_48</v>
          </cell>
          <cell r="B138">
            <v>320020573</v>
          </cell>
          <cell r="C138" t="str">
            <v>MRD MIX-IT APPLE KIWI 1.45L PET 12X_48</v>
          </cell>
          <cell r="D138">
            <v>12</v>
          </cell>
          <cell r="E138">
            <v>4</v>
          </cell>
          <cell r="F138">
            <v>48</v>
          </cell>
          <cell r="G138">
            <v>1450</v>
          </cell>
          <cell r="H138">
            <v>12</v>
          </cell>
          <cell r="I138">
            <v>3.0644593166607961</v>
          </cell>
          <cell r="J138">
            <v>180</v>
          </cell>
          <cell r="K138" t="str">
            <v>PET 1500</v>
          </cell>
          <cell r="L138" t="str">
            <v>1450 ml</v>
          </cell>
          <cell r="M138" t="str">
            <v>CSD PET</v>
          </cell>
          <cell r="N138" t="str">
            <v>Mixit</v>
          </cell>
          <cell r="V138" t="str">
            <v>17.05.2025</v>
          </cell>
          <cell r="W138">
            <v>45794</v>
          </cell>
        </row>
        <row r="139">
          <cell r="A139" t="str">
            <v>MRD MIX IT LYCHEESTRW 300ML PET 12X_174</v>
          </cell>
          <cell r="B139">
            <v>320020574</v>
          </cell>
          <cell r="C139" t="str">
            <v>MRD MIX-IT  LYCHEESTRW 300ML PET 12X_174</v>
          </cell>
          <cell r="D139">
            <v>29</v>
          </cell>
          <cell r="E139">
            <v>6</v>
          </cell>
          <cell r="F139">
            <v>174</v>
          </cell>
          <cell r="G139">
            <v>300</v>
          </cell>
          <cell r="H139">
            <v>12</v>
          </cell>
          <cell r="I139">
            <v>0.6340260655160268</v>
          </cell>
          <cell r="J139">
            <v>120</v>
          </cell>
          <cell r="K139" t="str">
            <v>PET MIXIT 300</v>
          </cell>
          <cell r="L139" t="str">
            <v>300 ml</v>
          </cell>
          <cell r="M139" t="str">
            <v>CSD PET</v>
          </cell>
          <cell r="N139" t="str">
            <v>Mixit</v>
          </cell>
          <cell r="V139" t="str">
            <v>18.05.2025</v>
          </cell>
          <cell r="W139">
            <v>45795</v>
          </cell>
        </row>
        <row r="140">
          <cell r="A140" t="str">
            <v>MRD MIX IT LYCHEE STRW 400ML PET 24X_72</v>
          </cell>
          <cell r="B140">
            <v>320020575</v>
          </cell>
          <cell r="C140" t="str">
            <v>MRD MIX-IT  LYCHEE STRW 400ML PET 24X_72</v>
          </cell>
          <cell r="D140">
            <v>12</v>
          </cell>
          <cell r="E140">
            <v>6</v>
          </cell>
          <cell r="F140">
            <v>72</v>
          </cell>
          <cell r="G140">
            <v>400</v>
          </cell>
          <cell r="H140">
            <v>24</v>
          </cell>
          <cell r="I140">
            <v>1.6907361747094047</v>
          </cell>
          <cell r="J140">
            <v>180</v>
          </cell>
          <cell r="K140" t="str">
            <v>PET MIXIT 400</v>
          </cell>
          <cell r="L140" t="str">
            <v>400 ml</v>
          </cell>
          <cell r="M140" t="str">
            <v>CSD PET</v>
          </cell>
          <cell r="N140" t="str">
            <v>Mixit</v>
          </cell>
          <cell r="V140" t="str">
            <v>19.05.2025</v>
          </cell>
          <cell r="W140">
            <v>45796</v>
          </cell>
        </row>
        <row r="141">
          <cell r="A141" t="str">
            <v>MRD MIX IT LYCHEE STRW 1.2L PET 12X_44</v>
          </cell>
          <cell r="B141">
            <v>320020576</v>
          </cell>
          <cell r="C141" t="str">
            <v>MRD MIX-IT  LYCHEE STRW 1.2L PET 12X_48</v>
          </cell>
          <cell r="D141">
            <v>11</v>
          </cell>
          <cell r="E141">
            <v>4</v>
          </cell>
          <cell r="F141">
            <v>44</v>
          </cell>
          <cell r="G141">
            <v>1200</v>
          </cell>
          <cell r="H141">
            <v>12</v>
          </cell>
          <cell r="I141">
            <v>2.5361042620641072</v>
          </cell>
          <cell r="J141">
            <v>180</v>
          </cell>
          <cell r="K141" t="str">
            <v>PET MIXIT 1200</v>
          </cell>
          <cell r="L141" t="str">
            <v>1250 ml</v>
          </cell>
          <cell r="M141" t="str">
            <v>CSD PET</v>
          </cell>
          <cell r="N141" t="str">
            <v>Mixit</v>
          </cell>
          <cell r="V141" t="str">
            <v>20.05.2025</v>
          </cell>
          <cell r="W141">
            <v>45797</v>
          </cell>
        </row>
        <row r="142">
          <cell r="A142" t="str">
            <v>MRD MIX IT LYCHEE STRW 1.45L PET 12X_48</v>
          </cell>
          <cell r="B142">
            <v>320020577</v>
          </cell>
          <cell r="C142" t="str">
            <v>MRD MIX-IT  LYCHEE STRW 1.45L PET 12X_48</v>
          </cell>
          <cell r="D142">
            <v>12</v>
          </cell>
          <cell r="E142">
            <v>4</v>
          </cell>
          <cell r="F142">
            <v>48</v>
          </cell>
          <cell r="G142">
            <v>1450</v>
          </cell>
          <cell r="H142">
            <v>12</v>
          </cell>
          <cell r="I142">
            <v>3.0644593166607961</v>
          </cell>
          <cell r="J142">
            <v>180</v>
          </cell>
          <cell r="K142" t="str">
            <v>PET 1500</v>
          </cell>
          <cell r="L142" t="str">
            <v>1450 ml</v>
          </cell>
          <cell r="M142" t="str">
            <v>CSD PET</v>
          </cell>
          <cell r="N142" t="str">
            <v>Mixit</v>
          </cell>
          <cell r="V142" t="str">
            <v>21.05.2025</v>
          </cell>
          <cell r="W142">
            <v>45798</v>
          </cell>
        </row>
        <row r="143">
          <cell r="A143" t="str">
            <v>MRD MIX IT GRAPE MELON 300ML PET 12X_174</v>
          </cell>
          <cell r="B143">
            <v>320021593</v>
          </cell>
          <cell r="C143" t="str">
            <v>MRD MIX IT GRAPE MELON 300ML PET 12X_174</v>
          </cell>
          <cell r="D143">
            <v>29</v>
          </cell>
          <cell r="E143">
            <v>6</v>
          </cell>
          <cell r="F143">
            <v>174</v>
          </cell>
          <cell r="G143">
            <v>300</v>
          </cell>
          <cell r="H143">
            <v>12</v>
          </cell>
          <cell r="I143">
            <v>0.6340260655160268</v>
          </cell>
          <cell r="J143">
            <v>120</v>
          </cell>
          <cell r="K143" t="str">
            <v>PET MIXIT 300</v>
          </cell>
          <cell r="L143" t="str">
            <v>300 ml</v>
          </cell>
          <cell r="M143" t="str">
            <v>CSD PET</v>
          </cell>
          <cell r="N143" t="str">
            <v>Mixit</v>
          </cell>
          <cell r="V143" t="str">
            <v>22.05.2025</v>
          </cell>
          <cell r="W143">
            <v>45799</v>
          </cell>
        </row>
        <row r="144">
          <cell r="A144" t="str">
            <v>MRD MIX IT BLUEBERYUZU 300ML PET 12X_174</v>
          </cell>
          <cell r="B144">
            <v>320021595</v>
          </cell>
          <cell r="C144" t="str">
            <v>MRD MIX IT BLUEBERYUZU 300ML PET 12X_174</v>
          </cell>
          <cell r="D144">
            <v>29</v>
          </cell>
          <cell r="E144">
            <v>6</v>
          </cell>
          <cell r="F144">
            <v>174</v>
          </cell>
          <cell r="G144">
            <v>300</v>
          </cell>
          <cell r="H144">
            <v>12</v>
          </cell>
          <cell r="I144">
            <v>0.6340260655160268</v>
          </cell>
          <cell r="J144">
            <v>120</v>
          </cell>
          <cell r="K144" t="str">
            <v>PET MIXIT 300</v>
          </cell>
          <cell r="L144" t="str">
            <v>300 ml</v>
          </cell>
          <cell r="M144" t="str">
            <v>CSD PET</v>
          </cell>
          <cell r="N144" t="str">
            <v>Mixit</v>
          </cell>
          <cell r="V144" t="str">
            <v>23.05.2025</v>
          </cell>
          <cell r="W144">
            <v>45800</v>
          </cell>
        </row>
        <row r="145">
          <cell r="A145" t="str">
            <v>MRD MIX IT BLUEBERYUZU 400ML PET 24X_72</v>
          </cell>
          <cell r="B145">
            <v>320021596</v>
          </cell>
          <cell r="C145" t="str">
            <v>MRD MIX IT BLUEBERYUZU 400ML PET 24X_72</v>
          </cell>
          <cell r="D145">
            <v>12</v>
          </cell>
          <cell r="E145">
            <v>6</v>
          </cell>
          <cell r="F145">
            <v>72</v>
          </cell>
          <cell r="G145">
            <v>400</v>
          </cell>
          <cell r="H145">
            <v>24</v>
          </cell>
          <cell r="I145">
            <v>1.6907361747094047</v>
          </cell>
          <cell r="J145">
            <v>180</v>
          </cell>
          <cell r="K145" t="str">
            <v>PET MIXIT 400</v>
          </cell>
          <cell r="L145" t="str">
            <v>400 ml</v>
          </cell>
          <cell r="M145" t="str">
            <v>CSD PET</v>
          </cell>
          <cell r="N145" t="str">
            <v>Mixit</v>
          </cell>
          <cell r="V145" t="str">
            <v>24.05.2025</v>
          </cell>
          <cell r="W145">
            <v>45801</v>
          </cell>
        </row>
        <row r="146">
          <cell r="A146" t="str">
            <v>MRD MIX IT BLUEBERYUZU 400ML PET 24X MKT</v>
          </cell>
          <cell r="B146">
            <v>320021684</v>
          </cell>
          <cell r="C146" t="str">
            <v>MRD MIX IT BLUEBERYUZU 400ML PET 24X MKT</v>
          </cell>
          <cell r="D146">
            <v>12</v>
          </cell>
          <cell r="E146">
            <v>6</v>
          </cell>
          <cell r="F146">
            <v>72</v>
          </cell>
          <cell r="G146">
            <v>400</v>
          </cell>
          <cell r="H146">
            <v>24</v>
          </cell>
          <cell r="I146">
            <v>1.6907361747094047</v>
          </cell>
          <cell r="J146">
            <v>180</v>
          </cell>
          <cell r="K146" t="str">
            <v>PET MIXIT 400</v>
          </cell>
          <cell r="L146" t="str">
            <v>400 ml</v>
          </cell>
          <cell r="M146" t="str">
            <v>CSD PET</v>
          </cell>
          <cell r="N146" t="str">
            <v>Mixit</v>
          </cell>
          <cell r="V146" t="str">
            <v>25.05.2025</v>
          </cell>
          <cell r="W146">
            <v>45802</v>
          </cell>
        </row>
        <row r="147">
          <cell r="A147" t="str">
            <v>MRD MIX IT GRAPE MELON 400ML PET 24X_72</v>
          </cell>
          <cell r="B147">
            <v>320021594</v>
          </cell>
          <cell r="C147" t="str">
            <v>MRD MIX IT GRAPE MELON 400ML PET 24X_72</v>
          </cell>
          <cell r="D147">
            <v>12</v>
          </cell>
          <cell r="E147">
            <v>6</v>
          </cell>
          <cell r="F147">
            <v>72</v>
          </cell>
          <cell r="G147">
            <v>400</v>
          </cell>
          <cell r="H147">
            <v>24</v>
          </cell>
          <cell r="I147">
            <v>1.6907361747094047</v>
          </cell>
          <cell r="J147">
            <v>180</v>
          </cell>
          <cell r="K147" t="str">
            <v>PET MIXIT 400</v>
          </cell>
          <cell r="L147" t="str">
            <v>400 ml</v>
          </cell>
          <cell r="M147" t="str">
            <v>CSD PET</v>
          </cell>
          <cell r="N147" t="str">
            <v>Mixit</v>
          </cell>
          <cell r="V147" t="str">
            <v>26.05.2025</v>
          </cell>
          <cell r="W147">
            <v>45803</v>
          </cell>
        </row>
        <row r="148">
          <cell r="A148" t="str">
            <v>GATORADE LEMON PET 350ML 24X_84</v>
          </cell>
          <cell r="B148">
            <v>320019173</v>
          </cell>
          <cell r="C148" t="str">
            <v>GATORADE LEMON 350ML PET 24X</v>
          </cell>
          <cell r="D148">
            <v>12</v>
          </cell>
          <cell r="E148">
            <v>7</v>
          </cell>
          <cell r="F148">
            <v>84</v>
          </cell>
          <cell r="G148">
            <v>350</v>
          </cell>
          <cell r="H148">
            <v>24</v>
          </cell>
          <cell r="I148">
            <v>1.4793941528707291</v>
          </cell>
          <cell r="J148">
            <v>180</v>
          </cell>
          <cell r="K148" t="str">
            <v>PET GTR 350 P24</v>
          </cell>
          <cell r="L148" t="str">
            <v>350ml</v>
          </cell>
          <cell r="M148" t="str">
            <v>NCB PET</v>
          </cell>
          <cell r="N148" t="str">
            <v>GATORADE</v>
          </cell>
          <cell r="V148" t="str">
            <v>27.05.2025</v>
          </cell>
          <cell r="W148">
            <v>45804</v>
          </cell>
        </row>
        <row r="149">
          <cell r="A149" t="str">
            <v>GATORADE LEMON PET 500ML 12X_114</v>
          </cell>
          <cell r="B149">
            <v>320019176</v>
          </cell>
          <cell r="C149" t="str">
            <v>GATORADE LEMON 500ML PET 12X</v>
          </cell>
          <cell r="D149">
            <v>19</v>
          </cell>
          <cell r="E149">
            <v>6</v>
          </cell>
          <cell r="F149">
            <v>114</v>
          </cell>
          <cell r="G149">
            <v>500</v>
          </cell>
          <cell r="H149">
            <v>12</v>
          </cell>
          <cell r="I149">
            <v>1.0567101091933779</v>
          </cell>
          <cell r="J149">
            <v>365</v>
          </cell>
          <cell r="K149" t="str">
            <v>PET GTR 500 P12</v>
          </cell>
          <cell r="L149" t="str">
            <v>500ml</v>
          </cell>
          <cell r="M149" t="str">
            <v>NCB PET</v>
          </cell>
          <cell r="N149" t="str">
            <v>GATORADE</v>
          </cell>
          <cell r="V149" t="str">
            <v>28.05.2025</v>
          </cell>
          <cell r="W149">
            <v>45805</v>
          </cell>
        </row>
        <row r="150">
          <cell r="A150" t="str">
            <v>GATORADE GRAPE PET 350ML 24X_84</v>
          </cell>
          <cell r="B150">
            <v>320019174</v>
          </cell>
          <cell r="C150" t="str">
            <v>GATORADE GRAPE 350ML PET 24X</v>
          </cell>
          <cell r="D150">
            <v>12</v>
          </cell>
          <cell r="E150">
            <v>7</v>
          </cell>
          <cell r="F150">
            <v>84</v>
          </cell>
          <cell r="G150">
            <v>350</v>
          </cell>
          <cell r="H150">
            <v>24</v>
          </cell>
          <cell r="I150">
            <v>1.4793941528707291</v>
          </cell>
          <cell r="J150">
            <v>180</v>
          </cell>
          <cell r="K150" t="str">
            <v>PET GTR 350 P24</v>
          </cell>
          <cell r="L150" t="str">
            <v>350ml</v>
          </cell>
          <cell r="M150" t="str">
            <v>NCB PET</v>
          </cell>
          <cell r="N150" t="str">
            <v>GATORADE</v>
          </cell>
          <cell r="V150" t="str">
            <v>29.05.2025</v>
          </cell>
          <cell r="W150">
            <v>45806</v>
          </cell>
        </row>
        <row r="151">
          <cell r="A151" t="str">
            <v>GATORADE GRAPE PET 500ML 12X_114</v>
          </cell>
          <cell r="B151">
            <v>320019177</v>
          </cell>
          <cell r="C151" t="str">
            <v>GATORADE GRAPE 500ML PET 12X</v>
          </cell>
          <cell r="D151">
            <v>19</v>
          </cell>
          <cell r="E151">
            <v>6</v>
          </cell>
          <cell r="F151">
            <v>114</v>
          </cell>
          <cell r="G151">
            <v>500</v>
          </cell>
          <cell r="H151">
            <v>12</v>
          </cell>
          <cell r="I151">
            <v>1.0567101091933779</v>
          </cell>
          <cell r="J151">
            <v>180</v>
          </cell>
          <cell r="K151" t="str">
            <v>PET GTR 500 P12</v>
          </cell>
          <cell r="L151" t="str">
            <v>500ml</v>
          </cell>
          <cell r="M151" t="str">
            <v>NCB PET</v>
          </cell>
          <cell r="N151" t="str">
            <v>GATORADE</v>
          </cell>
          <cell r="V151" t="str">
            <v>30.05.2025</v>
          </cell>
          <cell r="W151">
            <v>45807</v>
          </cell>
        </row>
        <row r="152">
          <cell r="A152" t="str">
            <v>GATORADE BLUE BLAST PET 350ML 24X_84</v>
          </cell>
          <cell r="B152">
            <v>320019175</v>
          </cell>
          <cell r="C152" t="str">
            <v>GATORADE BLUE BLAST 350ML PET 24X</v>
          </cell>
          <cell r="D152">
            <v>12</v>
          </cell>
          <cell r="E152">
            <v>7</v>
          </cell>
          <cell r="F152">
            <v>84</v>
          </cell>
          <cell r="G152">
            <v>350</v>
          </cell>
          <cell r="H152">
            <v>24</v>
          </cell>
          <cell r="I152">
            <v>1.4793941528707291</v>
          </cell>
          <cell r="J152">
            <v>180</v>
          </cell>
          <cell r="K152" t="str">
            <v>PET GTR 350 P24</v>
          </cell>
          <cell r="L152" t="str">
            <v>350ml</v>
          </cell>
          <cell r="M152" t="str">
            <v>NCB PET</v>
          </cell>
          <cell r="N152" t="str">
            <v>GATORADE</v>
          </cell>
          <cell r="V152" t="str">
            <v>31.05.2025</v>
          </cell>
          <cell r="W152">
            <v>45808</v>
          </cell>
        </row>
        <row r="153">
          <cell r="A153" t="str">
            <v>GATORADE BLUE BLAST PET 500ML 12X_114</v>
          </cell>
          <cell r="B153">
            <v>320019178</v>
          </cell>
          <cell r="C153" t="str">
            <v>GATORADE BLUE BLAST 500ML PET 12X</v>
          </cell>
          <cell r="D153">
            <v>19</v>
          </cell>
          <cell r="E153">
            <v>6</v>
          </cell>
          <cell r="F153">
            <v>114</v>
          </cell>
          <cell r="G153">
            <v>500</v>
          </cell>
          <cell r="H153">
            <v>12</v>
          </cell>
          <cell r="I153">
            <v>1.0567101091933779</v>
          </cell>
          <cell r="J153">
            <v>365</v>
          </cell>
          <cell r="K153" t="str">
            <v>PET GTR 500 P12</v>
          </cell>
          <cell r="L153" t="str">
            <v>500ml</v>
          </cell>
          <cell r="M153" t="str">
            <v>NCB PET</v>
          </cell>
          <cell r="N153" t="str">
            <v>GATORADE</v>
          </cell>
          <cell r="V153" t="str">
            <v>01.06.2025</v>
          </cell>
          <cell r="W153">
            <v>45809</v>
          </cell>
        </row>
        <row r="154">
          <cell r="A154" t="str">
            <v>LIPTON LEMON 300ML PET 24X_91</v>
          </cell>
          <cell r="B154">
            <v>320019680</v>
          </cell>
          <cell r="C154" t="str">
            <v>LIPTON LEMON 300ML PET 24X CO-PACK</v>
          </cell>
          <cell r="D154">
            <v>13</v>
          </cell>
          <cell r="E154">
            <v>7</v>
          </cell>
          <cell r="F154">
            <v>91</v>
          </cell>
          <cell r="G154">
            <v>300</v>
          </cell>
          <cell r="H154">
            <v>24</v>
          </cell>
          <cell r="I154">
            <v>1.2680521310320536</v>
          </cell>
          <cell r="J154">
            <v>270</v>
          </cell>
          <cell r="K154" t="str">
            <v>PET NCB 320</v>
          </cell>
          <cell r="L154" t="str">
            <v>300 ml</v>
          </cell>
          <cell r="M154" t="str">
            <v>NCB PET</v>
          </cell>
          <cell r="N154" t="str">
            <v>Lipton</v>
          </cell>
          <cell r="V154" t="str">
            <v>02.06.2025</v>
          </cell>
          <cell r="W154">
            <v>45810</v>
          </cell>
        </row>
        <row r="155">
          <cell r="A155" t="str">
            <v>LIPTON LEMON 300ML PET 12X CPK_196</v>
          </cell>
          <cell r="B155">
            <v>320020349</v>
          </cell>
          <cell r="C155" t="str">
            <v>LIPTON LEMON 300ML PET 12X CPK_196</v>
          </cell>
          <cell r="D155">
            <v>28</v>
          </cell>
          <cell r="E155">
            <v>7</v>
          </cell>
          <cell r="F155">
            <v>196</v>
          </cell>
          <cell r="G155">
            <v>300</v>
          </cell>
          <cell r="H155">
            <v>12</v>
          </cell>
          <cell r="I155">
            <v>0.6340260655160268</v>
          </cell>
          <cell r="J155">
            <v>270</v>
          </cell>
          <cell r="K155" t="str">
            <v>PET NCB 320</v>
          </cell>
          <cell r="L155" t="str">
            <v>300 ml</v>
          </cell>
          <cell r="M155" t="str">
            <v>NCB PET</v>
          </cell>
          <cell r="N155" t="str">
            <v>Lipton</v>
          </cell>
          <cell r="V155" t="str">
            <v>03.06.2025</v>
          </cell>
          <cell r="W155">
            <v>45811</v>
          </cell>
        </row>
        <row r="156">
          <cell r="A156" t="str">
            <v>PEPSI COLA 1.26L PET 12X_48</v>
          </cell>
          <cell r="B156">
            <v>320017939</v>
          </cell>
          <cell r="C156" t="str">
            <v>PEPSI COLA 1.26L PET 12X_48</v>
          </cell>
          <cell r="D156">
            <v>12</v>
          </cell>
          <cell r="E156">
            <v>4</v>
          </cell>
          <cell r="F156">
            <v>48</v>
          </cell>
          <cell r="G156">
            <v>1260</v>
          </cell>
          <cell r="H156">
            <v>12</v>
          </cell>
          <cell r="I156">
            <v>2.6629094751673126</v>
          </cell>
          <cell r="J156">
            <v>180</v>
          </cell>
          <cell r="K156" t="str">
            <v>PET 1250</v>
          </cell>
          <cell r="L156" t="str">
            <v>1260 ml</v>
          </cell>
          <cell r="M156" t="str">
            <v>CSD PET</v>
          </cell>
          <cell r="N156" t="str">
            <v>Pepsi Cola</v>
          </cell>
          <cell r="V156" t="str">
            <v>04.06.2025</v>
          </cell>
          <cell r="W156">
            <v>45812</v>
          </cell>
        </row>
        <row r="157">
          <cell r="A157" t="str">
            <v>PEPSI COLA 1.5L PET 12X_48</v>
          </cell>
          <cell r="B157">
            <v>320020892</v>
          </cell>
          <cell r="C157" t="str">
            <v>PEPSI COLA 1.5L PET 12X_48</v>
          </cell>
          <cell r="D157">
            <v>12</v>
          </cell>
          <cell r="E157">
            <v>4</v>
          </cell>
          <cell r="F157">
            <v>48</v>
          </cell>
          <cell r="G157">
            <v>1500</v>
          </cell>
          <cell r="H157">
            <v>12</v>
          </cell>
          <cell r="I157">
            <v>3.170130327580134</v>
          </cell>
          <cell r="J157">
            <v>180</v>
          </cell>
          <cell r="K157" t="str">
            <v>PET 1500</v>
          </cell>
          <cell r="L157" t="str">
            <v>1500 ml</v>
          </cell>
          <cell r="M157" t="str">
            <v>CSD PET</v>
          </cell>
          <cell r="N157" t="str">
            <v>Pepsi Cola</v>
          </cell>
          <cell r="V157" t="str">
            <v>05.06.2025</v>
          </cell>
          <cell r="W157">
            <v>45813</v>
          </cell>
        </row>
        <row r="158">
          <cell r="A158" t="str">
            <v>LIPTON GR MANGO PANDAN 300ML PET 12X_196</v>
          </cell>
          <cell r="B158">
            <v>320021009</v>
          </cell>
          <cell r="C158" t="str">
            <v>LIPTON GREEN MANGO P 300ML PET 12X</v>
          </cell>
          <cell r="D158">
            <v>28</v>
          </cell>
          <cell r="E158">
            <v>7</v>
          </cell>
          <cell r="F158">
            <v>196</v>
          </cell>
          <cell r="G158">
            <v>300</v>
          </cell>
          <cell r="H158">
            <v>12</v>
          </cell>
          <cell r="I158">
            <v>0.6340260655160268</v>
          </cell>
          <cell r="J158">
            <v>270</v>
          </cell>
          <cell r="K158" t="str">
            <v>PET NCB 320</v>
          </cell>
          <cell r="L158" t="str">
            <v>300 ml</v>
          </cell>
          <cell r="M158" t="str">
            <v>NCB PET</v>
          </cell>
          <cell r="N158" t="str">
            <v>Lipton</v>
          </cell>
          <cell r="V158" t="str">
            <v>06.06.2025</v>
          </cell>
          <cell r="W158">
            <v>45814</v>
          </cell>
        </row>
        <row r="159">
          <cell r="A159" t="str">
            <v>LIPTON GR MANGO PANDAN 445ML PET 24X_60</v>
          </cell>
          <cell r="B159">
            <v>320021010</v>
          </cell>
          <cell r="C159" t="str">
            <v>LIPTON GREEN MANGO P 445ML PET 24X</v>
          </cell>
          <cell r="D159">
            <v>10</v>
          </cell>
          <cell r="E159">
            <v>6</v>
          </cell>
          <cell r="F159">
            <v>60</v>
          </cell>
          <cell r="G159">
            <v>445</v>
          </cell>
          <cell r="H159">
            <v>24</v>
          </cell>
          <cell r="I159">
            <v>1.8809439943642128</v>
          </cell>
          <cell r="J159">
            <v>270</v>
          </cell>
          <cell r="K159" t="str">
            <v>PET NCB 445</v>
          </cell>
          <cell r="L159" t="str">
            <v>445 ml</v>
          </cell>
          <cell r="M159" t="str">
            <v>NCB PET</v>
          </cell>
          <cell r="N159" t="str">
            <v>Lipton</v>
          </cell>
          <cell r="V159" t="str">
            <v>07.06.2025</v>
          </cell>
          <cell r="W159">
            <v>45815</v>
          </cell>
        </row>
        <row r="160">
          <cell r="A160" t="str">
            <v>PEPSI COLA 430ML PET 12X GC_150</v>
          </cell>
          <cell r="B160">
            <v>320021016</v>
          </cell>
          <cell r="C160" t="str">
            <v>PEPSI COLA 430ML PET 12X GC_150</v>
          </cell>
          <cell r="D160">
            <v>30</v>
          </cell>
          <cell r="E160">
            <v>5</v>
          </cell>
          <cell r="F160">
            <v>150</v>
          </cell>
          <cell r="G160">
            <v>430</v>
          </cell>
          <cell r="H160">
            <v>12</v>
          </cell>
          <cell r="I160">
            <v>0.90877069390630505</v>
          </cell>
          <cell r="J160">
            <v>180</v>
          </cell>
          <cell r="K160" t="str">
            <v>PET 430 P12</v>
          </cell>
          <cell r="L160" t="str">
            <v>430ml</v>
          </cell>
          <cell r="M160" t="str">
            <v>CSD PET</v>
          </cell>
          <cell r="N160" t="str">
            <v>Pepsi Cola</v>
          </cell>
          <cell r="V160" t="str">
            <v>08.06.2025</v>
          </cell>
          <cell r="W160">
            <v>45816</v>
          </cell>
        </row>
        <row r="161">
          <cell r="A161" t="str">
            <v>PEPSI MAX 245ML CAN 4X MP BRUNO MARS_64</v>
          </cell>
          <cell r="B161">
            <v>320021246</v>
          </cell>
          <cell r="C161" t="str">
            <v>PEPSI MAX 245ML CAN 4X MP BRUNO MARS_64</v>
          </cell>
          <cell r="D161">
            <v>16</v>
          </cell>
          <cell r="E161">
            <v>4</v>
          </cell>
          <cell r="F161">
            <v>64</v>
          </cell>
          <cell r="G161">
            <v>245</v>
          </cell>
          <cell r="H161">
            <v>24</v>
          </cell>
          <cell r="I161">
            <v>1.0355759070095103</v>
          </cell>
          <cell r="J161">
            <v>120</v>
          </cell>
          <cell r="K161" t="str">
            <v>CAN 250</v>
          </cell>
          <cell r="L161" t="str">
            <v>245 ml</v>
          </cell>
          <cell r="M161" t="str">
            <v>CSD CAN</v>
          </cell>
          <cell r="N161" t="str">
            <v>Pepsi Max</v>
          </cell>
          <cell r="V161" t="str">
            <v>09.06.2025</v>
          </cell>
          <cell r="W161">
            <v>45817</v>
          </cell>
        </row>
        <row r="162">
          <cell r="A162" t="str">
            <v>PEPSI COLA 1.5L PET 12X_48 PO</v>
          </cell>
          <cell r="B162">
            <v>320021393</v>
          </cell>
          <cell r="C162" t="str">
            <v>PEPSI COLA 1.5L PET 12X_48 PO</v>
          </cell>
          <cell r="D162">
            <v>12</v>
          </cell>
          <cell r="E162">
            <v>4</v>
          </cell>
          <cell r="F162">
            <v>48</v>
          </cell>
          <cell r="G162">
            <v>1500</v>
          </cell>
          <cell r="H162">
            <v>12</v>
          </cell>
          <cell r="I162">
            <v>3.170130327580134</v>
          </cell>
          <cell r="J162">
            <v>180</v>
          </cell>
          <cell r="K162" t="str">
            <v>PET 1500</v>
          </cell>
          <cell r="L162" t="str">
            <v>1500 ml</v>
          </cell>
          <cell r="M162" t="str">
            <v>CSD PET</v>
          </cell>
          <cell r="N162" t="str">
            <v>Pepsi Cola</v>
          </cell>
          <cell r="V162" t="str">
            <v>10.06.2025</v>
          </cell>
          <cell r="W162">
            <v>45818</v>
          </cell>
        </row>
        <row r="163">
          <cell r="A163" t="str">
            <v>PEPSI COLA 1.26L PET 12X_48 PO</v>
          </cell>
          <cell r="B163">
            <v>320021392</v>
          </cell>
          <cell r="C163" t="str">
            <v>PEPSI COLA 1.26L PET 12X_48</v>
          </cell>
          <cell r="D163">
            <v>12</v>
          </cell>
          <cell r="E163">
            <v>4</v>
          </cell>
          <cell r="F163">
            <v>48</v>
          </cell>
          <cell r="G163">
            <v>1260</v>
          </cell>
          <cell r="H163">
            <v>12</v>
          </cell>
          <cell r="I163">
            <v>2.6629094751673126</v>
          </cell>
          <cell r="J163">
            <v>180</v>
          </cell>
          <cell r="K163" t="str">
            <v>PET 1250</v>
          </cell>
          <cell r="L163" t="str">
            <v>1260 ml</v>
          </cell>
          <cell r="M163" t="str">
            <v>CSD PET</v>
          </cell>
          <cell r="N163" t="str">
            <v>Pepsi Cola</v>
          </cell>
          <cell r="V163" t="str">
            <v>11.06.2025</v>
          </cell>
          <cell r="W163">
            <v>45819</v>
          </cell>
        </row>
        <row r="164">
          <cell r="A164" t="str">
            <v>LIPTON LEMON 245ML CAN 4X MP LIMITED_64</v>
          </cell>
          <cell r="B164">
            <v>320021486</v>
          </cell>
          <cell r="C164" t="str">
            <v>LIPTON LEMON 245ML CAN 4X MP LIMITED_64</v>
          </cell>
          <cell r="D164">
            <v>16</v>
          </cell>
          <cell r="E164">
            <v>4</v>
          </cell>
          <cell r="F164">
            <v>64</v>
          </cell>
          <cell r="G164">
            <v>245</v>
          </cell>
          <cell r="H164">
            <v>24</v>
          </cell>
          <cell r="I164">
            <v>1.0355759070095103</v>
          </cell>
          <cell r="J164">
            <v>365</v>
          </cell>
          <cell r="K164" t="str">
            <v>CAN NCB 250</v>
          </cell>
          <cell r="L164" t="str">
            <v>245 ml</v>
          </cell>
          <cell r="M164" t="str">
            <v>NCB CAN</v>
          </cell>
          <cell r="N164" t="str">
            <v>Lipton</v>
          </cell>
          <cell r="V164" t="str">
            <v>12.06.2025</v>
          </cell>
          <cell r="W164">
            <v>45820</v>
          </cell>
        </row>
        <row r="165">
          <cell r="A165" t="str">
            <v>LIPTON PEACH 245ML CAN 4X MP LIMITED_64</v>
          </cell>
          <cell r="B165">
            <v>320021487</v>
          </cell>
          <cell r="C165" t="str">
            <v>LIPTON PEACH 245ML CAN 4X MP LIMITED_64</v>
          </cell>
          <cell r="D165">
            <v>16</v>
          </cell>
          <cell r="E165">
            <v>4</v>
          </cell>
          <cell r="F165">
            <v>64</v>
          </cell>
          <cell r="G165">
            <v>245</v>
          </cell>
          <cell r="H165">
            <v>24</v>
          </cell>
          <cell r="I165">
            <v>1.0355759070095103</v>
          </cell>
          <cell r="J165">
            <v>365</v>
          </cell>
          <cell r="K165" t="str">
            <v>CAN NCB 250</v>
          </cell>
          <cell r="L165" t="str">
            <v>245 ml</v>
          </cell>
          <cell r="M165" t="str">
            <v>NCB CAN</v>
          </cell>
          <cell r="N165" t="str">
            <v>Lipton</v>
          </cell>
          <cell r="V165" t="str">
            <v>13.06.2025</v>
          </cell>
          <cell r="W165">
            <v>45821</v>
          </cell>
        </row>
        <row r="166">
          <cell r="A166" t="str">
            <v>GATORADE LEMON PET 350ML 15B 12X_182</v>
          </cell>
          <cell r="B166">
            <v>320021589</v>
          </cell>
          <cell r="C166" t="str">
            <v>GATORADE LEMON PET 350ML 15B 12X_182</v>
          </cell>
          <cell r="D166">
            <v>26</v>
          </cell>
          <cell r="E166">
            <v>7</v>
          </cell>
          <cell r="F166">
            <v>182</v>
          </cell>
          <cell r="G166">
            <v>350</v>
          </cell>
          <cell r="H166">
            <v>12</v>
          </cell>
          <cell r="I166">
            <v>0.73969707643536453</v>
          </cell>
          <cell r="J166">
            <v>365</v>
          </cell>
          <cell r="K166" t="str">
            <v>PET GTR 350 P12</v>
          </cell>
          <cell r="L166" t="str">
            <v>350ml</v>
          </cell>
          <cell r="M166" t="str">
            <v>NCB PET</v>
          </cell>
          <cell r="N166" t="str">
            <v>GATORADE</v>
          </cell>
          <cell r="V166" t="str">
            <v>14.06.2025</v>
          </cell>
          <cell r="W166">
            <v>45822</v>
          </cell>
        </row>
        <row r="167">
          <cell r="A167" t="str">
            <v>LIPTON LEMON 350ML PET 12X_182</v>
          </cell>
          <cell r="B167">
            <v>320021599</v>
          </cell>
          <cell r="C167" t="str">
            <v>LIPTON LEMON 350ML PET 12X_182</v>
          </cell>
          <cell r="D167">
            <v>26</v>
          </cell>
          <cell r="E167">
            <v>7</v>
          </cell>
          <cell r="F167">
            <v>182</v>
          </cell>
          <cell r="G167">
            <v>350</v>
          </cell>
          <cell r="H167">
            <v>12</v>
          </cell>
          <cell r="I167">
            <v>0.73969707643536453</v>
          </cell>
          <cell r="J167">
            <v>270</v>
          </cell>
          <cell r="K167" t="str">
            <v>PET NCB 350</v>
          </cell>
          <cell r="L167" t="str">
            <v>350ml</v>
          </cell>
          <cell r="M167" t="str">
            <v>NCB PET</v>
          </cell>
          <cell r="N167" t="str">
            <v>Lipton</v>
          </cell>
          <cell r="V167" t="str">
            <v>15.06.2025</v>
          </cell>
          <cell r="W167">
            <v>45823</v>
          </cell>
        </row>
        <row r="168">
          <cell r="A168" t="str">
            <v>AQF VITZ GRN APPLE 345ML PET 12X 10B_180</v>
          </cell>
          <cell r="B168">
            <v>320020360</v>
          </cell>
          <cell r="C168" t="str">
            <v>AQF VITZ GRN APPLE 345ML PET 12X 10B_180</v>
          </cell>
          <cell r="D168">
            <v>30</v>
          </cell>
          <cell r="E168">
            <v>6</v>
          </cell>
          <cell r="F168">
            <v>180</v>
          </cell>
          <cell r="G168">
            <v>345</v>
          </cell>
          <cell r="H168">
            <v>12</v>
          </cell>
          <cell r="I168">
            <v>0.72912997534343083</v>
          </cell>
          <cell r="J168">
            <v>120</v>
          </cell>
          <cell r="K168" t="str">
            <v>PET AQ 350</v>
          </cell>
          <cell r="L168" t="str">
            <v>345 ml</v>
          </cell>
          <cell r="M168" t="str">
            <v>CSD PET</v>
          </cell>
          <cell r="N168" t="str">
            <v>AQF Vitzaa</v>
          </cell>
          <cell r="V168" t="str">
            <v>16.06.2025</v>
          </cell>
          <cell r="W168">
            <v>45824</v>
          </cell>
        </row>
        <row r="169">
          <cell r="A169" t="str">
            <v>AQF VITZ STRAWBERRY 345ML PET 12X10B_180</v>
          </cell>
          <cell r="B169">
            <v>320021011</v>
          </cell>
          <cell r="C169" t="str">
            <v>AQF VITZ STRAWBERRY 345ML PET 12X10B_180</v>
          </cell>
          <cell r="D169">
            <v>30</v>
          </cell>
          <cell r="E169">
            <v>6</v>
          </cell>
          <cell r="F169">
            <v>180</v>
          </cell>
          <cell r="G169">
            <v>345</v>
          </cell>
          <cell r="H169">
            <v>12</v>
          </cell>
          <cell r="I169">
            <v>0.72912997534343083</v>
          </cell>
          <cell r="J169">
            <v>120</v>
          </cell>
          <cell r="K169" t="str">
            <v>PET AQ 350</v>
          </cell>
          <cell r="L169" t="str">
            <v>345 ml</v>
          </cell>
          <cell r="M169" t="str">
            <v>CSD PET</v>
          </cell>
          <cell r="N169" t="str">
            <v>AQF Vitzaa</v>
          </cell>
          <cell r="V169" t="str">
            <v>17.06.2025</v>
          </cell>
          <cell r="W169">
            <v>45825</v>
          </cell>
        </row>
        <row r="170">
          <cell r="A170" t="str">
            <v>AQF VITZ STRAWBERRY 445ML PET 24X_72</v>
          </cell>
          <cell r="B170">
            <v>320021012</v>
          </cell>
          <cell r="C170" t="str">
            <v>AQF VITZ STRAWBERRY 445ML PET 24X_72</v>
          </cell>
          <cell r="D170">
            <v>12</v>
          </cell>
          <cell r="E170">
            <v>6</v>
          </cell>
          <cell r="F170">
            <v>72</v>
          </cell>
          <cell r="G170">
            <v>445</v>
          </cell>
          <cell r="H170">
            <v>24</v>
          </cell>
          <cell r="I170">
            <v>1.8809439943642128</v>
          </cell>
          <cell r="J170">
            <v>180</v>
          </cell>
          <cell r="K170" t="str">
            <v>PET AQ 450</v>
          </cell>
          <cell r="L170" t="str">
            <v>445 ml</v>
          </cell>
          <cell r="M170" t="str">
            <v>CSD PET</v>
          </cell>
          <cell r="N170" t="str">
            <v>AQF Vitzaa</v>
          </cell>
          <cell r="V170" t="str">
            <v>18.06.2025</v>
          </cell>
          <cell r="W170">
            <v>45826</v>
          </cell>
        </row>
        <row r="171">
          <cell r="A171" t="str">
            <v>LIPTON LEMON 950ML PET 12X_60</v>
          </cell>
          <cell r="B171">
            <v>320021600</v>
          </cell>
          <cell r="C171" t="str">
            <v>LIPTON LEMON 950ML PET 12X_60</v>
          </cell>
          <cell r="D171">
            <v>12</v>
          </cell>
          <cell r="E171">
            <v>5</v>
          </cell>
          <cell r="F171">
            <v>60</v>
          </cell>
          <cell r="G171">
            <v>950</v>
          </cell>
          <cell r="H171">
            <v>12</v>
          </cell>
          <cell r="I171">
            <v>2.0077492074674179</v>
          </cell>
          <cell r="J171">
            <v>270</v>
          </cell>
          <cell r="K171" t="str">
            <v>PET NCB 1000</v>
          </cell>
          <cell r="L171" t="str">
            <v>950ml</v>
          </cell>
          <cell r="M171" t="str">
            <v>NCB PET</v>
          </cell>
          <cell r="N171" t="str">
            <v>Lipton</v>
          </cell>
          <cell r="V171" t="str">
            <v>19.06.2025</v>
          </cell>
          <cell r="W171">
            <v>45827</v>
          </cell>
        </row>
        <row r="172">
          <cell r="A172" t="str">
            <v>LIPTON GR MANGO PAN 445ML PET 24X_60 LAO</v>
          </cell>
          <cell r="B172">
            <v>320021735</v>
          </cell>
          <cell r="C172" t="str">
            <v>LIPTON GR MANGO PAN 445ML PET 24X_60 LAO</v>
          </cell>
          <cell r="D172">
            <v>10</v>
          </cell>
          <cell r="E172">
            <v>6</v>
          </cell>
          <cell r="F172">
            <v>60</v>
          </cell>
          <cell r="G172">
            <v>445</v>
          </cell>
          <cell r="H172">
            <v>24</v>
          </cell>
          <cell r="I172">
            <v>1.8809439943642128</v>
          </cell>
          <cell r="J172">
            <v>270</v>
          </cell>
          <cell r="K172" t="str">
            <v>PET NCB 445</v>
          </cell>
          <cell r="L172" t="str">
            <v>445 ml</v>
          </cell>
          <cell r="M172" t="str">
            <v>NCB PET</v>
          </cell>
          <cell r="N172" t="str">
            <v>Lipton</v>
          </cell>
          <cell r="V172" t="str">
            <v>20.06.2025</v>
          </cell>
          <cell r="W172">
            <v>45828</v>
          </cell>
        </row>
        <row r="173">
          <cell r="A173" t="str">
            <v>LIPTON LEMON 445ML PET 24X_60 LAO</v>
          </cell>
          <cell r="B173">
            <v>320021683</v>
          </cell>
          <cell r="C173" t="str">
            <v>LIPTON LEMON 445ML PET 24X_60 LAO</v>
          </cell>
          <cell r="D173">
            <v>10</v>
          </cell>
          <cell r="E173">
            <v>6</v>
          </cell>
          <cell r="F173">
            <v>60</v>
          </cell>
          <cell r="G173">
            <v>445</v>
          </cell>
          <cell r="H173">
            <v>24</v>
          </cell>
          <cell r="I173">
            <v>1.8809439943642128</v>
          </cell>
          <cell r="J173">
            <v>270</v>
          </cell>
          <cell r="K173" t="str">
            <v>PET NCB 445</v>
          </cell>
          <cell r="L173" t="str">
            <v>445 ml</v>
          </cell>
          <cell r="M173" t="str">
            <v>NCB PET</v>
          </cell>
          <cell r="N173" t="str">
            <v>Lipton</v>
          </cell>
          <cell r="V173" t="str">
            <v>21.06.2025</v>
          </cell>
          <cell r="W173">
            <v>45829</v>
          </cell>
        </row>
        <row r="174">
          <cell r="A174" t="str">
            <v>AQUAFINA WATER 550ML PET_132</v>
          </cell>
          <cell r="B174">
            <v>320021984</v>
          </cell>
          <cell r="C174" t="str">
            <v>AQUAFINA WATER 550ML PET_132</v>
          </cell>
          <cell r="D174">
            <v>22</v>
          </cell>
          <cell r="E174">
            <v>6</v>
          </cell>
          <cell r="F174">
            <v>132</v>
          </cell>
          <cell r="G174">
            <v>550</v>
          </cell>
          <cell r="H174">
            <v>12</v>
          </cell>
          <cell r="I174">
            <v>1.1623811201127157</v>
          </cell>
          <cell r="J174">
            <v>730</v>
          </cell>
          <cell r="K174" t="str">
            <v>WATER 550</v>
          </cell>
          <cell r="L174" t="str">
            <v>550ml</v>
          </cell>
          <cell r="M174" t="str">
            <v>WATER PET</v>
          </cell>
          <cell r="N174" t="str">
            <v>Water</v>
          </cell>
          <cell r="V174" t="str">
            <v>22.06.2025</v>
          </cell>
          <cell r="W174">
            <v>45830</v>
          </cell>
        </row>
        <row r="175">
          <cell r="A175" t="str">
            <v>AQUAFINA MINERAL WATER 550ML PET_132</v>
          </cell>
          <cell r="B175">
            <v>320021985</v>
          </cell>
          <cell r="C175" t="str">
            <v>AQUAFINA MINERAL WATER 550ML PET_132</v>
          </cell>
          <cell r="D175">
            <v>22</v>
          </cell>
          <cell r="E175">
            <v>6</v>
          </cell>
          <cell r="F175">
            <v>132</v>
          </cell>
          <cell r="G175">
            <v>550</v>
          </cell>
          <cell r="H175">
            <v>12</v>
          </cell>
          <cell r="I175">
            <v>1.1623811201127157</v>
          </cell>
          <cell r="J175">
            <v>365</v>
          </cell>
          <cell r="K175" t="str">
            <v>MINERAL 550</v>
          </cell>
          <cell r="L175" t="str">
            <v>550ml</v>
          </cell>
          <cell r="M175" t="str">
            <v>WATER PET</v>
          </cell>
          <cell r="N175" t="str">
            <v>Water</v>
          </cell>
          <cell r="V175" t="str">
            <v>23.06.2025</v>
          </cell>
          <cell r="W175">
            <v>45831</v>
          </cell>
        </row>
        <row r="176">
          <cell r="A176" t="str">
            <v>PEPSI MAX 375ML CAN 4X MP_91</v>
          </cell>
          <cell r="B176">
            <v>320021851</v>
          </cell>
          <cell r="C176" t="str">
            <v>PEPSI MAX 375ML CAN 4X MP_91</v>
          </cell>
          <cell r="D176">
            <v>13</v>
          </cell>
          <cell r="E176">
            <v>7</v>
          </cell>
          <cell r="F176">
            <v>91</v>
          </cell>
          <cell r="G176">
            <v>375</v>
          </cell>
          <cell r="H176">
            <v>24</v>
          </cell>
          <cell r="I176">
            <v>1.585065163790067</v>
          </cell>
          <cell r="J176">
            <v>120</v>
          </cell>
          <cell r="K176" t="str">
            <v>CAN 375</v>
          </cell>
          <cell r="L176" t="str">
            <v>375 ml</v>
          </cell>
          <cell r="M176" t="str">
            <v>CSD CAN</v>
          </cell>
          <cell r="N176" t="str">
            <v>Pepsi Max</v>
          </cell>
          <cell r="V176" t="str">
            <v>24.06.2025</v>
          </cell>
          <cell r="W176">
            <v>45832</v>
          </cell>
        </row>
        <row r="177">
          <cell r="A177" t="str">
            <v>PEPSI MAX 240ML CAN 4X NEW MP 10B_64</v>
          </cell>
          <cell r="B177">
            <v>320021394</v>
          </cell>
          <cell r="C177" t="str">
            <v>PEPSI MAX 240ML CAN 4X NEW MP 10B_64</v>
          </cell>
          <cell r="D177">
            <v>16</v>
          </cell>
          <cell r="E177">
            <v>4</v>
          </cell>
          <cell r="F177">
            <v>64</v>
          </cell>
          <cell r="G177">
            <v>240</v>
          </cell>
          <cell r="H177">
            <v>24</v>
          </cell>
          <cell r="I177">
            <v>1.0144417048256429</v>
          </cell>
          <cell r="J177">
            <v>180</v>
          </cell>
          <cell r="K177" t="str">
            <v>CAN 250</v>
          </cell>
          <cell r="L177" t="str">
            <v>240 ml</v>
          </cell>
          <cell r="M177" t="str">
            <v>CSD CAN</v>
          </cell>
          <cell r="N177" t="str">
            <v>Pepsi Max</v>
          </cell>
          <cell r="V177" t="str">
            <v>25.06.2025</v>
          </cell>
          <cell r="W177">
            <v>45833</v>
          </cell>
        </row>
        <row r="178">
          <cell r="A178" t="str">
            <v>PEPSI MAX 345ML PET 12X_192</v>
          </cell>
          <cell r="B178">
            <v>320010403</v>
          </cell>
          <cell r="C178" t="str">
            <v>PEPSI MAX 345ML PET 12X_192</v>
          </cell>
          <cell r="D178">
            <v>32</v>
          </cell>
          <cell r="E178">
            <v>6</v>
          </cell>
          <cell r="F178">
            <v>192</v>
          </cell>
          <cell r="G178">
            <v>345</v>
          </cell>
          <cell r="H178">
            <v>12</v>
          </cell>
          <cell r="I178">
            <v>0.72912997534343083</v>
          </cell>
          <cell r="J178">
            <v>120</v>
          </cell>
          <cell r="K178" t="str">
            <v>PET 350 P12</v>
          </cell>
          <cell r="L178" t="str">
            <v>345 ml</v>
          </cell>
          <cell r="M178" t="str">
            <v>CSD PET</v>
          </cell>
          <cell r="N178" t="str">
            <v>Pepsi Max</v>
          </cell>
          <cell r="V178" t="str">
            <v>26.06.2025</v>
          </cell>
          <cell r="W178">
            <v>45834</v>
          </cell>
        </row>
        <row r="179">
          <cell r="A179" t="str">
            <v>LIPTON PEACH 445ML PET 24X_60</v>
          </cell>
          <cell r="B179">
            <v>320022125</v>
          </cell>
          <cell r="C179" t="str">
            <v>LIPTON PEACH 445ML PET 24X_60</v>
          </cell>
          <cell r="D179">
            <v>10</v>
          </cell>
          <cell r="E179">
            <v>6</v>
          </cell>
          <cell r="F179">
            <v>60</v>
          </cell>
          <cell r="G179">
            <v>445</v>
          </cell>
          <cell r="H179">
            <v>24</v>
          </cell>
          <cell r="I179">
            <v>1.8809439943642128</v>
          </cell>
          <cell r="J179">
            <v>270</v>
          </cell>
          <cell r="K179" t="str">
            <v>PET NCB 445</v>
          </cell>
          <cell r="L179" t="str">
            <v>445 ml</v>
          </cell>
          <cell r="M179" t="str">
            <v>NCB PET</v>
          </cell>
          <cell r="N179" t="str">
            <v>Lipton</v>
          </cell>
          <cell r="V179" t="str">
            <v>27.06.2025</v>
          </cell>
          <cell r="W179">
            <v>45835</v>
          </cell>
        </row>
        <row r="180">
          <cell r="A180" t="str">
            <v>AQUAFINA SODA WATER 375ML CAN 4X MP_91</v>
          </cell>
          <cell r="B180">
            <v>320021852</v>
          </cell>
          <cell r="C180" t="str">
            <v>AQUAFINA SODA WATER 375ML CAN 4X MP_91</v>
          </cell>
          <cell r="D180">
            <v>13</v>
          </cell>
          <cell r="E180">
            <v>7</v>
          </cell>
          <cell r="F180">
            <v>91</v>
          </cell>
          <cell r="G180">
            <v>375</v>
          </cell>
          <cell r="H180">
            <v>24</v>
          </cell>
          <cell r="I180">
            <v>1.585065163790067</v>
          </cell>
          <cell r="J180">
            <v>360</v>
          </cell>
          <cell r="K180" t="str">
            <v>CAN 375</v>
          </cell>
          <cell r="L180" t="str">
            <v>375 ml</v>
          </cell>
          <cell r="M180" t="str">
            <v>CSD CAN</v>
          </cell>
          <cell r="N180" t="str">
            <v>AQF Soda</v>
          </cell>
          <cell r="V180" t="str">
            <v>28.06.2025</v>
          </cell>
          <cell r="W180">
            <v>45836</v>
          </cell>
        </row>
        <row r="181">
          <cell r="A181" t="str">
            <v>PEPSI COLA 245ML CAN 4X MP 7E_144</v>
          </cell>
          <cell r="B181">
            <v>320022123</v>
          </cell>
          <cell r="C181" t="str">
            <v>PEPSI COLA 245ML CAN 4X MP 7E_144</v>
          </cell>
          <cell r="D181">
            <v>16</v>
          </cell>
          <cell r="E181">
            <v>9</v>
          </cell>
          <cell r="F181">
            <v>144</v>
          </cell>
          <cell r="G181">
            <v>245</v>
          </cell>
          <cell r="H181">
            <v>24</v>
          </cell>
          <cell r="I181">
            <v>1.0355759070095103</v>
          </cell>
          <cell r="J181">
            <v>270</v>
          </cell>
          <cell r="K181" t="str">
            <v>CAN 250</v>
          </cell>
          <cell r="L181" t="str">
            <v>245 ml</v>
          </cell>
          <cell r="M181" t="str">
            <v>CSD CAN</v>
          </cell>
          <cell r="N181" t="str">
            <v>Pepsi Cola</v>
          </cell>
          <cell r="V181" t="str">
            <v>29.06.2025</v>
          </cell>
          <cell r="W181">
            <v>45837</v>
          </cell>
        </row>
        <row r="182">
          <cell r="A182" t="str">
            <v>PEPSI COLA 245ML CAN 6X MP COOLER SET_12</v>
          </cell>
          <cell r="B182">
            <v>320022122</v>
          </cell>
          <cell r="C182" t="str">
            <v>PEPSI COLA 245ML CAN 6X MP COOLER SET_12</v>
          </cell>
          <cell r="D182">
            <v>4</v>
          </cell>
          <cell r="E182">
            <v>3</v>
          </cell>
          <cell r="F182">
            <v>12</v>
          </cell>
          <cell r="G182">
            <v>245</v>
          </cell>
          <cell r="H182">
            <v>36</v>
          </cell>
          <cell r="I182">
            <v>1.5533638605142657</v>
          </cell>
          <cell r="J182">
            <v>270</v>
          </cell>
          <cell r="K182" t="str">
            <v>CAN 250</v>
          </cell>
          <cell r="L182" t="str">
            <v>245 ml</v>
          </cell>
          <cell r="M182" t="str">
            <v>CSD CAN</v>
          </cell>
          <cell r="N182" t="str">
            <v>Pepsi Cola</v>
          </cell>
          <cell r="V182" t="str">
            <v>30.06.2025</v>
          </cell>
          <cell r="W182">
            <v>45838</v>
          </cell>
        </row>
        <row r="183">
          <cell r="A183" t="str">
            <v>MIRINDA ORANGE 1.45L PET 12X_48</v>
          </cell>
          <cell r="B183">
            <v>320021838</v>
          </cell>
          <cell r="C183" t="str">
            <v>MIRINDA ORANGE 1.45L PET 12X_48</v>
          </cell>
          <cell r="D183">
            <v>12</v>
          </cell>
          <cell r="E183">
            <v>4</v>
          </cell>
          <cell r="F183">
            <v>48</v>
          </cell>
          <cell r="G183">
            <v>1450</v>
          </cell>
          <cell r="H183">
            <v>12</v>
          </cell>
          <cell r="I183">
            <v>3.0644593166607961</v>
          </cell>
          <cell r="J183">
            <v>180</v>
          </cell>
          <cell r="K183" t="str">
            <v>PET 1500</v>
          </cell>
          <cell r="L183" t="str">
            <v>1450 ml</v>
          </cell>
          <cell r="M183" t="str">
            <v>CSD PET</v>
          </cell>
          <cell r="N183" t="str">
            <v>MRD Orange</v>
          </cell>
          <cell r="V183" t="str">
            <v>01.07.2025</v>
          </cell>
          <cell r="W183">
            <v>45839</v>
          </cell>
        </row>
        <row r="184">
          <cell r="A184" t="str">
            <v>MIRINDA STRWB 1.45L PET 12X_48</v>
          </cell>
          <cell r="B184">
            <v>320021839</v>
          </cell>
          <cell r="C184" t="str">
            <v>MIRINDA STRWB 1.45L PET 12X_48</v>
          </cell>
          <cell r="D184">
            <v>12</v>
          </cell>
          <cell r="E184">
            <v>4</v>
          </cell>
          <cell r="F184">
            <v>48</v>
          </cell>
          <cell r="G184">
            <v>1450</v>
          </cell>
          <cell r="H184">
            <v>12</v>
          </cell>
          <cell r="I184">
            <v>3.0644593166607961</v>
          </cell>
          <cell r="J184">
            <v>180</v>
          </cell>
          <cell r="K184" t="str">
            <v>PET 1500</v>
          </cell>
          <cell r="L184" t="str">
            <v>1450 ml</v>
          </cell>
          <cell r="M184" t="str">
            <v>CSD PET</v>
          </cell>
          <cell r="N184" t="str">
            <v>MRD Strawberry</v>
          </cell>
          <cell r="V184" t="str">
            <v>02.07.2025</v>
          </cell>
          <cell r="W184">
            <v>45840</v>
          </cell>
        </row>
        <row r="185">
          <cell r="A185" t="str">
            <v>GATORADE LEMON PET 500ML 12X_114 VN</v>
          </cell>
          <cell r="B185">
            <v>320021790</v>
          </cell>
          <cell r="C185" t="str">
            <v>GATORADE LEMON PET 500ML 12X_114 VN</v>
          </cell>
          <cell r="D185">
            <v>19</v>
          </cell>
          <cell r="E185">
            <v>6</v>
          </cell>
          <cell r="F185">
            <v>114</v>
          </cell>
          <cell r="G185">
            <v>500</v>
          </cell>
          <cell r="H185">
            <v>12</v>
          </cell>
          <cell r="I185">
            <v>1.0567101091933779</v>
          </cell>
          <cell r="J185">
            <v>365</v>
          </cell>
          <cell r="K185" t="str">
            <v>PET GTR 500 P12</v>
          </cell>
          <cell r="L185" t="str">
            <v>500ml</v>
          </cell>
          <cell r="M185" t="str">
            <v>NCB PET</v>
          </cell>
          <cell r="N185" t="str">
            <v>GATORADE</v>
          </cell>
          <cell r="V185" t="str">
            <v>03.07.2025</v>
          </cell>
          <cell r="W185">
            <v>45841</v>
          </cell>
        </row>
        <row r="186">
          <cell r="A186" t="str">
            <v>GATORADE BLUE BLAST PET 500ML 12X_114 VN</v>
          </cell>
          <cell r="B186">
            <v>320021689</v>
          </cell>
          <cell r="C186" t="str">
            <v>GATORADE BLUE BLAST PET 500ML 12X_114 VN</v>
          </cell>
          <cell r="D186">
            <v>19</v>
          </cell>
          <cell r="E186">
            <v>6</v>
          </cell>
          <cell r="F186">
            <v>114</v>
          </cell>
          <cell r="G186">
            <v>500</v>
          </cell>
          <cell r="H186">
            <v>12</v>
          </cell>
          <cell r="I186">
            <v>1.0567101091933779</v>
          </cell>
          <cell r="J186">
            <v>365</v>
          </cell>
          <cell r="K186" t="str">
            <v>PET GTR 500 P12</v>
          </cell>
          <cell r="L186" t="str">
            <v>500ml</v>
          </cell>
          <cell r="M186" t="str">
            <v>NCB PET</v>
          </cell>
          <cell r="N186" t="str">
            <v>GATORADE</v>
          </cell>
          <cell r="V186" t="str">
            <v>04.07.2025</v>
          </cell>
          <cell r="W186">
            <v>45842</v>
          </cell>
        </row>
        <row r="187">
          <cell r="A187" t="str">
            <v>LIPTON GR HONEY LEMON 445ML PET 24X_60</v>
          </cell>
          <cell r="B187">
            <v>320022124</v>
          </cell>
          <cell r="C187" t="str">
            <v>LIPTON GR HONEY LEMON 445ML PET 24X_60</v>
          </cell>
          <cell r="D187">
            <v>10</v>
          </cell>
          <cell r="E187">
            <v>6</v>
          </cell>
          <cell r="F187">
            <v>60</v>
          </cell>
          <cell r="G187">
            <v>445</v>
          </cell>
          <cell r="H187">
            <v>24</v>
          </cell>
          <cell r="I187">
            <v>1.8809439943642128</v>
          </cell>
          <cell r="J187">
            <v>210</v>
          </cell>
          <cell r="K187" t="str">
            <v>PET NCB 445</v>
          </cell>
          <cell r="L187" t="str">
            <v>445 ml</v>
          </cell>
          <cell r="M187" t="str">
            <v>NCB PET</v>
          </cell>
          <cell r="N187" t="str">
            <v>Lipton</v>
          </cell>
          <cell r="V187" t="str">
            <v>05.07.2025</v>
          </cell>
          <cell r="W187">
            <v>45843</v>
          </cell>
        </row>
        <row r="188">
          <cell r="A188" t="str">
            <v>AQUAFINA WATER 550ML PET_144</v>
          </cell>
          <cell r="B188">
            <v>320022363</v>
          </cell>
          <cell r="C188" t="str">
            <v>AQUAFINA WATER 550ML PET_144</v>
          </cell>
          <cell r="D188">
            <v>24</v>
          </cell>
          <cell r="E188">
            <v>6</v>
          </cell>
          <cell r="F188">
            <v>144</v>
          </cell>
          <cell r="G188">
            <v>550</v>
          </cell>
          <cell r="H188">
            <v>12</v>
          </cell>
          <cell r="I188">
            <v>1.1623811201127157</v>
          </cell>
          <cell r="J188">
            <v>730</v>
          </cell>
          <cell r="K188" t="str">
            <v>WATER 550</v>
          </cell>
          <cell r="L188" t="str">
            <v>550ml</v>
          </cell>
          <cell r="M188" t="str">
            <v>WATER PET</v>
          </cell>
          <cell r="N188" t="str">
            <v>Water</v>
          </cell>
          <cell r="V188" t="str">
            <v>06.07.2025</v>
          </cell>
          <cell r="W188">
            <v>45844</v>
          </cell>
        </row>
        <row r="189">
          <cell r="A189" t="str">
            <v>AQUAFINA MINERAL WATER 550ML PET_144</v>
          </cell>
          <cell r="B189">
            <v>320022364</v>
          </cell>
          <cell r="C189" t="str">
            <v>AQUAFINA MINERAL WATER 550ML PET_144</v>
          </cell>
          <cell r="D189">
            <v>24</v>
          </cell>
          <cell r="E189">
            <v>6</v>
          </cell>
          <cell r="F189">
            <v>144</v>
          </cell>
          <cell r="G189">
            <v>550</v>
          </cell>
          <cell r="H189">
            <v>12</v>
          </cell>
          <cell r="I189">
            <v>1.1623811201127157</v>
          </cell>
          <cell r="J189">
            <v>365</v>
          </cell>
          <cell r="K189" t="str">
            <v>MINERAL 550</v>
          </cell>
          <cell r="L189" t="str">
            <v>550ml</v>
          </cell>
          <cell r="M189" t="str">
            <v>WATER PET</v>
          </cell>
          <cell r="N189" t="str">
            <v>Water</v>
          </cell>
          <cell r="V189" t="str">
            <v>07.07.2025</v>
          </cell>
          <cell r="W189">
            <v>45845</v>
          </cell>
        </row>
        <row r="190">
          <cell r="A190" t="str">
            <v>PEPSI MAX RASPBERRY 440ML PET 24X_72</v>
          </cell>
          <cell r="B190">
            <v>320022373</v>
          </cell>
          <cell r="C190" t="str">
            <v>PEPSI MAX RASPBERRY 440ML PET 24X_72</v>
          </cell>
          <cell r="D190">
            <v>12</v>
          </cell>
          <cell r="E190">
            <v>6</v>
          </cell>
          <cell r="F190">
            <v>72</v>
          </cell>
          <cell r="G190">
            <v>440</v>
          </cell>
          <cell r="H190">
            <v>24</v>
          </cell>
          <cell r="I190">
            <v>1.8598097921803451</v>
          </cell>
          <cell r="J190">
            <v>120</v>
          </cell>
          <cell r="K190" t="str">
            <v>PET 450</v>
          </cell>
          <cell r="L190" t="str">
            <v>440 ml</v>
          </cell>
          <cell r="M190" t="str">
            <v>CSD PET</v>
          </cell>
          <cell r="N190" t="str">
            <v>Pepsi Max</v>
          </cell>
          <cell r="V190" t="str">
            <v>08.07.2025</v>
          </cell>
          <cell r="W190">
            <v>45846</v>
          </cell>
        </row>
        <row r="191">
          <cell r="A191" t="str">
            <v>MIRINDA ORANGE 535ML PET 12X_126</v>
          </cell>
          <cell r="B191">
            <v>320022380</v>
          </cell>
          <cell r="C191" t="str">
            <v>MIRINDA ORANGE 535ML PET 12X_126</v>
          </cell>
          <cell r="D191">
            <v>21</v>
          </cell>
          <cell r="E191">
            <v>6</v>
          </cell>
          <cell r="F191">
            <v>126</v>
          </cell>
          <cell r="G191">
            <v>535</v>
          </cell>
          <cell r="H191">
            <v>12</v>
          </cell>
          <cell r="I191">
            <v>1.1306798168369143</v>
          </cell>
          <cell r="J191">
            <v>180</v>
          </cell>
          <cell r="K191" t="str">
            <v>PET 550</v>
          </cell>
          <cell r="L191" t="str">
            <v>535 ml</v>
          </cell>
          <cell r="M191" t="str">
            <v>CSD PET</v>
          </cell>
          <cell r="N191" t="str">
            <v>MRD Orange</v>
          </cell>
          <cell r="V191" t="str">
            <v>09.07.2025</v>
          </cell>
          <cell r="W191">
            <v>45847</v>
          </cell>
        </row>
        <row r="192">
          <cell r="A192" t="str">
            <v>MIRINDA STRWB 535ML PET 12X_126</v>
          </cell>
          <cell r="B192">
            <v>320022381</v>
          </cell>
          <cell r="C192" t="str">
            <v>MIRINDA STRWB 535ML PET 12X_126</v>
          </cell>
          <cell r="D192">
            <v>21</v>
          </cell>
          <cell r="E192">
            <v>6</v>
          </cell>
          <cell r="F192">
            <v>126</v>
          </cell>
          <cell r="G192">
            <v>535</v>
          </cell>
          <cell r="H192">
            <v>12</v>
          </cell>
          <cell r="I192">
            <v>1.1306798168369143</v>
          </cell>
          <cell r="J192">
            <v>180</v>
          </cell>
          <cell r="K192" t="str">
            <v>PET 550</v>
          </cell>
          <cell r="L192" t="str">
            <v>535 ml</v>
          </cell>
          <cell r="M192" t="str">
            <v>CSD PET</v>
          </cell>
          <cell r="N192" t="str">
            <v>MRD Strawberry</v>
          </cell>
          <cell r="V192" t="str">
            <v>10.07.2025</v>
          </cell>
          <cell r="W192">
            <v>45848</v>
          </cell>
        </row>
        <row r="193">
          <cell r="A193" t="str">
            <v>PEPSI MAX RASPBERRY 245ML CAN 4X MP_64</v>
          </cell>
          <cell r="B193">
            <v>320022367</v>
          </cell>
          <cell r="C193" t="str">
            <v>PEPSI MAX RASPBERRY 245ML CAN 4X MP_64</v>
          </cell>
          <cell r="D193">
            <v>16</v>
          </cell>
          <cell r="E193">
            <v>4</v>
          </cell>
          <cell r="F193">
            <v>64</v>
          </cell>
          <cell r="G193">
            <v>245</v>
          </cell>
          <cell r="H193">
            <v>24</v>
          </cell>
          <cell r="I193">
            <v>1.0355759070095103</v>
          </cell>
          <cell r="J193">
            <v>120</v>
          </cell>
          <cell r="K193" t="str">
            <v>CAN 250</v>
          </cell>
          <cell r="L193" t="str">
            <v>245 ml</v>
          </cell>
          <cell r="M193" t="str">
            <v>CSD CAN</v>
          </cell>
          <cell r="N193" t="str">
            <v>Pepsi Max</v>
          </cell>
          <cell r="V193" t="str">
            <v>11.07.2025</v>
          </cell>
          <cell r="W193">
            <v>45849</v>
          </cell>
        </row>
        <row r="194">
          <cell r="A194" t="str">
            <v>GOODMOOD BLACKCURRANT 450ML PET 24X1_60</v>
          </cell>
          <cell r="B194">
            <v>320022387</v>
          </cell>
          <cell r="C194" t="str">
            <v>GOODMOOD BLACKCURRANT 450ML PET 24X1_60</v>
          </cell>
          <cell r="D194">
            <v>10</v>
          </cell>
          <cell r="E194">
            <v>6</v>
          </cell>
          <cell r="F194">
            <v>60</v>
          </cell>
          <cell r="G194">
            <v>450</v>
          </cell>
          <cell r="H194">
            <v>24</v>
          </cell>
          <cell r="I194">
            <v>1.9020781965480804</v>
          </cell>
          <cell r="J194">
            <v>270</v>
          </cell>
          <cell r="K194" t="str">
            <v>PET VAW 450</v>
          </cell>
          <cell r="L194" t="str">
            <v>450 ml</v>
          </cell>
          <cell r="M194" t="str">
            <v>CSD PET</v>
          </cell>
          <cell r="N194" t="str">
            <v>GOODMOOD</v>
          </cell>
          <cell r="V194" t="str">
            <v>12.07.2025</v>
          </cell>
          <cell r="W194">
            <v>45850</v>
          </cell>
        </row>
        <row r="195">
          <cell r="A195" t="str">
            <v>GOODMOOD LEMON HONEY 450ML PET 12X1_132</v>
          </cell>
          <cell r="B195">
            <v>320022384</v>
          </cell>
          <cell r="C195" t="str">
            <v>GOODMOOD LEMON HONEY 450ML PET 12X1_132</v>
          </cell>
          <cell r="D195">
            <v>22</v>
          </cell>
          <cell r="E195">
            <v>6</v>
          </cell>
          <cell r="F195">
            <v>132</v>
          </cell>
          <cell r="G195">
            <v>450</v>
          </cell>
          <cell r="H195">
            <v>12</v>
          </cell>
          <cell r="I195">
            <v>0.95103909827404021</v>
          </cell>
          <cell r="J195">
            <v>270</v>
          </cell>
          <cell r="K195" t="str">
            <v>PET VAW 450</v>
          </cell>
          <cell r="L195" t="str">
            <v>450 ml</v>
          </cell>
          <cell r="M195" t="str">
            <v>CSD PET</v>
          </cell>
          <cell r="N195" t="str">
            <v>GOODMOOD</v>
          </cell>
          <cell r="V195" t="str">
            <v>13.07.2025</v>
          </cell>
          <cell r="W195">
            <v>45851</v>
          </cell>
        </row>
        <row r="196">
          <cell r="A196" t="str">
            <v>GOODMOOD LEMON HONEY 450ML PET12X15B_132</v>
          </cell>
          <cell r="B196">
            <v>320022434</v>
          </cell>
          <cell r="C196" t="str">
            <v>GOODMOOD LEMON HONEY 450ML PET12X15B_132</v>
          </cell>
          <cell r="D196">
            <v>22</v>
          </cell>
          <cell r="E196">
            <v>6</v>
          </cell>
          <cell r="F196">
            <v>132</v>
          </cell>
          <cell r="G196">
            <v>450</v>
          </cell>
          <cell r="H196">
            <v>12</v>
          </cell>
          <cell r="I196">
            <v>0.95103909827404021</v>
          </cell>
          <cell r="J196">
            <v>270</v>
          </cell>
          <cell r="K196" t="str">
            <v>PET VAW 450</v>
          </cell>
          <cell r="L196" t="str">
            <v>450 ml</v>
          </cell>
          <cell r="M196" t="str">
            <v>CSD PET</v>
          </cell>
          <cell r="N196" t="str">
            <v>GOODMOOD</v>
          </cell>
          <cell r="V196" t="str">
            <v>14.07.2025</v>
          </cell>
          <cell r="W196">
            <v>45852</v>
          </cell>
        </row>
        <row r="197">
          <cell r="A197" t="str">
            <v>GOODMOOD LEMON HONEY 450ML PET 24X1_60</v>
          </cell>
          <cell r="B197">
            <v>320022386</v>
          </cell>
          <cell r="C197" t="str">
            <v>GOODMOOD LEMON HONEY 450ML PET 24X1_60</v>
          </cell>
          <cell r="D197">
            <v>10</v>
          </cell>
          <cell r="E197">
            <v>6</v>
          </cell>
          <cell r="F197">
            <v>60</v>
          </cell>
          <cell r="G197">
            <v>450</v>
          </cell>
          <cell r="H197">
            <v>24</v>
          </cell>
          <cell r="I197">
            <v>1.9020781965480804</v>
          </cell>
          <cell r="J197">
            <v>270</v>
          </cell>
          <cell r="K197" t="str">
            <v>PET VAW 450</v>
          </cell>
          <cell r="L197" t="str">
            <v>450 ml</v>
          </cell>
          <cell r="M197" t="str">
            <v>CSD PET</v>
          </cell>
          <cell r="N197" t="str">
            <v>GOODMOOD</v>
          </cell>
          <cell r="V197" t="str">
            <v>15.07.2025</v>
          </cell>
          <cell r="W197">
            <v>45853</v>
          </cell>
        </row>
        <row r="198">
          <cell r="A198" t="str">
            <v>GOODMOOD YOGURT 450ML PET 12X1_132</v>
          </cell>
          <cell r="B198">
            <v>320022385</v>
          </cell>
          <cell r="C198" t="str">
            <v>GOODMOOD YOGURT 450ML PET 12X1_132</v>
          </cell>
          <cell r="D198">
            <v>22</v>
          </cell>
          <cell r="E198">
            <v>6</v>
          </cell>
          <cell r="F198">
            <v>132</v>
          </cell>
          <cell r="G198">
            <v>450</v>
          </cell>
          <cell r="H198">
            <v>12</v>
          </cell>
          <cell r="I198">
            <v>0.95103909827404021</v>
          </cell>
          <cell r="J198">
            <v>270</v>
          </cell>
          <cell r="K198" t="str">
            <v>PET VAW 450</v>
          </cell>
          <cell r="L198" t="str">
            <v>450 ml</v>
          </cell>
          <cell r="M198" t="str">
            <v>CSD PET</v>
          </cell>
          <cell r="N198" t="str">
            <v>GOODMOOD</v>
          </cell>
          <cell r="V198" t="str">
            <v>16.07.2025</v>
          </cell>
          <cell r="W198">
            <v>45854</v>
          </cell>
        </row>
        <row r="199">
          <cell r="A199" t="str">
            <v>GOODMOOD YOGURT 450ML PET 12X15B_132</v>
          </cell>
          <cell r="B199">
            <v>320022435</v>
          </cell>
          <cell r="C199" t="str">
            <v>GOODMOOD YOGURT 450ML PET 12X15B_132</v>
          </cell>
          <cell r="D199">
            <v>22</v>
          </cell>
          <cell r="E199">
            <v>6</v>
          </cell>
          <cell r="F199">
            <v>132</v>
          </cell>
          <cell r="G199">
            <v>450</v>
          </cell>
          <cell r="H199">
            <v>12</v>
          </cell>
          <cell r="I199">
            <v>0.95103909827404021</v>
          </cell>
          <cell r="J199">
            <v>270</v>
          </cell>
          <cell r="K199" t="str">
            <v>PET VAW 450</v>
          </cell>
          <cell r="L199" t="str">
            <v>450 ml</v>
          </cell>
          <cell r="M199" t="str">
            <v>CSD PET</v>
          </cell>
          <cell r="N199" t="str">
            <v>GOODMOOD</v>
          </cell>
          <cell r="V199" t="str">
            <v>17.07.2025</v>
          </cell>
          <cell r="W199">
            <v>45855</v>
          </cell>
        </row>
        <row r="200">
          <cell r="A200" t="str">
            <v>GOODMOOD YOGURT 450ML PET 24X1_60</v>
          </cell>
          <cell r="B200">
            <v>320022388</v>
          </cell>
          <cell r="C200" t="str">
            <v>GOODMOOD YOGURT 450ML PET 24X1_60</v>
          </cell>
          <cell r="D200">
            <v>10</v>
          </cell>
          <cell r="E200">
            <v>6</v>
          </cell>
          <cell r="F200">
            <v>60</v>
          </cell>
          <cell r="G200">
            <v>450</v>
          </cell>
          <cell r="H200">
            <v>24</v>
          </cell>
          <cell r="I200">
            <v>1.9020781965480804</v>
          </cell>
          <cell r="J200">
            <v>270</v>
          </cell>
          <cell r="K200" t="str">
            <v>PET VAW 450</v>
          </cell>
          <cell r="L200" t="str">
            <v>450 ml</v>
          </cell>
          <cell r="M200" t="str">
            <v>CSD PET</v>
          </cell>
          <cell r="N200" t="str">
            <v>GOODMOOD</v>
          </cell>
          <cell r="V200" t="str">
            <v>18.07.2025</v>
          </cell>
          <cell r="W200">
            <v>45856</v>
          </cell>
        </row>
        <row r="201">
          <cell r="A201" t="str">
            <v>MRD MIX IT PINEAP PASS 300ML PET 12X_174</v>
          </cell>
          <cell r="B201">
            <v>320022382</v>
          </cell>
          <cell r="C201" t="str">
            <v>MRD MIX IT PINEAP PASS 300ML PET 12X_174</v>
          </cell>
          <cell r="D201">
            <v>29</v>
          </cell>
          <cell r="E201">
            <v>6</v>
          </cell>
          <cell r="F201">
            <v>174</v>
          </cell>
          <cell r="G201">
            <v>300</v>
          </cell>
          <cell r="H201">
            <v>12</v>
          </cell>
          <cell r="I201">
            <v>0.6340260655160268</v>
          </cell>
          <cell r="J201">
            <v>120</v>
          </cell>
          <cell r="K201" t="str">
            <v>PET MIXIT 300</v>
          </cell>
          <cell r="L201" t="str">
            <v>300 ml</v>
          </cell>
          <cell r="M201" t="str">
            <v>CSD PET</v>
          </cell>
          <cell r="N201" t="str">
            <v>Mixit</v>
          </cell>
          <cell r="V201" t="str">
            <v>19.07.2025</v>
          </cell>
          <cell r="W201">
            <v>45857</v>
          </cell>
        </row>
        <row r="202">
          <cell r="A202" t="str">
            <v>MRD MIX IT PINEAP PASS 400ML PET 24X_72</v>
          </cell>
          <cell r="B202">
            <v>320022383</v>
          </cell>
          <cell r="C202" t="str">
            <v>MRD MIX IT PINEAP PASS 400ML PET 24X_72</v>
          </cell>
          <cell r="D202">
            <v>12</v>
          </cell>
          <cell r="E202">
            <v>6</v>
          </cell>
          <cell r="F202">
            <v>72</v>
          </cell>
          <cell r="G202">
            <v>400</v>
          </cell>
          <cell r="H202">
            <v>24</v>
          </cell>
          <cell r="I202">
            <v>1.6907361747094047</v>
          </cell>
          <cell r="J202">
            <v>180</v>
          </cell>
          <cell r="K202" t="str">
            <v>PET MIXIT 400</v>
          </cell>
          <cell r="L202" t="str">
            <v>400 ml</v>
          </cell>
          <cell r="M202" t="str">
            <v>CSD PET</v>
          </cell>
          <cell r="N202" t="str">
            <v>Mixit</v>
          </cell>
          <cell r="V202" t="str">
            <v>20.07.2025</v>
          </cell>
          <cell r="W202">
            <v>45858</v>
          </cell>
        </row>
        <row r="203">
          <cell r="A203" t="str">
            <v>PEPSI MAX 245ML CAN 4X MP 5F1_SH_64</v>
          </cell>
          <cell r="B203">
            <v>320022362</v>
          </cell>
          <cell r="C203" t="str">
            <v>PEPSI MAX 245ML CAN 4X MP 5F1_SH_64</v>
          </cell>
          <cell r="D203">
            <v>16</v>
          </cell>
          <cell r="E203">
            <v>4</v>
          </cell>
          <cell r="F203">
            <v>64</v>
          </cell>
          <cell r="G203">
            <v>245</v>
          </cell>
          <cell r="H203">
            <v>24</v>
          </cell>
          <cell r="I203">
            <v>1.0355759070095103</v>
          </cell>
          <cell r="J203">
            <v>120</v>
          </cell>
          <cell r="K203" t="str">
            <v>CAN 250</v>
          </cell>
          <cell r="L203" t="str">
            <v>245 ml</v>
          </cell>
          <cell r="M203" t="str">
            <v>CSD CAN</v>
          </cell>
          <cell r="N203" t="str">
            <v>Pepsi Max</v>
          </cell>
          <cell r="V203" t="str">
            <v>21.07.2025</v>
          </cell>
          <cell r="W203">
            <v>45859</v>
          </cell>
        </row>
        <row r="204">
          <cell r="A204" t="str">
            <v>PEPSI MAX 1.26L PET 12X_48</v>
          </cell>
          <cell r="B204">
            <v>320022366</v>
          </cell>
          <cell r="C204" t="str">
            <v>PEPSI MAX 1.26L PET 12X_48</v>
          </cell>
          <cell r="D204">
            <v>12</v>
          </cell>
          <cell r="E204">
            <v>4</v>
          </cell>
          <cell r="F204">
            <v>48</v>
          </cell>
          <cell r="G204">
            <v>1260</v>
          </cell>
          <cell r="H204">
            <v>12</v>
          </cell>
          <cell r="I204">
            <v>2.6629094751673126</v>
          </cell>
          <cell r="J204">
            <v>120</v>
          </cell>
          <cell r="K204" t="str">
            <v>PET 1250</v>
          </cell>
          <cell r="L204" t="str">
            <v>1260 ml</v>
          </cell>
          <cell r="M204" t="str">
            <v>CSD PET</v>
          </cell>
          <cell r="N204" t="str">
            <v>Pepsi Max</v>
          </cell>
          <cell r="V204" t="str">
            <v>22.07.2025</v>
          </cell>
          <cell r="W204">
            <v>45860</v>
          </cell>
        </row>
        <row r="205">
          <cell r="A205" t="str">
            <v>PEPSI COLA 245ML CAN 4X MP 5F1_SH_144</v>
          </cell>
          <cell r="B205">
            <v>320022361</v>
          </cell>
          <cell r="C205" t="str">
            <v>PEPSI COLA 245ML CAN 4X MP 5F1_SH_144</v>
          </cell>
          <cell r="D205">
            <v>16</v>
          </cell>
          <cell r="E205">
            <v>9</v>
          </cell>
          <cell r="F205">
            <v>144</v>
          </cell>
          <cell r="G205">
            <v>245</v>
          </cell>
          <cell r="H205">
            <v>24</v>
          </cell>
          <cell r="I205">
            <v>1.0355759070095103</v>
          </cell>
          <cell r="J205">
            <v>270</v>
          </cell>
          <cell r="K205" t="str">
            <v>CAN 250</v>
          </cell>
          <cell r="L205" t="str">
            <v>245 ml</v>
          </cell>
          <cell r="M205" t="str">
            <v>CSD CAN</v>
          </cell>
          <cell r="N205" t="str">
            <v>Pepsi Cola</v>
          </cell>
          <cell r="V205" t="str">
            <v>23.07.2025</v>
          </cell>
          <cell r="W205">
            <v>45861</v>
          </cell>
        </row>
        <row r="206">
          <cell r="A206" t="str">
            <v>PEPSI COLA 245ML CAN 4X MUSIC SET</v>
          </cell>
          <cell r="B206">
            <v>320022389</v>
          </cell>
          <cell r="C206" t="str">
            <v>PEPSI COLA 245ML CAN 4X MUSIC SET</v>
          </cell>
          <cell r="D206">
            <v>6</v>
          </cell>
          <cell r="E206">
            <v>5</v>
          </cell>
          <cell r="F206">
            <v>30</v>
          </cell>
          <cell r="G206">
            <v>245</v>
          </cell>
          <cell r="H206">
            <v>24</v>
          </cell>
          <cell r="I206">
            <v>1.0355759070095103</v>
          </cell>
          <cell r="J206">
            <v>270</v>
          </cell>
          <cell r="K206" t="str">
            <v>CAN 250</v>
          </cell>
          <cell r="L206" t="str">
            <v>245 ml</v>
          </cell>
          <cell r="M206" t="str">
            <v>CSD CAN</v>
          </cell>
          <cell r="N206" t="str">
            <v>Pepsi Cola</v>
          </cell>
          <cell r="V206" t="str">
            <v>24.07.2025</v>
          </cell>
          <cell r="W206">
            <v>45862</v>
          </cell>
        </row>
        <row r="207">
          <cell r="A207" t="str">
            <v>PEPSI COLA 345ML PET 24X GC_BS_102</v>
          </cell>
          <cell r="B207">
            <v>320022390</v>
          </cell>
          <cell r="C207" t="str">
            <v>PEPSI COLA 345ML PET 24X GC_BS</v>
          </cell>
          <cell r="D207">
            <v>17</v>
          </cell>
          <cell r="E207">
            <v>6</v>
          </cell>
          <cell r="F207">
            <v>102</v>
          </cell>
          <cell r="G207">
            <v>345</v>
          </cell>
          <cell r="H207">
            <v>24</v>
          </cell>
          <cell r="I207">
            <v>1.4582599506868617</v>
          </cell>
          <cell r="J207">
            <v>120</v>
          </cell>
          <cell r="K207" t="str">
            <v>PET 350 P24</v>
          </cell>
          <cell r="L207" t="str">
            <v>345 ml</v>
          </cell>
          <cell r="M207" t="str">
            <v>CSD PET</v>
          </cell>
          <cell r="N207" t="str">
            <v>Pepsi Cola</v>
          </cell>
          <cell r="V207" t="str">
            <v>25.07.2025</v>
          </cell>
          <cell r="W207">
            <v>45863</v>
          </cell>
        </row>
        <row r="208">
          <cell r="A208" t="str">
            <v>GATORADE TROPICALFRUIT PET 500ML 12X_114</v>
          </cell>
          <cell r="B208">
            <v>320022375</v>
          </cell>
          <cell r="C208" t="str">
            <v>GATORADE TROPICALFRUIT PET 500ML 12X</v>
          </cell>
          <cell r="D208">
            <v>19</v>
          </cell>
          <cell r="E208">
            <v>6</v>
          </cell>
          <cell r="F208">
            <v>114</v>
          </cell>
          <cell r="G208">
            <v>500</v>
          </cell>
          <cell r="H208">
            <v>12</v>
          </cell>
          <cell r="I208">
            <v>1.0567101091933779</v>
          </cell>
          <cell r="J208">
            <v>270</v>
          </cell>
          <cell r="K208" t="str">
            <v>PET GTR 500 P12</v>
          </cell>
          <cell r="L208" t="str">
            <v>500ml</v>
          </cell>
          <cell r="M208" t="str">
            <v>NCB PET</v>
          </cell>
          <cell r="N208" t="str">
            <v>GATORADE</v>
          </cell>
          <cell r="V208" t="str">
            <v>26.07.2025</v>
          </cell>
          <cell r="W208">
            <v>45864</v>
          </cell>
        </row>
        <row r="209">
          <cell r="A209" t="str">
            <v>MRD MIXIT PINEAP PSS BNK400ML PET 24X_72</v>
          </cell>
          <cell r="B209">
            <v>320022374</v>
          </cell>
          <cell r="C209" t="str">
            <v>MRD MIXIT PINEAP PSS BNK400ML PET 24X_72</v>
          </cell>
          <cell r="D209">
            <v>12</v>
          </cell>
          <cell r="E209">
            <v>6</v>
          </cell>
          <cell r="F209">
            <v>72</v>
          </cell>
          <cell r="G209">
            <v>400</v>
          </cell>
          <cell r="H209">
            <v>24</v>
          </cell>
          <cell r="I209">
            <v>1.6907361747094047</v>
          </cell>
          <cell r="J209">
            <v>180</v>
          </cell>
          <cell r="K209" t="str">
            <v>PET MIXIT 400</v>
          </cell>
          <cell r="L209" t="str">
            <v>400 ml</v>
          </cell>
          <cell r="M209" t="str">
            <v>CSD PET</v>
          </cell>
          <cell r="N209" t="str">
            <v>Mixit</v>
          </cell>
          <cell r="V209" t="str">
            <v>27.07.2025</v>
          </cell>
          <cell r="W209">
            <v>45865</v>
          </cell>
        </row>
        <row r="210">
          <cell r="A210" t="str">
            <v>LIPTON PEACH 350ML PET 12X_182</v>
          </cell>
          <cell r="B210">
            <v>320022403</v>
          </cell>
          <cell r="C210" t="str">
            <v>LIPTON PEACH 350ML PET 12X_182</v>
          </cell>
          <cell r="D210">
            <v>26</v>
          </cell>
          <cell r="E210">
            <v>7</v>
          </cell>
          <cell r="F210">
            <v>182</v>
          </cell>
          <cell r="G210">
            <v>350</v>
          </cell>
          <cell r="H210">
            <v>12</v>
          </cell>
          <cell r="I210">
            <v>0.73969707643536453</v>
          </cell>
          <cell r="J210">
            <v>270</v>
          </cell>
          <cell r="K210" t="str">
            <v>PET NCB 350</v>
          </cell>
          <cell r="L210" t="str">
            <v>350ml</v>
          </cell>
          <cell r="M210" t="str">
            <v>NCB PET</v>
          </cell>
          <cell r="N210" t="str">
            <v>Lipton</v>
          </cell>
          <cell r="V210" t="str">
            <v>28.07.2025</v>
          </cell>
          <cell r="W210">
            <v>45866</v>
          </cell>
        </row>
        <row r="211">
          <cell r="A211" t="str">
            <v>LIPTON LEMON 445ML PET 24X_NF60</v>
          </cell>
          <cell r="B211">
            <v>320022391</v>
          </cell>
          <cell r="C211" t="str">
            <v>LIPTON LEMON 445ML PET 24X_NF60</v>
          </cell>
          <cell r="D211">
            <v>10</v>
          </cell>
          <cell r="E211">
            <v>6</v>
          </cell>
          <cell r="F211">
            <v>60</v>
          </cell>
          <cell r="G211">
            <v>445</v>
          </cell>
          <cell r="H211">
            <v>24</v>
          </cell>
          <cell r="I211">
            <v>1.8809439943642128</v>
          </cell>
          <cell r="J211">
            <v>270</v>
          </cell>
          <cell r="K211" t="str">
            <v>PET NCB 445</v>
          </cell>
          <cell r="L211" t="str">
            <v>445 ml</v>
          </cell>
          <cell r="M211" t="str">
            <v>NCB PET</v>
          </cell>
          <cell r="N211" t="str">
            <v>Lipton</v>
          </cell>
          <cell r="V211" t="str">
            <v>29.07.2025</v>
          </cell>
          <cell r="W211">
            <v>45867</v>
          </cell>
        </row>
        <row r="212">
          <cell r="A212" t="str">
            <v>LIPTON PEACH 445ML PET 24X_NF60</v>
          </cell>
          <cell r="B212">
            <v>320022392</v>
          </cell>
          <cell r="C212" t="str">
            <v>LIPTON PEACH 445ML PET 24X_NF60</v>
          </cell>
          <cell r="D212">
            <v>10</v>
          </cell>
          <cell r="E212">
            <v>6</v>
          </cell>
          <cell r="F212">
            <v>60</v>
          </cell>
          <cell r="G212">
            <v>445</v>
          </cell>
          <cell r="H212">
            <v>24</v>
          </cell>
          <cell r="I212">
            <v>1.8809439943642128</v>
          </cell>
          <cell r="J212">
            <v>270</v>
          </cell>
          <cell r="K212" t="str">
            <v>PET NCB 445</v>
          </cell>
          <cell r="L212" t="str">
            <v>445 ml</v>
          </cell>
          <cell r="M212" t="str">
            <v>NCB PET</v>
          </cell>
          <cell r="N212" t="str">
            <v>Lipton</v>
          </cell>
          <cell r="V212" t="str">
            <v>30.07.2025</v>
          </cell>
          <cell r="W212">
            <v>45868</v>
          </cell>
        </row>
        <row r="213">
          <cell r="A213" t="str">
            <v>PEPSI BAG SET PEPSI1L X3</v>
          </cell>
          <cell r="B213">
            <v>320022376</v>
          </cell>
          <cell r="C213" t="str">
            <v>PEPSI BAG SET PEPSI1L X3</v>
          </cell>
          <cell r="D213">
            <v>3</v>
          </cell>
          <cell r="E213">
            <v>3</v>
          </cell>
          <cell r="F213">
            <v>9</v>
          </cell>
          <cell r="G213">
            <v>1000</v>
          </cell>
          <cell r="H213">
            <v>18</v>
          </cell>
          <cell r="I213">
            <v>3.170130327580134</v>
          </cell>
          <cell r="J213">
            <v>180</v>
          </cell>
          <cell r="K213" t="str">
            <v>PET 1000</v>
          </cell>
          <cell r="L213" t="str">
            <v>1000 ml</v>
          </cell>
          <cell r="M213" t="str">
            <v>CSD PET</v>
          </cell>
          <cell r="N213" t="str">
            <v>Pepsi Cola</v>
          </cell>
          <cell r="V213" t="str">
            <v>31.07.2025</v>
          </cell>
          <cell r="W213">
            <v>45869</v>
          </cell>
        </row>
        <row r="214">
          <cell r="A214" t="str">
            <v>LIPTON STRAW MELON 445ML PET 24X_NF60</v>
          </cell>
          <cell r="B214">
            <v>320022399</v>
          </cell>
          <cell r="C214" t="str">
            <v>LIPTON STRAW MELON 445ML PET 24X_NF60</v>
          </cell>
          <cell r="D214">
            <v>10</v>
          </cell>
          <cell r="E214">
            <v>6</v>
          </cell>
          <cell r="F214">
            <v>60</v>
          </cell>
          <cell r="G214">
            <v>445</v>
          </cell>
          <cell r="H214">
            <v>24</v>
          </cell>
          <cell r="I214">
            <v>1.8809439943642128</v>
          </cell>
          <cell r="J214">
            <v>270</v>
          </cell>
          <cell r="K214" t="str">
            <v>PET NCB 445</v>
          </cell>
          <cell r="L214" t="str">
            <v>445 ml</v>
          </cell>
          <cell r="M214" t="str">
            <v>NCB PET</v>
          </cell>
          <cell r="N214" t="str">
            <v>Lipton</v>
          </cell>
          <cell r="V214" t="str">
            <v>01.08.2025</v>
          </cell>
          <cell r="W214">
            <v>45870</v>
          </cell>
        </row>
        <row r="215">
          <cell r="A215" t="str">
            <v>PEPSI COLA 300ML PET 24X_119</v>
          </cell>
          <cell r="B215">
            <v>320022404</v>
          </cell>
          <cell r="C215" t="str">
            <v>PEPSI COLA 300ML PET 24X_119</v>
          </cell>
          <cell r="D215">
            <v>17</v>
          </cell>
          <cell r="E215">
            <v>7</v>
          </cell>
          <cell r="F215">
            <v>119</v>
          </cell>
          <cell r="G215">
            <v>300</v>
          </cell>
          <cell r="H215">
            <v>24</v>
          </cell>
          <cell r="I215">
            <v>1.2680521310320536</v>
          </cell>
          <cell r="J215">
            <v>120</v>
          </cell>
          <cell r="K215" t="str">
            <v>PET 300 EMN P24</v>
          </cell>
          <cell r="L215" t="str">
            <v>300 ml</v>
          </cell>
          <cell r="M215" t="str">
            <v>CSD PET</v>
          </cell>
          <cell r="N215" t="str">
            <v>Pepsi Cola</v>
          </cell>
          <cell r="V215" t="str">
            <v>02.08.2025</v>
          </cell>
          <cell r="W215">
            <v>45871</v>
          </cell>
        </row>
        <row r="216">
          <cell r="A216" t="str">
            <v>AQUAFINA MINERAL WATER 550ML PET_144 TC</v>
          </cell>
          <cell r="B216">
            <v>320022368</v>
          </cell>
          <cell r="C216" t="str">
            <v>AQUAFINA MINERAL WATER 550ML PET_144 TC</v>
          </cell>
          <cell r="D216">
            <v>24</v>
          </cell>
          <cell r="E216">
            <v>6</v>
          </cell>
          <cell r="F216">
            <v>144</v>
          </cell>
          <cell r="G216">
            <v>550</v>
          </cell>
          <cell r="H216">
            <v>12</v>
          </cell>
          <cell r="I216">
            <v>1.1623811201127157</v>
          </cell>
          <cell r="J216">
            <v>365</v>
          </cell>
          <cell r="K216" t="str">
            <v>MINERAL 550</v>
          </cell>
          <cell r="L216" t="str">
            <v>550 ml</v>
          </cell>
          <cell r="M216" t="str">
            <v>WATER PET</v>
          </cell>
          <cell r="N216" t="str">
            <v>Water</v>
          </cell>
          <cell r="V216" t="str">
            <v>03.08.2025</v>
          </cell>
          <cell r="W216">
            <v>45872</v>
          </cell>
        </row>
        <row r="217">
          <cell r="A217" t="str">
            <v>PEPSI COLA 325ML CAN 24X_104</v>
          </cell>
          <cell r="B217">
            <v>320022397</v>
          </cell>
          <cell r="C217" t="str">
            <v>PEPSI COLA 325ML CAN 24X_104</v>
          </cell>
          <cell r="D217">
            <v>13</v>
          </cell>
          <cell r="E217">
            <v>8</v>
          </cell>
          <cell r="F217">
            <v>104</v>
          </cell>
          <cell r="G217">
            <v>325</v>
          </cell>
          <cell r="H217">
            <v>24</v>
          </cell>
          <cell r="I217">
            <v>1.3737231419513913</v>
          </cell>
          <cell r="J217">
            <v>270</v>
          </cell>
          <cell r="K217" t="str">
            <v>CAN 330</v>
          </cell>
          <cell r="L217" t="str">
            <v>325 ml</v>
          </cell>
          <cell r="M217" t="str">
            <v>CSD CAN</v>
          </cell>
          <cell r="N217" t="str">
            <v>Pepsi Cola</v>
          </cell>
          <cell r="V217" t="str">
            <v>04.08.2025</v>
          </cell>
          <cell r="W217">
            <v>45873</v>
          </cell>
        </row>
        <row r="218">
          <cell r="A218" t="str">
            <v>PEPSI COLA 325ML CAN 4X MP_104</v>
          </cell>
          <cell r="B218">
            <v>320022396</v>
          </cell>
          <cell r="C218" t="str">
            <v>PEPSI COLA 325ML CAN 4X MP_104</v>
          </cell>
          <cell r="D218">
            <v>13</v>
          </cell>
          <cell r="E218">
            <v>8</v>
          </cell>
          <cell r="F218">
            <v>104</v>
          </cell>
          <cell r="G218">
            <v>325</v>
          </cell>
          <cell r="H218">
            <v>24</v>
          </cell>
          <cell r="I218">
            <v>1.3737231419513913</v>
          </cell>
          <cell r="J218">
            <v>270</v>
          </cell>
          <cell r="K218" t="str">
            <v>CAN 330</v>
          </cell>
          <cell r="L218" t="str">
            <v>325 ml</v>
          </cell>
          <cell r="M218" t="str">
            <v>CSD CAN</v>
          </cell>
          <cell r="N218" t="str">
            <v>Pepsi Cola</v>
          </cell>
          <cell r="V218" t="str">
            <v>05.08.2025</v>
          </cell>
          <cell r="W218">
            <v>45874</v>
          </cell>
        </row>
        <row r="219">
          <cell r="A219" t="str">
            <v>PEPSI MAX 325ML CAN 4X MP_104</v>
          </cell>
          <cell r="B219">
            <v>320022398</v>
          </cell>
          <cell r="C219" t="str">
            <v>PEPSI MAX 325ML CAN 4X MP_104</v>
          </cell>
          <cell r="D219">
            <v>13</v>
          </cell>
          <cell r="E219">
            <v>8</v>
          </cell>
          <cell r="F219">
            <v>104</v>
          </cell>
          <cell r="G219">
            <v>325</v>
          </cell>
          <cell r="H219">
            <v>24</v>
          </cell>
          <cell r="I219">
            <v>1.3737231419513913</v>
          </cell>
          <cell r="J219">
            <v>120</v>
          </cell>
          <cell r="K219" t="str">
            <v>CAN 330</v>
          </cell>
          <cell r="L219" t="str">
            <v>325 ml</v>
          </cell>
          <cell r="M219" t="str">
            <v>CSD CAN</v>
          </cell>
          <cell r="N219" t="str">
            <v>Pepsi Max</v>
          </cell>
          <cell r="V219" t="str">
            <v>06.08.2025</v>
          </cell>
          <cell r="W219">
            <v>45875</v>
          </cell>
        </row>
        <row r="220">
          <cell r="A220" t="str">
            <v>LIPTON GR HONEY LEMON 445ML PET 24X_NF60</v>
          </cell>
          <cell r="B220">
            <v>320022395</v>
          </cell>
          <cell r="C220" t="str">
            <v>LIPTON GR HONEY LEMON 445ML PET 24X_NF60</v>
          </cell>
          <cell r="D220">
            <v>10</v>
          </cell>
          <cell r="E220">
            <v>6</v>
          </cell>
          <cell r="F220">
            <v>60</v>
          </cell>
          <cell r="G220">
            <v>445</v>
          </cell>
          <cell r="H220">
            <v>24</v>
          </cell>
          <cell r="I220">
            <v>1.8809439943642128</v>
          </cell>
          <cell r="J220">
            <v>210</v>
          </cell>
          <cell r="K220" t="str">
            <v>PET NCB 445</v>
          </cell>
          <cell r="L220" t="str">
            <v>445 ml</v>
          </cell>
          <cell r="M220" t="str">
            <v>NCB PET</v>
          </cell>
          <cell r="N220" t="str">
            <v>Lipton</v>
          </cell>
          <cell r="V220" t="str">
            <v>07.08.2025</v>
          </cell>
          <cell r="W220">
            <v>45876</v>
          </cell>
        </row>
        <row r="221">
          <cell r="A221" t="str">
            <v>PEPSI COLA 345ML PET 24X 12B_102</v>
          </cell>
          <cell r="B221">
            <v>320022441</v>
          </cell>
          <cell r="C221" t="str">
            <v>PEPSI COLA 345ML PET 24X 12B_102</v>
          </cell>
          <cell r="D221">
            <v>17</v>
          </cell>
          <cell r="E221">
            <v>6</v>
          </cell>
          <cell r="F221">
            <v>102</v>
          </cell>
          <cell r="G221">
            <v>345</v>
          </cell>
          <cell r="H221">
            <v>24</v>
          </cell>
          <cell r="I221">
            <v>1.4582599506868617</v>
          </cell>
          <cell r="J221">
            <v>120</v>
          </cell>
          <cell r="K221" t="str">
            <v>PET 350 P24</v>
          </cell>
          <cell r="L221" t="str">
            <v>345 ml</v>
          </cell>
          <cell r="M221" t="str">
            <v>CSD PET</v>
          </cell>
          <cell r="N221" t="str">
            <v>Pepsi Cola</v>
          </cell>
          <cell r="V221" t="str">
            <v>08.08.2025</v>
          </cell>
          <cell r="W221">
            <v>45877</v>
          </cell>
        </row>
        <row r="222">
          <cell r="A222" t="str">
            <v>7UP 300ML PET 12X_217</v>
          </cell>
          <cell r="B222">
            <v>320022442</v>
          </cell>
          <cell r="C222" t="str">
            <v>7UP 300ML PET 12X_217</v>
          </cell>
          <cell r="D222">
            <v>31</v>
          </cell>
          <cell r="E222">
            <v>7</v>
          </cell>
          <cell r="F222">
            <v>217</v>
          </cell>
          <cell r="G222">
            <v>300</v>
          </cell>
          <cell r="H222">
            <v>12</v>
          </cell>
          <cell r="I222">
            <v>0.6340260655160268</v>
          </cell>
          <cell r="J222">
            <v>120</v>
          </cell>
          <cell r="K222" t="str">
            <v>CSD PET 300 P12</v>
          </cell>
          <cell r="L222" t="str">
            <v>300 ml</v>
          </cell>
          <cell r="M222" t="str">
            <v>CSD PET</v>
          </cell>
          <cell r="N222" t="str">
            <v>7-Up</v>
          </cell>
          <cell r="V222" t="str">
            <v>09.08.2025</v>
          </cell>
          <cell r="W222">
            <v>45878</v>
          </cell>
        </row>
        <row r="223">
          <cell r="A223" t="str">
            <v>MIRINDA ORANGE 300ML PET 12X_217</v>
          </cell>
          <cell r="B223">
            <v>320022443</v>
          </cell>
          <cell r="C223" t="str">
            <v>MIRINDA ORANGE 300ML PET 12X_217</v>
          </cell>
          <cell r="D223">
            <v>31</v>
          </cell>
          <cell r="E223">
            <v>7</v>
          </cell>
          <cell r="F223">
            <v>217</v>
          </cell>
          <cell r="G223">
            <v>300</v>
          </cell>
          <cell r="H223">
            <v>12</v>
          </cell>
          <cell r="I223">
            <v>0.6340260655160268</v>
          </cell>
          <cell r="J223">
            <v>120</v>
          </cell>
          <cell r="K223" t="str">
            <v>CSD PET 300 P12</v>
          </cell>
          <cell r="L223" t="str">
            <v>300 ml</v>
          </cell>
          <cell r="M223" t="str">
            <v>CSD PET</v>
          </cell>
          <cell r="N223" t="str">
            <v>MRD Orange</v>
          </cell>
          <cell r="V223" t="str">
            <v>10.08.2025</v>
          </cell>
          <cell r="W223">
            <v>45879</v>
          </cell>
        </row>
        <row r="224">
          <cell r="A224" t="str">
            <v>MIRINDA STRWB 300ML PET 12X_217</v>
          </cell>
          <cell r="B224">
            <v>320022444</v>
          </cell>
          <cell r="C224" t="str">
            <v>MIRINDA STRWB 300ML PET 12X_217</v>
          </cell>
          <cell r="D224">
            <v>31</v>
          </cell>
          <cell r="E224">
            <v>7</v>
          </cell>
          <cell r="F224">
            <v>217</v>
          </cell>
          <cell r="G224">
            <v>300</v>
          </cell>
          <cell r="H224">
            <v>12</v>
          </cell>
          <cell r="I224">
            <v>0.6340260655160268</v>
          </cell>
          <cell r="J224">
            <v>120</v>
          </cell>
          <cell r="K224" t="str">
            <v>CSD PET 300 P12</v>
          </cell>
          <cell r="L224" t="str">
            <v>300 ml</v>
          </cell>
          <cell r="M224" t="str">
            <v>CSD PET</v>
          </cell>
          <cell r="N224" t="str">
            <v>MRD Strawberry</v>
          </cell>
          <cell r="V224" t="str">
            <v>11.08.2025</v>
          </cell>
          <cell r="W224">
            <v>45880</v>
          </cell>
        </row>
        <row r="225">
          <cell r="A225" t="str">
            <v>MRD MIX IT GRAPE MELON 300ML PET 12X_217</v>
          </cell>
          <cell r="B225">
            <v>320022445</v>
          </cell>
          <cell r="C225" t="str">
            <v>MRD MIX IT GRAPE MELON 300ML PET 12X_217</v>
          </cell>
          <cell r="D225">
            <v>31</v>
          </cell>
          <cell r="E225">
            <v>7</v>
          </cell>
          <cell r="F225">
            <v>217</v>
          </cell>
          <cell r="G225">
            <v>300</v>
          </cell>
          <cell r="H225">
            <v>12</v>
          </cell>
          <cell r="I225">
            <v>0.6340260655160268</v>
          </cell>
          <cell r="J225">
            <v>120</v>
          </cell>
          <cell r="K225" t="str">
            <v>PET MIXIT 300</v>
          </cell>
          <cell r="L225" t="str">
            <v>300 ml</v>
          </cell>
          <cell r="M225" t="str">
            <v>CSD PET</v>
          </cell>
          <cell r="N225" t="str">
            <v>Mixit</v>
          </cell>
          <cell r="V225" t="str">
            <v>12.08.2025</v>
          </cell>
          <cell r="W225">
            <v>45881</v>
          </cell>
        </row>
        <row r="226">
          <cell r="A226" t="str">
            <v>MRD MIX IT BLUEBERYUZU 300ML PET 12X_217</v>
          </cell>
          <cell r="B226">
            <v>320022446</v>
          </cell>
          <cell r="C226" t="str">
            <v>MRD MIX IT BLUEBERYUZU 300ML PET 12X_217</v>
          </cell>
          <cell r="D226">
            <v>31</v>
          </cell>
          <cell r="E226">
            <v>7</v>
          </cell>
          <cell r="F226">
            <v>217</v>
          </cell>
          <cell r="G226">
            <v>300</v>
          </cell>
          <cell r="H226">
            <v>12</v>
          </cell>
          <cell r="I226">
            <v>0.6340260655160268</v>
          </cell>
          <cell r="J226">
            <v>120</v>
          </cell>
          <cell r="K226" t="str">
            <v>PET MIXIT 300</v>
          </cell>
          <cell r="L226" t="str">
            <v>300 ml</v>
          </cell>
          <cell r="M226" t="str">
            <v>CSD PET</v>
          </cell>
          <cell r="N226" t="str">
            <v>Mixit</v>
          </cell>
          <cell r="V226" t="str">
            <v>13.08.2025</v>
          </cell>
          <cell r="W226">
            <v>45882</v>
          </cell>
        </row>
        <row r="227">
          <cell r="A227" t="str">
            <v>LIPTON LEMON 445ML PET 24X_NF60 LAO</v>
          </cell>
          <cell r="B227">
            <v>320022447</v>
          </cell>
          <cell r="C227" t="str">
            <v>LIPTON LEMON 445ML PET 24X_NF60 LAO</v>
          </cell>
          <cell r="D227">
            <v>10</v>
          </cell>
          <cell r="E227">
            <v>6</v>
          </cell>
          <cell r="F227">
            <v>60</v>
          </cell>
          <cell r="G227">
            <v>445</v>
          </cell>
          <cell r="H227">
            <v>24</v>
          </cell>
          <cell r="I227">
            <v>1.8809439943642128</v>
          </cell>
          <cell r="J227">
            <v>270</v>
          </cell>
          <cell r="K227" t="str">
            <v>PET NCB 445</v>
          </cell>
          <cell r="L227" t="str">
            <v>445 ml</v>
          </cell>
          <cell r="M227" t="str">
            <v>NCB PET</v>
          </cell>
          <cell r="N227" t="str">
            <v>Lipton</v>
          </cell>
          <cell r="V227" t="str">
            <v>14.08.2025</v>
          </cell>
          <cell r="W227">
            <v>45883</v>
          </cell>
        </row>
        <row r="228">
          <cell r="A228" t="str">
            <v>PEPSI COLA LIME 325ML CAN 4X MP_104</v>
          </cell>
          <cell r="B228">
            <v>320022454</v>
          </cell>
          <cell r="C228" t="str">
            <v>PEPSI COLA LIME 325ML CAN 4X MP_104</v>
          </cell>
          <cell r="D228">
            <v>13</v>
          </cell>
          <cell r="E228">
            <v>8</v>
          </cell>
          <cell r="F228">
            <v>104</v>
          </cell>
          <cell r="G228">
            <v>325</v>
          </cell>
          <cell r="H228">
            <v>24</v>
          </cell>
          <cell r="I228">
            <v>1.3737231419513913</v>
          </cell>
          <cell r="J228">
            <v>270</v>
          </cell>
          <cell r="K228" t="str">
            <v>CAN 330</v>
          </cell>
          <cell r="L228" t="str">
            <v>325 ml</v>
          </cell>
          <cell r="M228" t="str">
            <v>CSD CAN</v>
          </cell>
          <cell r="N228" t="str">
            <v>PEPSI LIME</v>
          </cell>
          <cell r="V228" t="str">
            <v>15.08.2025</v>
          </cell>
          <cell r="W228">
            <v>45884</v>
          </cell>
        </row>
        <row r="229">
          <cell r="A229" t="str">
            <v>MIRINDA ORANGE 325ML CAN 4X MP_104</v>
          </cell>
          <cell r="B229">
            <v>320022449</v>
          </cell>
          <cell r="C229" t="str">
            <v>MIRINDA ORANGE 325ML CAN 4X MP_104</v>
          </cell>
          <cell r="D229">
            <v>13</v>
          </cell>
          <cell r="E229">
            <v>8</v>
          </cell>
          <cell r="F229">
            <v>104</v>
          </cell>
          <cell r="G229">
            <v>325</v>
          </cell>
          <cell r="H229">
            <v>24</v>
          </cell>
          <cell r="I229">
            <v>1.3737231419513913</v>
          </cell>
          <cell r="J229">
            <v>270</v>
          </cell>
          <cell r="K229" t="str">
            <v>CAN 330</v>
          </cell>
          <cell r="L229" t="str">
            <v>325 ml</v>
          </cell>
          <cell r="M229" t="str">
            <v>CSD CAN</v>
          </cell>
          <cell r="N229" t="str">
            <v>MRD Orange</v>
          </cell>
          <cell r="V229" t="str">
            <v>16.08.2025</v>
          </cell>
          <cell r="W229">
            <v>45885</v>
          </cell>
        </row>
        <row r="230">
          <cell r="A230" t="str">
            <v>MIRINDA STRWB 325ML CAN 4X MP_104</v>
          </cell>
          <cell r="B230">
            <v>320022450</v>
          </cell>
          <cell r="C230" t="str">
            <v>MIRINDA STRWB 325ML CAN 4X MP_104</v>
          </cell>
          <cell r="D230">
            <v>13</v>
          </cell>
          <cell r="E230">
            <v>8</v>
          </cell>
          <cell r="F230">
            <v>104</v>
          </cell>
          <cell r="G230">
            <v>325</v>
          </cell>
          <cell r="H230">
            <v>24</v>
          </cell>
          <cell r="I230">
            <v>1.3737231419513913</v>
          </cell>
          <cell r="J230">
            <v>270</v>
          </cell>
          <cell r="K230" t="str">
            <v>CAN 330</v>
          </cell>
          <cell r="L230" t="str">
            <v>325 ml</v>
          </cell>
          <cell r="M230" t="str">
            <v>CSD CAN</v>
          </cell>
          <cell r="N230" t="str">
            <v>MRD Strawberry</v>
          </cell>
          <cell r="V230" t="str">
            <v>17.08.2025</v>
          </cell>
          <cell r="W230">
            <v>45886</v>
          </cell>
        </row>
        <row r="231">
          <cell r="A231" t="str">
            <v>7UP 325ML CAN 4X MP_104</v>
          </cell>
          <cell r="B231">
            <v>320022451</v>
          </cell>
          <cell r="C231" t="str">
            <v>7UP 325ML CAN 4X MP_104</v>
          </cell>
          <cell r="D231">
            <v>13</v>
          </cell>
          <cell r="E231">
            <v>8</v>
          </cell>
          <cell r="F231">
            <v>104</v>
          </cell>
          <cell r="G231">
            <v>325</v>
          </cell>
          <cell r="H231">
            <v>24</v>
          </cell>
          <cell r="I231">
            <v>1.3737231419513913</v>
          </cell>
          <cell r="J231">
            <v>270</v>
          </cell>
          <cell r="K231" t="str">
            <v>CAN 330</v>
          </cell>
          <cell r="L231" t="str">
            <v>325 ml</v>
          </cell>
          <cell r="M231" t="str">
            <v>CSD CAN</v>
          </cell>
          <cell r="N231" t="str">
            <v>7-Up</v>
          </cell>
          <cell r="V231" t="str">
            <v>18.08.2025</v>
          </cell>
          <cell r="W231">
            <v>45887</v>
          </cell>
        </row>
        <row r="232">
          <cell r="A232" t="str">
            <v>PEPSI COLA 430ML PET 24X 15B_75</v>
          </cell>
          <cell r="B232">
            <v>320022452</v>
          </cell>
          <cell r="C232" t="str">
            <v>PEPSI COLA 430ML PET 24X 15B_75</v>
          </cell>
          <cell r="D232">
            <v>15</v>
          </cell>
          <cell r="E232">
            <v>5</v>
          </cell>
          <cell r="F232">
            <v>75</v>
          </cell>
          <cell r="G232">
            <v>430</v>
          </cell>
          <cell r="H232">
            <v>24</v>
          </cell>
          <cell r="I232">
            <v>1.8175413878126101</v>
          </cell>
          <cell r="J232">
            <v>180</v>
          </cell>
          <cell r="K232" t="str">
            <v>PET 430</v>
          </cell>
          <cell r="L232" t="str">
            <v>430 ml</v>
          </cell>
          <cell r="M232" t="str">
            <v>CSD PET</v>
          </cell>
          <cell r="N232" t="str">
            <v>Pepsi Cola</v>
          </cell>
          <cell r="V232" t="str">
            <v>19.08.2025</v>
          </cell>
          <cell r="W232">
            <v>45888</v>
          </cell>
        </row>
        <row r="233">
          <cell r="A233" t="str">
            <v>PEPSI COLA 640ML PET 12X 17B_110</v>
          </cell>
          <cell r="B233">
            <v>320022453</v>
          </cell>
          <cell r="C233" t="str">
            <v>PEPSI COLA 640ML PET 12X 17B_110</v>
          </cell>
          <cell r="D233">
            <v>22</v>
          </cell>
          <cell r="E233">
            <v>5</v>
          </cell>
          <cell r="F233">
            <v>110</v>
          </cell>
          <cell r="G233">
            <v>640</v>
          </cell>
          <cell r="H233">
            <v>12</v>
          </cell>
          <cell r="I233">
            <v>1.3525889397675237</v>
          </cell>
          <cell r="J233">
            <v>180</v>
          </cell>
          <cell r="K233" t="str">
            <v>PET 640</v>
          </cell>
          <cell r="L233" t="str">
            <v>640 ml</v>
          </cell>
          <cell r="M233" t="str">
            <v>CSD PET</v>
          </cell>
          <cell r="N233" t="str">
            <v>Pepsi Cola</v>
          </cell>
          <cell r="V233" t="str">
            <v>20.08.2025</v>
          </cell>
          <cell r="W233">
            <v>45889</v>
          </cell>
        </row>
        <row r="234">
          <cell r="A234" t="str">
            <v>PEPSI COLA LIME 345ML PET 12X_192</v>
          </cell>
          <cell r="B234">
            <v>320022424</v>
          </cell>
          <cell r="C234" t="str">
            <v>PEPSI COLA LIME 345ML PET 12X_192</v>
          </cell>
          <cell r="D234">
            <v>32</v>
          </cell>
          <cell r="E234">
            <v>6</v>
          </cell>
          <cell r="F234">
            <v>192</v>
          </cell>
          <cell r="G234">
            <v>345</v>
          </cell>
          <cell r="H234">
            <v>12</v>
          </cell>
          <cell r="I234">
            <v>0.72912997534343083</v>
          </cell>
          <cell r="J234">
            <v>120</v>
          </cell>
          <cell r="K234" t="str">
            <v>PET 350 P12</v>
          </cell>
          <cell r="L234" t="str">
            <v>345 ml</v>
          </cell>
          <cell r="M234" t="str">
            <v>CSD PET</v>
          </cell>
          <cell r="N234" t="str">
            <v>PEPSI LIME</v>
          </cell>
          <cell r="V234" t="str">
            <v>21.08.2025</v>
          </cell>
          <cell r="W234">
            <v>45890</v>
          </cell>
        </row>
        <row r="235">
          <cell r="A235" t="str">
            <v>PEPSI COLA LIME 430ML PET 12X_150</v>
          </cell>
          <cell r="B235">
            <v>320022425</v>
          </cell>
          <cell r="C235" t="str">
            <v>PEPSI COLA LIME 430ML PET 12X_150</v>
          </cell>
          <cell r="D235">
            <v>30</v>
          </cell>
          <cell r="E235">
            <v>5</v>
          </cell>
          <cell r="F235">
            <v>150</v>
          </cell>
          <cell r="G235">
            <v>430</v>
          </cell>
          <cell r="H235">
            <v>12</v>
          </cell>
          <cell r="I235">
            <v>0.90877069390630505</v>
          </cell>
          <cell r="J235">
            <v>180</v>
          </cell>
          <cell r="K235" t="str">
            <v>PET 430 P12</v>
          </cell>
          <cell r="L235" t="str">
            <v>430 ml</v>
          </cell>
          <cell r="M235" t="str">
            <v>CSD PET</v>
          </cell>
          <cell r="N235" t="str">
            <v>PEPSI LIME</v>
          </cell>
          <cell r="V235" t="str">
            <v>22.08.2025</v>
          </cell>
          <cell r="W235">
            <v>45891</v>
          </cell>
        </row>
        <row r="236">
          <cell r="A236" t="str">
            <v>PEPSI COLA LIME 410ML PET 24X_72</v>
          </cell>
          <cell r="B236">
            <v>320022432</v>
          </cell>
          <cell r="C236" t="str">
            <v>PEPSI COLA LIME 410ML PET 24X_72</v>
          </cell>
          <cell r="D236">
            <v>12</v>
          </cell>
          <cell r="E236">
            <v>6</v>
          </cell>
          <cell r="F236">
            <v>72</v>
          </cell>
          <cell r="G236">
            <v>410</v>
          </cell>
          <cell r="H236">
            <v>24</v>
          </cell>
          <cell r="I236">
            <v>1.7330045790771398</v>
          </cell>
          <cell r="J236">
            <v>180</v>
          </cell>
          <cell r="K236" t="str">
            <v>PET 450</v>
          </cell>
          <cell r="L236" t="str">
            <v>410 ml</v>
          </cell>
          <cell r="M236" t="str">
            <v>CSD PET</v>
          </cell>
          <cell r="N236" t="str">
            <v>PEPSI LIME</v>
          </cell>
          <cell r="V236" t="str">
            <v>23.08.2025</v>
          </cell>
          <cell r="W236">
            <v>45892</v>
          </cell>
        </row>
        <row r="237">
          <cell r="A237" t="str">
            <v>PEPSI COLA LIME 640ML PET 12X_110</v>
          </cell>
          <cell r="B237">
            <v>320022427</v>
          </cell>
          <cell r="C237" t="str">
            <v>PEPSI COLA LIME 640ML PET 12X_110</v>
          </cell>
          <cell r="D237">
            <v>22</v>
          </cell>
          <cell r="E237">
            <v>5</v>
          </cell>
          <cell r="F237">
            <v>110</v>
          </cell>
          <cell r="G237">
            <v>640</v>
          </cell>
          <cell r="H237">
            <v>12</v>
          </cell>
          <cell r="I237">
            <v>1.3525889397675237</v>
          </cell>
          <cell r="J237">
            <v>180</v>
          </cell>
          <cell r="K237" t="str">
            <v>PET 640</v>
          </cell>
          <cell r="L237" t="str">
            <v>640 ml</v>
          </cell>
          <cell r="M237" t="str">
            <v>CSD PET</v>
          </cell>
          <cell r="N237" t="str">
            <v>PEPSI LIME</v>
          </cell>
          <cell r="V237" t="str">
            <v>24.08.2025</v>
          </cell>
          <cell r="W237">
            <v>45893</v>
          </cell>
        </row>
        <row r="238">
          <cell r="A238" t="str">
            <v>PEPSI COLA LIME 1.45L PET 12X_48</v>
          </cell>
          <cell r="B238">
            <v>320022428</v>
          </cell>
          <cell r="C238" t="str">
            <v>PEPSI COLA LIME 1.45L PET 12X_48</v>
          </cell>
          <cell r="D238">
            <v>12</v>
          </cell>
          <cell r="E238">
            <v>4</v>
          </cell>
          <cell r="F238">
            <v>48</v>
          </cell>
          <cell r="G238">
            <v>1450</v>
          </cell>
          <cell r="H238">
            <v>12</v>
          </cell>
          <cell r="I238">
            <v>3.0644593166607961</v>
          </cell>
          <cell r="J238">
            <v>180</v>
          </cell>
          <cell r="K238" t="str">
            <v>PET 1500</v>
          </cell>
          <cell r="L238" t="str">
            <v>1450 ml</v>
          </cell>
          <cell r="M238" t="str">
            <v>CSD PET</v>
          </cell>
          <cell r="N238" t="str">
            <v>PEPSI LIME</v>
          </cell>
          <cell r="V238" t="str">
            <v>25.08.2025</v>
          </cell>
          <cell r="W238">
            <v>45894</v>
          </cell>
        </row>
        <row r="239">
          <cell r="A239" t="str">
            <v>PEPSI COLA LIME 245ML CAN 4X MP_64</v>
          </cell>
          <cell r="B239">
            <v>320022423</v>
          </cell>
          <cell r="C239" t="str">
            <v>PEPSI COLA LIME 245ML CAN 4X MP_64</v>
          </cell>
          <cell r="D239">
            <v>16</v>
          </cell>
          <cell r="E239">
            <v>4</v>
          </cell>
          <cell r="F239">
            <v>64</v>
          </cell>
          <cell r="G239">
            <v>245</v>
          </cell>
          <cell r="H239">
            <v>24</v>
          </cell>
          <cell r="I239">
            <v>1.0355759070095103</v>
          </cell>
          <cell r="J239">
            <v>270</v>
          </cell>
          <cell r="K239" t="str">
            <v>CAN 250</v>
          </cell>
          <cell r="L239" t="str">
            <v>245 ml</v>
          </cell>
          <cell r="M239" t="str">
            <v>CSD CAN</v>
          </cell>
          <cell r="N239" t="str">
            <v>PEPSI LIME</v>
          </cell>
          <cell r="V239" t="str">
            <v>26.08.2025</v>
          </cell>
          <cell r="W239">
            <v>45895</v>
          </cell>
        </row>
        <row r="240">
          <cell r="A240" t="str">
            <v>7UP SALTED LEMON 440ML PET 24X_72</v>
          </cell>
          <cell r="B240">
            <v>320021837</v>
          </cell>
          <cell r="C240" t="str">
            <v>7UP SALTED LEMON 440ML PET 24X_72</v>
          </cell>
          <cell r="D240">
            <v>12</v>
          </cell>
          <cell r="E240">
            <v>6</v>
          </cell>
          <cell r="F240">
            <v>72</v>
          </cell>
          <cell r="G240">
            <v>440</v>
          </cell>
          <cell r="H240">
            <v>24</v>
          </cell>
          <cell r="I240">
            <v>1.8598097921803451</v>
          </cell>
          <cell r="J240">
            <v>180</v>
          </cell>
          <cell r="K240" t="str">
            <v>PET 450</v>
          </cell>
          <cell r="L240" t="str">
            <v>440 ml</v>
          </cell>
          <cell r="M240" t="str">
            <v>CSD PET</v>
          </cell>
          <cell r="N240" t="str">
            <v>7-Up</v>
          </cell>
          <cell r="V240" t="str">
            <v>27.08.2025</v>
          </cell>
          <cell r="W240">
            <v>45896</v>
          </cell>
        </row>
        <row r="241">
          <cell r="A241" t="str">
            <v>PEPSI LIME CAN P6 _ FRIDGE SET_6</v>
          </cell>
          <cell r="B241">
            <v>320022377</v>
          </cell>
          <cell r="C241" t="str">
            <v>PEPSI LIME CAN P6 _ FRIDGE SET_6</v>
          </cell>
          <cell r="D241">
            <v>2</v>
          </cell>
          <cell r="E241">
            <v>3</v>
          </cell>
          <cell r="F241">
            <v>6</v>
          </cell>
          <cell r="G241">
            <v>245</v>
          </cell>
          <cell r="H241">
            <v>36</v>
          </cell>
          <cell r="I241">
            <v>1.5533638605142657</v>
          </cell>
          <cell r="J241">
            <v>270</v>
          </cell>
          <cell r="K241" t="str">
            <v>CAN 250</v>
          </cell>
          <cell r="L241" t="str">
            <v>245 ml</v>
          </cell>
          <cell r="M241" t="str">
            <v>CSD CAN</v>
          </cell>
          <cell r="N241" t="str">
            <v>PEPSI LIME</v>
          </cell>
          <cell r="V241" t="str">
            <v>28.08.2025</v>
          </cell>
          <cell r="W241">
            <v>45897</v>
          </cell>
        </row>
        <row r="242">
          <cell r="A242" t="str">
            <v>PEPSI COLA 245ML CAN 4X MP_144 VN</v>
          </cell>
          <cell r="B242">
            <v>320022394</v>
          </cell>
          <cell r="C242" t="str">
            <v>PEPSI COLA 245ML CAN 4X MP_144 VN</v>
          </cell>
          <cell r="D242">
            <v>16</v>
          </cell>
          <cell r="E242">
            <v>9</v>
          </cell>
          <cell r="F242">
            <v>144</v>
          </cell>
          <cell r="G242">
            <v>245</v>
          </cell>
          <cell r="H242">
            <v>24</v>
          </cell>
          <cell r="I242">
            <v>1.0355759070095103</v>
          </cell>
          <cell r="J242">
            <v>270</v>
          </cell>
          <cell r="K242" t="str">
            <v>CAN 250</v>
          </cell>
          <cell r="L242" t="str">
            <v>245 ml</v>
          </cell>
          <cell r="M242" t="str">
            <v>CSD CAN</v>
          </cell>
          <cell r="N242" t="str">
            <v>Pepsi Cola</v>
          </cell>
          <cell r="V242" t="str">
            <v>29.08.2025</v>
          </cell>
          <cell r="W242">
            <v>45898</v>
          </cell>
        </row>
        <row r="243">
          <cell r="A243" t="str">
            <v>AQF BIO GUAVA LYCHEE  PET 350ml 12X_182</v>
          </cell>
          <cell r="B243">
            <v>320022400</v>
          </cell>
          <cell r="C243" t="str">
            <v>AQF BIO GUAVA LYCHEE  PET 350ml 12X_182</v>
          </cell>
          <cell r="D243">
            <v>26</v>
          </cell>
          <cell r="E243">
            <v>7</v>
          </cell>
          <cell r="F243">
            <v>182</v>
          </cell>
          <cell r="G243">
            <v>350</v>
          </cell>
          <cell r="H243">
            <v>12</v>
          </cell>
          <cell r="I243">
            <v>0.73969707643536453</v>
          </cell>
          <cell r="J243">
            <v>180</v>
          </cell>
          <cell r="K243" t="str">
            <v>PET BIO 350</v>
          </cell>
          <cell r="L243" t="str">
            <v>350 ml</v>
          </cell>
          <cell r="M243" t="str">
            <v>NCB PET</v>
          </cell>
          <cell r="N243" t="str">
            <v>AQF BIO</v>
          </cell>
          <cell r="V243" t="str">
            <v>30.08.2025</v>
          </cell>
          <cell r="W243">
            <v>45899</v>
          </cell>
        </row>
        <row r="244">
          <cell r="A244" t="str">
            <v>AQF BIO LEMON LAVENDER 350ml 12X_182</v>
          </cell>
          <cell r="B244">
            <v>320022401</v>
          </cell>
          <cell r="C244" t="str">
            <v>AQF BIO LEMON LAVENDER 350ml 12X_182</v>
          </cell>
          <cell r="D244">
            <v>26</v>
          </cell>
          <cell r="E244">
            <v>7</v>
          </cell>
          <cell r="F244">
            <v>182</v>
          </cell>
          <cell r="G244">
            <v>350</v>
          </cell>
          <cell r="H244">
            <v>12</v>
          </cell>
          <cell r="I244">
            <v>0.73969707643536453</v>
          </cell>
          <cell r="J244">
            <v>180</v>
          </cell>
          <cell r="K244" t="str">
            <v>PET BIO 350</v>
          </cell>
          <cell r="L244" t="str">
            <v>350 ml</v>
          </cell>
          <cell r="M244" t="str">
            <v>NCB PET</v>
          </cell>
          <cell r="N244" t="str">
            <v>AQF BIO</v>
          </cell>
          <cell r="V244" t="str">
            <v>31.08.2025</v>
          </cell>
          <cell r="W244">
            <v>45900</v>
          </cell>
        </row>
        <row r="245">
          <cell r="A245" t="str">
            <v>AQF BIO ORANGE ROSE 350ml 12X_182</v>
          </cell>
          <cell r="B245">
            <v>320022402</v>
          </cell>
          <cell r="C245" t="str">
            <v>AQF BIO ORANGE ROSE 350ml 12X_182</v>
          </cell>
          <cell r="D245">
            <v>26</v>
          </cell>
          <cell r="E245">
            <v>7</v>
          </cell>
          <cell r="F245">
            <v>182</v>
          </cell>
          <cell r="G245">
            <v>350</v>
          </cell>
          <cell r="H245">
            <v>12</v>
          </cell>
          <cell r="I245">
            <v>0.73969707643536453</v>
          </cell>
          <cell r="J245">
            <v>180</v>
          </cell>
          <cell r="K245" t="str">
            <v>PET BIO 350</v>
          </cell>
          <cell r="L245" t="str">
            <v>350 ml</v>
          </cell>
          <cell r="M245" t="str">
            <v>NCB PET</v>
          </cell>
          <cell r="N245" t="str">
            <v>AQF BIO</v>
          </cell>
          <cell r="V245" t="str">
            <v>01.09.2025</v>
          </cell>
          <cell r="W245">
            <v>45901</v>
          </cell>
        </row>
        <row r="246">
          <cell r="A246" t="str">
            <v>PEPSI MAX RASPBERRY 300ML PET12X 10B_217</v>
          </cell>
          <cell r="B246">
            <v>320022405</v>
          </cell>
          <cell r="C246" t="str">
            <v>PEPSI MAX RASPBERRY 300ML PET12X 10B_217</v>
          </cell>
          <cell r="D246">
            <v>31</v>
          </cell>
          <cell r="E246">
            <v>7</v>
          </cell>
          <cell r="F246">
            <v>217</v>
          </cell>
          <cell r="G246">
            <v>300</v>
          </cell>
          <cell r="H246">
            <v>12</v>
          </cell>
          <cell r="I246">
            <v>0.6340260655160268</v>
          </cell>
          <cell r="J246">
            <v>120</v>
          </cell>
          <cell r="K246" t="str">
            <v>CSD PET 300 P12</v>
          </cell>
          <cell r="L246" t="str">
            <v>300 ml</v>
          </cell>
          <cell r="M246" t="str">
            <v>CSD PET</v>
          </cell>
          <cell r="N246" t="str">
            <v>Pepsi Max</v>
          </cell>
          <cell r="V246" t="str">
            <v>02.09.2025</v>
          </cell>
          <cell r="W246">
            <v>45902</v>
          </cell>
        </row>
        <row r="247">
          <cell r="A247" t="str">
            <v>PEPSI COLA 300ML PET 24X EAT_105</v>
          </cell>
          <cell r="B247">
            <v>320022406</v>
          </cell>
          <cell r="C247" t="str">
            <v>PEPSI COLA 300ML PET 24X EAT_105</v>
          </cell>
          <cell r="D247">
            <v>15</v>
          </cell>
          <cell r="E247">
            <v>7</v>
          </cell>
          <cell r="F247">
            <v>105</v>
          </cell>
          <cell r="G247">
            <v>300</v>
          </cell>
          <cell r="H247">
            <v>24</v>
          </cell>
          <cell r="I247">
            <v>1.2680521310320536</v>
          </cell>
          <cell r="J247">
            <v>120</v>
          </cell>
          <cell r="K247" t="str">
            <v>PET 300 EMN P24</v>
          </cell>
          <cell r="L247" t="str">
            <v>300 ml</v>
          </cell>
          <cell r="M247" t="str">
            <v>CSD PET</v>
          </cell>
          <cell r="N247" t="str">
            <v>Pepsi Cola</v>
          </cell>
          <cell r="V247" t="str">
            <v>03.09.2025</v>
          </cell>
          <cell r="W247">
            <v>45903</v>
          </cell>
        </row>
        <row r="248">
          <cell r="A248" t="str">
            <v>PEPSI MAX RASPBERRY 345ML PET 12X_192</v>
          </cell>
          <cell r="B248">
            <v>320022407</v>
          </cell>
          <cell r="C248" t="str">
            <v>PEPSI MAX RASPBERRY 345ML PET 12X_192</v>
          </cell>
          <cell r="D248">
            <v>32</v>
          </cell>
          <cell r="E248">
            <v>6</v>
          </cell>
          <cell r="F248">
            <v>192</v>
          </cell>
          <cell r="G248">
            <v>345</v>
          </cell>
          <cell r="H248">
            <v>12</v>
          </cell>
          <cell r="I248">
            <v>0.72912997534343083</v>
          </cell>
          <cell r="J248">
            <v>120</v>
          </cell>
          <cell r="K248" t="str">
            <v>PET 350 P12</v>
          </cell>
          <cell r="L248" t="str">
            <v>345 ml</v>
          </cell>
          <cell r="M248" t="str">
            <v>CSD PET</v>
          </cell>
          <cell r="N248" t="str">
            <v>Pepsi Max</v>
          </cell>
          <cell r="V248" t="str">
            <v>04.09.2025</v>
          </cell>
          <cell r="W248">
            <v>45904</v>
          </cell>
        </row>
        <row r="249">
          <cell r="A249" t="str">
            <v>MRD MIX IT ORG TROPICL 300ML PET 12X_174</v>
          </cell>
          <cell r="B249">
            <v>320022410</v>
          </cell>
          <cell r="C249" t="str">
            <v>MRD MIX IT ORG TROPICL 300ML PET 12X_174</v>
          </cell>
          <cell r="D249">
            <v>29</v>
          </cell>
          <cell r="E249">
            <v>6</v>
          </cell>
          <cell r="F249">
            <v>174</v>
          </cell>
          <cell r="G249">
            <v>300</v>
          </cell>
          <cell r="H249">
            <v>12</v>
          </cell>
          <cell r="I249">
            <v>0.6340260655160268</v>
          </cell>
          <cell r="J249">
            <v>120</v>
          </cell>
          <cell r="K249" t="str">
            <v>PET MIXIT 300</v>
          </cell>
          <cell r="L249" t="str">
            <v>300 ml</v>
          </cell>
          <cell r="M249" t="str">
            <v>CSD PET</v>
          </cell>
          <cell r="N249" t="str">
            <v>Mixit</v>
          </cell>
          <cell r="V249" t="str">
            <v>05.09.2025</v>
          </cell>
          <cell r="W249">
            <v>45905</v>
          </cell>
        </row>
        <row r="250">
          <cell r="A250" t="str">
            <v>MRD MIX IT ORG TROPICL 400ML PET 24X_72</v>
          </cell>
          <cell r="B250">
            <v>320022411</v>
          </cell>
          <cell r="C250" t="str">
            <v>MRD MIX IT ORG TROPICL 400ML PET 24X_72</v>
          </cell>
          <cell r="D250">
            <v>12</v>
          </cell>
          <cell r="E250">
            <v>6</v>
          </cell>
          <cell r="F250">
            <v>72</v>
          </cell>
          <cell r="G250">
            <v>400</v>
          </cell>
          <cell r="H250">
            <v>24</v>
          </cell>
          <cell r="I250">
            <v>1.6907361747094047</v>
          </cell>
          <cell r="J250">
            <v>180</v>
          </cell>
          <cell r="K250" t="str">
            <v>PET MIXIT 400</v>
          </cell>
          <cell r="L250" t="str">
            <v>400 ml</v>
          </cell>
          <cell r="M250" t="str">
            <v>CSD PET</v>
          </cell>
          <cell r="N250" t="str">
            <v>Mixit</v>
          </cell>
          <cell r="V250" t="str">
            <v>06.09.2025</v>
          </cell>
          <cell r="W250">
            <v>45906</v>
          </cell>
        </row>
        <row r="251">
          <cell r="A251" t="str">
            <v>MRD MIX IT LYCHEESTRW 345ML PET 12X_192</v>
          </cell>
          <cell r="B251">
            <v>320022412</v>
          </cell>
          <cell r="C251" t="str">
            <v>MRD MIX IT LYCHEESTRW 345ML PET 12X_192</v>
          </cell>
          <cell r="D251">
            <v>32</v>
          </cell>
          <cell r="E251">
            <v>6</v>
          </cell>
          <cell r="F251">
            <v>192</v>
          </cell>
          <cell r="G251">
            <v>345</v>
          </cell>
          <cell r="H251">
            <v>12</v>
          </cell>
          <cell r="I251">
            <v>0.72912997534343083</v>
          </cell>
          <cell r="J251">
            <v>120</v>
          </cell>
          <cell r="K251" t="str">
            <v>PET MIXIT 350</v>
          </cell>
          <cell r="L251" t="str">
            <v>345 ml</v>
          </cell>
          <cell r="M251" t="str">
            <v>CSD PET</v>
          </cell>
          <cell r="N251" t="str">
            <v>Mixit</v>
          </cell>
          <cell r="V251" t="str">
            <v>07.09.2025</v>
          </cell>
          <cell r="W251">
            <v>45907</v>
          </cell>
        </row>
        <row r="252">
          <cell r="A252" t="str">
            <v>MRD MIX IT GRAPE MELON 345ML PET 12X_192</v>
          </cell>
          <cell r="B252">
            <v>320022413</v>
          </cell>
          <cell r="C252" t="str">
            <v>MRD MIX IT GRAPE MELON 345ML PET 12X_192</v>
          </cell>
          <cell r="D252">
            <v>32</v>
          </cell>
          <cell r="E252">
            <v>6</v>
          </cell>
          <cell r="F252">
            <v>192</v>
          </cell>
          <cell r="G252">
            <v>345</v>
          </cell>
          <cell r="H252">
            <v>12</v>
          </cell>
          <cell r="I252">
            <v>0.72912997534343083</v>
          </cell>
          <cell r="J252">
            <v>120</v>
          </cell>
          <cell r="K252" t="str">
            <v>PET MIXIT 350</v>
          </cell>
          <cell r="L252" t="str">
            <v>345 ml</v>
          </cell>
          <cell r="M252" t="str">
            <v>CSD PET</v>
          </cell>
          <cell r="N252" t="str">
            <v>Mixit</v>
          </cell>
          <cell r="V252" t="str">
            <v>08.09.2025</v>
          </cell>
          <cell r="W252">
            <v>45908</v>
          </cell>
        </row>
        <row r="253">
          <cell r="A253" t="str">
            <v>MRD MIX IT BLUEBERYUZU 345ML PET 12X_192</v>
          </cell>
          <cell r="B253">
            <v>320022414</v>
          </cell>
          <cell r="C253" t="str">
            <v>MRD MIX IT BLUEBERYUZU 345ML PET 12X_192</v>
          </cell>
          <cell r="D253">
            <v>32</v>
          </cell>
          <cell r="E253">
            <v>6</v>
          </cell>
          <cell r="F253">
            <v>192</v>
          </cell>
          <cell r="G253">
            <v>345</v>
          </cell>
          <cell r="H253">
            <v>12</v>
          </cell>
          <cell r="I253">
            <v>0.72912997534343083</v>
          </cell>
          <cell r="J253">
            <v>120</v>
          </cell>
          <cell r="K253" t="str">
            <v>PET MIXIT 350</v>
          </cell>
          <cell r="L253" t="str">
            <v>345 ml</v>
          </cell>
          <cell r="M253" t="str">
            <v>CSD PET</v>
          </cell>
          <cell r="N253" t="str">
            <v>Mixit</v>
          </cell>
          <cell r="V253" t="str">
            <v>09.09.2025</v>
          </cell>
          <cell r="W253">
            <v>45909</v>
          </cell>
        </row>
        <row r="254">
          <cell r="A254" t="str">
            <v>MRD MIX IT PINEAP PASS 345ML PET 12X_192</v>
          </cell>
          <cell r="B254">
            <v>320022415</v>
          </cell>
          <cell r="C254" t="str">
            <v>MRD MIX IT PINEAP PASS 345ML PET 12X_192</v>
          </cell>
          <cell r="D254">
            <v>32</v>
          </cell>
          <cell r="E254">
            <v>6</v>
          </cell>
          <cell r="F254">
            <v>192</v>
          </cell>
          <cell r="G254">
            <v>345</v>
          </cell>
          <cell r="H254">
            <v>12</v>
          </cell>
          <cell r="I254">
            <v>0.72912997534343083</v>
          </cell>
          <cell r="J254">
            <v>120</v>
          </cell>
          <cell r="K254" t="str">
            <v>PET MIXIT 350</v>
          </cell>
          <cell r="L254" t="str">
            <v>345 ml</v>
          </cell>
          <cell r="M254" t="str">
            <v>CSD PET</v>
          </cell>
          <cell r="N254" t="str">
            <v>Mixit</v>
          </cell>
          <cell r="V254" t="str">
            <v>10.09.2025</v>
          </cell>
          <cell r="W254">
            <v>45910</v>
          </cell>
        </row>
        <row r="255">
          <cell r="A255" t="str">
            <v>MRD MIX IT LYCHEESTRW 345ML PET 24X_102</v>
          </cell>
          <cell r="B255">
            <v>320022416</v>
          </cell>
          <cell r="C255" t="str">
            <v>MRD MIX IT LYCHEESTRW 345ML PET 24X_102</v>
          </cell>
          <cell r="D255">
            <v>17</v>
          </cell>
          <cell r="E255">
            <v>6</v>
          </cell>
          <cell r="F255">
            <v>102</v>
          </cell>
          <cell r="G255">
            <v>345</v>
          </cell>
          <cell r="H255">
            <v>24</v>
          </cell>
          <cell r="I255">
            <v>1.4582599506868617</v>
          </cell>
          <cell r="J255">
            <v>120</v>
          </cell>
          <cell r="K255" t="str">
            <v>PET MIXIT 350</v>
          </cell>
          <cell r="L255" t="str">
            <v>345 ml</v>
          </cell>
          <cell r="M255" t="str">
            <v>CSD PET</v>
          </cell>
          <cell r="N255" t="str">
            <v>Mixit</v>
          </cell>
          <cell r="V255" t="str">
            <v>11.09.2025</v>
          </cell>
          <cell r="W255">
            <v>45911</v>
          </cell>
        </row>
        <row r="256">
          <cell r="A256" t="str">
            <v>MRD MIX IT GRAPE MELON 345ML PET 24X_102</v>
          </cell>
          <cell r="B256">
            <v>320022417</v>
          </cell>
          <cell r="C256" t="str">
            <v>MRD MIX IT GRAPE MELON 345ML PET 24X_102</v>
          </cell>
          <cell r="D256">
            <v>17</v>
          </cell>
          <cell r="E256">
            <v>6</v>
          </cell>
          <cell r="F256">
            <v>102</v>
          </cell>
          <cell r="G256">
            <v>345</v>
          </cell>
          <cell r="H256">
            <v>24</v>
          </cell>
          <cell r="I256">
            <v>1.4582599506868617</v>
          </cell>
          <cell r="J256">
            <v>120</v>
          </cell>
          <cell r="K256" t="str">
            <v>PET MIXIT 350</v>
          </cell>
          <cell r="L256" t="str">
            <v>345 ml</v>
          </cell>
          <cell r="M256" t="str">
            <v>CSD PET</v>
          </cell>
          <cell r="N256" t="str">
            <v>Mixit</v>
          </cell>
          <cell r="V256" t="str">
            <v>12.09.2025</v>
          </cell>
          <cell r="W256">
            <v>45912</v>
          </cell>
        </row>
        <row r="257">
          <cell r="A257" t="str">
            <v>MRD MIX IT BLUEBERYUZU 345ML PET 24X_102</v>
          </cell>
          <cell r="B257">
            <v>320022418</v>
          </cell>
          <cell r="C257" t="str">
            <v>MRD MIX IT BLUEBERYUZU 345ML PET 24X_102</v>
          </cell>
          <cell r="D257">
            <v>17</v>
          </cell>
          <cell r="E257">
            <v>6</v>
          </cell>
          <cell r="F257">
            <v>102</v>
          </cell>
          <cell r="G257">
            <v>345</v>
          </cell>
          <cell r="H257">
            <v>24</v>
          </cell>
          <cell r="I257">
            <v>1.4582599506868617</v>
          </cell>
          <cell r="J257">
            <v>120</v>
          </cell>
          <cell r="K257" t="str">
            <v>PET MIXIT 350</v>
          </cell>
          <cell r="L257" t="str">
            <v>345 ml</v>
          </cell>
          <cell r="M257" t="str">
            <v>CSD PET</v>
          </cell>
          <cell r="N257" t="str">
            <v>Mixit</v>
          </cell>
          <cell r="V257" t="str">
            <v>13.09.2025</v>
          </cell>
          <cell r="W257">
            <v>45913</v>
          </cell>
        </row>
        <row r="258">
          <cell r="A258" t="str">
            <v>MRD MIX IT PINEAP PASS 345ML PET 24X_102</v>
          </cell>
          <cell r="B258">
            <v>320022419</v>
          </cell>
          <cell r="C258" t="str">
            <v>MRD MIX IT PINEAP PASS 345ML PET 24X_102</v>
          </cell>
          <cell r="D258">
            <v>17</v>
          </cell>
          <cell r="E258">
            <v>6</v>
          </cell>
          <cell r="F258">
            <v>102</v>
          </cell>
          <cell r="G258">
            <v>345</v>
          </cell>
          <cell r="H258">
            <v>24</v>
          </cell>
          <cell r="I258">
            <v>1.4582599506868617</v>
          </cell>
          <cell r="J258">
            <v>120</v>
          </cell>
          <cell r="K258" t="str">
            <v>PET MIXIT 350</v>
          </cell>
          <cell r="L258" t="str">
            <v>345 ml</v>
          </cell>
          <cell r="M258" t="str">
            <v>CSD PET</v>
          </cell>
          <cell r="N258" t="str">
            <v>Mixit</v>
          </cell>
          <cell r="V258" t="str">
            <v>14.09.2025</v>
          </cell>
          <cell r="W258">
            <v>45914</v>
          </cell>
        </row>
        <row r="259">
          <cell r="A259" t="str">
            <v>7UP 345ML PET 24X _102</v>
          </cell>
          <cell r="B259">
            <v>320022420</v>
          </cell>
          <cell r="C259" t="str">
            <v>7UP 345ML PET 24X _102</v>
          </cell>
          <cell r="D259">
            <v>17</v>
          </cell>
          <cell r="E259">
            <v>6</v>
          </cell>
          <cell r="F259">
            <v>102</v>
          </cell>
          <cell r="G259">
            <v>345</v>
          </cell>
          <cell r="H259">
            <v>24</v>
          </cell>
          <cell r="I259">
            <v>1.4582599506868617</v>
          </cell>
          <cell r="J259">
            <v>120</v>
          </cell>
          <cell r="K259" t="str">
            <v>PET 350 P24</v>
          </cell>
          <cell r="L259" t="str">
            <v>345 ml</v>
          </cell>
          <cell r="M259" t="str">
            <v>CSD PET</v>
          </cell>
          <cell r="N259" t="str">
            <v>7-Up</v>
          </cell>
          <cell r="V259" t="str">
            <v>15.09.2025</v>
          </cell>
          <cell r="W259">
            <v>45915</v>
          </cell>
        </row>
        <row r="260">
          <cell r="A260" t="str">
            <v>MIRINDA ORANGE 345ML PET 24X_102</v>
          </cell>
          <cell r="B260">
            <v>320022421</v>
          </cell>
          <cell r="C260" t="str">
            <v>MIRINDA ORANGE 345ML PET 24X_102</v>
          </cell>
          <cell r="D260">
            <v>17</v>
          </cell>
          <cell r="E260">
            <v>6</v>
          </cell>
          <cell r="F260">
            <v>102</v>
          </cell>
          <cell r="G260">
            <v>345</v>
          </cell>
          <cell r="H260">
            <v>24</v>
          </cell>
          <cell r="I260">
            <v>1.4582599506868617</v>
          </cell>
          <cell r="J260">
            <v>120</v>
          </cell>
          <cell r="K260" t="str">
            <v>PET 350 P24</v>
          </cell>
          <cell r="L260" t="str">
            <v>345 ml</v>
          </cell>
          <cell r="M260" t="str">
            <v>CSD PET</v>
          </cell>
          <cell r="N260" t="str">
            <v>MRD Orange</v>
          </cell>
          <cell r="V260" t="str">
            <v>16.09.2025</v>
          </cell>
          <cell r="W260">
            <v>45916</v>
          </cell>
        </row>
        <row r="261">
          <cell r="A261" t="str">
            <v>MIRINDA STRWB 345ML PET 24X_102</v>
          </cell>
          <cell r="B261">
            <v>320022422</v>
          </cell>
          <cell r="C261" t="str">
            <v>MIRINDA STRWB 345ML PET 24X_102</v>
          </cell>
          <cell r="D261">
            <v>17</v>
          </cell>
          <cell r="E261">
            <v>6</v>
          </cell>
          <cell r="F261">
            <v>102</v>
          </cell>
          <cell r="G261">
            <v>345</v>
          </cell>
          <cell r="H261">
            <v>24</v>
          </cell>
          <cell r="I261">
            <v>1.4582599506868617</v>
          </cell>
          <cell r="J261">
            <v>120</v>
          </cell>
          <cell r="K261" t="str">
            <v>PET 350 P24</v>
          </cell>
          <cell r="L261" t="str">
            <v>345 ml</v>
          </cell>
          <cell r="M261" t="str">
            <v>CSD PET</v>
          </cell>
          <cell r="N261" t="str">
            <v>MRD Strawberry</v>
          </cell>
          <cell r="V261" t="str">
            <v>17.09.2025</v>
          </cell>
          <cell r="W261">
            <v>45917</v>
          </cell>
        </row>
        <row r="262">
          <cell r="A262" t="str">
            <v>PEPSI COLA LIME 1.5L PET 12X_48</v>
          </cell>
          <cell r="B262">
            <v>320022429</v>
          </cell>
          <cell r="C262" t="str">
            <v>PEPSI COLA LIME 1.5L PET 12X_48</v>
          </cell>
          <cell r="D262">
            <v>12</v>
          </cell>
          <cell r="E262">
            <v>4</v>
          </cell>
          <cell r="F262">
            <v>48</v>
          </cell>
          <cell r="G262">
            <v>1500</v>
          </cell>
          <cell r="H262">
            <v>12</v>
          </cell>
          <cell r="I262">
            <v>3.170130327580134</v>
          </cell>
          <cell r="J262">
            <v>180</v>
          </cell>
          <cell r="K262" t="str">
            <v>PET 1500</v>
          </cell>
          <cell r="L262" t="str">
            <v>1500ml</v>
          </cell>
          <cell r="M262" t="str">
            <v>CSD PET</v>
          </cell>
          <cell r="N262" t="str">
            <v>PEPSI LIME</v>
          </cell>
          <cell r="V262" t="str">
            <v>18.09.2025</v>
          </cell>
          <cell r="W262">
            <v>45918</v>
          </cell>
        </row>
        <row r="263">
          <cell r="A263" t="str">
            <v>PEPSI MAX RASPBERRY 1.45L PET 12X_48</v>
          </cell>
          <cell r="B263">
            <v>320022433</v>
          </cell>
          <cell r="C263" t="str">
            <v>PEPSI MAX RASPBERRY 1.45L PET 12X_48</v>
          </cell>
          <cell r="D263">
            <v>12</v>
          </cell>
          <cell r="E263">
            <v>4</v>
          </cell>
          <cell r="F263">
            <v>48</v>
          </cell>
          <cell r="G263">
            <v>1450</v>
          </cell>
          <cell r="H263">
            <v>12</v>
          </cell>
          <cell r="I263">
            <v>3.0644593166607961</v>
          </cell>
          <cell r="J263">
            <v>120</v>
          </cell>
          <cell r="K263" t="str">
            <v>PET 1500</v>
          </cell>
          <cell r="L263" t="str">
            <v>1450 ml</v>
          </cell>
          <cell r="M263" t="str">
            <v>CSD PET</v>
          </cell>
          <cell r="N263" t="str">
            <v>Pepsi Max</v>
          </cell>
          <cell r="V263" t="str">
            <v>19.09.2025</v>
          </cell>
          <cell r="W263">
            <v>45919</v>
          </cell>
        </row>
        <row r="264">
          <cell r="A264" t="str">
            <v>PEPSI MAX 1.5L PET 12X_48</v>
          </cell>
          <cell r="B264">
            <v>320022436</v>
          </cell>
          <cell r="C264" t="str">
            <v>PEPSI MAX 1.5L PET 12X_48</v>
          </cell>
          <cell r="D264">
            <v>12</v>
          </cell>
          <cell r="E264">
            <v>4</v>
          </cell>
          <cell r="F264">
            <v>48</v>
          </cell>
          <cell r="G264">
            <v>1500</v>
          </cell>
          <cell r="H264">
            <v>12</v>
          </cell>
          <cell r="I264">
            <v>3.170130327580134</v>
          </cell>
          <cell r="J264">
            <v>120</v>
          </cell>
          <cell r="K264" t="str">
            <v>PET 1500</v>
          </cell>
          <cell r="L264" t="str">
            <v>1500ml</v>
          </cell>
          <cell r="M264" t="str">
            <v>CSD PET</v>
          </cell>
          <cell r="N264" t="str">
            <v>Pepsi Max</v>
          </cell>
          <cell r="V264" t="str">
            <v>20.09.2025</v>
          </cell>
          <cell r="W264">
            <v>45920</v>
          </cell>
        </row>
        <row r="265">
          <cell r="A265" t="str">
            <v>PEPSI COLA 1.26L PET 12X_48 NE</v>
          </cell>
          <cell r="B265">
            <v>320022438</v>
          </cell>
          <cell r="C265" t="str">
            <v>PEPSI COLA 1.26L PET 12X_48 NE</v>
          </cell>
          <cell r="D265">
            <v>12</v>
          </cell>
          <cell r="E265">
            <v>4</v>
          </cell>
          <cell r="F265">
            <v>48</v>
          </cell>
          <cell r="G265">
            <v>1260</v>
          </cell>
          <cell r="H265">
            <v>12</v>
          </cell>
          <cell r="I265">
            <v>2.6629094751673126</v>
          </cell>
          <cell r="J265">
            <v>180</v>
          </cell>
          <cell r="K265" t="str">
            <v>PET 1250</v>
          </cell>
          <cell r="L265" t="str">
            <v>1260 ml</v>
          </cell>
          <cell r="M265" t="str">
            <v>CSD PET</v>
          </cell>
          <cell r="N265" t="str">
            <v>Pepsi Cola</v>
          </cell>
          <cell r="V265" t="str">
            <v>21.09.2025</v>
          </cell>
          <cell r="W265">
            <v>45921</v>
          </cell>
        </row>
        <row r="266">
          <cell r="A266" t="str">
            <v>PEPSI COLA 1.5L PET 12X_48 NE</v>
          </cell>
          <cell r="B266">
            <v>320022439</v>
          </cell>
          <cell r="C266" t="str">
            <v>PEPSI COLA 1.5L PET 12X_48 NE</v>
          </cell>
          <cell r="D266">
            <v>12</v>
          </cell>
          <cell r="E266">
            <v>4</v>
          </cell>
          <cell r="F266">
            <v>48</v>
          </cell>
          <cell r="G266">
            <v>1500</v>
          </cell>
          <cell r="H266">
            <v>12</v>
          </cell>
          <cell r="I266">
            <v>3.170130327580134</v>
          </cell>
          <cell r="J266">
            <v>180</v>
          </cell>
          <cell r="K266" t="str">
            <v>PET 1500</v>
          </cell>
          <cell r="L266" t="str">
            <v>1500ml</v>
          </cell>
          <cell r="M266" t="str">
            <v>CSD PET</v>
          </cell>
          <cell r="N266" t="str">
            <v>Pepsi Cola</v>
          </cell>
          <cell r="V266" t="str">
            <v>22.09.2025</v>
          </cell>
          <cell r="W266">
            <v>45922</v>
          </cell>
        </row>
        <row r="267">
          <cell r="A267" t="str">
            <v>PEPSI MAX 300ML PET 12X _217</v>
          </cell>
          <cell r="B267">
            <v>320022440</v>
          </cell>
          <cell r="C267" t="str">
            <v>PEPSI MAX 300ML PET 12X _217</v>
          </cell>
          <cell r="D267">
            <v>31</v>
          </cell>
          <cell r="E267">
            <v>7</v>
          </cell>
          <cell r="F267">
            <v>217</v>
          </cell>
          <cell r="G267">
            <v>300</v>
          </cell>
          <cell r="H267">
            <v>12</v>
          </cell>
          <cell r="I267">
            <v>0.6340260655160268</v>
          </cell>
          <cell r="J267">
            <v>120</v>
          </cell>
          <cell r="K267" t="str">
            <v>CSD PET 300 P12</v>
          </cell>
          <cell r="L267" t="str">
            <v>300 ml</v>
          </cell>
          <cell r="M267" t="str">
            <v>CSD PET</v>
          </cell>
          <cell r="N267" t="str">
            <v>Pepsi Max</v>
          </cell>
          <cell r="V267" t="str">
            <v>23.09.2025</v>
          </cell>
          <cell r="W267">
            <v>45923</v>
          </cell>
        </row>
        <row r="268">
          <cell r="A268" t="str">
            <v>PEPSI MAX 300ML PET 12X 10B_217</v>
          </cell>
          <cell r="B268">
            <v>320022473</v>
          </cell>
          <cell r="C268" t="str">
            <v>PEPSI MAX 300ML PET 12X 10B_217</v>
          </cell>
          <cell r="D268">
            <v>31</v>
          </cell>
          <cell r="E268">
            <v>7</v>
          </cell>
          <cell r="F268">
            <v>217</v>
          </cell>
          <cell r="G268">
            <v>300</v>
          </cell>
          <cell r="H268">
            <v>12</v>
          </cell>
          <cell r="I268">
            <v>0.6340260655160268</v>
          </cell>
          <cell r="J268">
            <v>120</v>
          </cell>
          <cell r="K268" t="str">
            <v>CSD PET 300 P12</v>
          </cell>
          <cell r="L268" t="str">
            <v>300 ml</v>
          </cell>
          <cell r="M268" t="str">
            <v>CSD PET</v>
          </cell>
          <cell r="N268" t="str">
            <v>Pepsi Max</v>
          </cell>
          <cell r="V268" t="str">
            <v>24.09.2025</v>
          </cell>
          <cell r="W268">
            <v>45924</v>
          </cell>
        </row>
        <row r="269">
          <cell r="A269" t="str">
            <v>MIRINDA STRWB 325ML CAN 4X NEW MP_104</v>
          </cell>
          <cell r="B269">
            <v>320022507</v>
          </cell>
          <cell r="C269" t="str">
            <v>MIRINDA STRWB 325ML CAN 4X NEW MP_104</v>
          </cell>
          <cell r="D269">
            <v>13</v>
          </cell>
          <cell r="E269">
            <v>8</v>
          </cell>
          <cell r="F269">
            <v>104</v>
          </cell>
          <cell r="G269">
            <v>325</v>
          </cell>
          <cell r="H269">
            <v>24</v>
          </cell>
          <cell r="I269">
            <v>1.3737231419513913</v>
          </cell>
          <cell r="J269">
            <v>270</v>
          </cell>
          <cell r="K269" t="str">
            <v>CAN 330</v>
          </cell>
          <cell r="L269" t="str">
            <v>325 ml</v>
          </cell>
          <cell r="M269" t="str">
            <v>CSD CAN</v>
          </cell>
          <cell r="N269" t="str">
            <v>MRD Strawberry</v>
          </cell>
          <cell r="V269" t="str">
            <v>25.09.2025</v>
          </cell>
          <cell r="W269">
            <v>45925</v>
          </cell>
        </row>
        <row r="270">
          <cell r="A270" t="str">
            <v>LIPTON STRAW MELON 350ML PET 12X_182</v>
          </cell>
          <cell r="B270">
            <v>320022472</v>
          </cell>
          <cell r="C270" t="str">
            <v>LIPTON STRAW MELON 350ML PET 12X_182</v>
          </cell>
          <cell r="D270">
            <v>26</v>
          </cell>
          <cell r="E270">
            <v>7</v>
          </cell>
          <cell r="F270">
            <v>182</v>
          </cell>
          <cell r="G270">
            <v>350</v>
          </cell>
          <cell r="H270">
            <v>12</v>
          </cell>
          <cell r="I270">
            <v>0.73969707643536453</v>
          </cell>
          <cell r="J270">
            <v>270</v>
          </cell>
          <cell r="K270" t="str">
            <v>PET NCB 350</v>
          </cell>
          <cell r="L270" t="str">
            <v>350ml</v>
          </cell>
          <cell r="M270" t="str">
            <v>NCB PET</v>
          </cell>
          <cell r="N270" t="str">
            <v>Lipton</v>
          </cell>
          <cell r="V270" t="str">
            <v>26.09.2025</v>
          </cell>
          <cell r="W270">
            <v>45926</v>
          </cell>
        </row>
        <row r="271">
          <cell r="A271" t="str">
            <v>LIPTON SAKURA 350ML PET 12X_182</v>
          </cell>
          <cell r="B271">
            <v>320022470</v>
          </cell>
          <cell r="C271" t="str">
            <v>LIPTON SAKURA 350ML PET 12X_182</v>
          </cell>
          <cell r="D271">
            <v>26</v>
          </cell>
          <cell r="E271">
            <v>7</v>
          </cell>
          <cell r="F271">
            <v>182</v>
          </cell>
          <cell r="G271">
            <v>350</v>
          </cell>
          <cell r="H271">
            <v>12</v>
          </cell>
          <cell r="I271">
            <v>0.73969707643536453</v>
          </cell>
          <cell r="J271">
            <v>210</v>
          </cell>
          <cell r="K271" t="str">
            <v>PET NCB 350</v>
          </cell>
          <cell r="L271" t="str">
            <v>350ml</v>
          </cell>
          <cell r="M271" t="str">
            <v>NCB PET</v>
          </cell>
          <cell r="N271" t="str">
            <v>Lipton</v>
          </cell>
          <cell r="V271" t="str">
            <v>27.09.2025</v>
          </cell>
          <cell r="W271">
            <v>45927</v>
          </cell>
        </row>
        <row r="272">
          <cell r="A272" t="str">
            <v>LIPTON SAKURA 445ML PET 24X_NF60</v>
          </cell>
          <cell r="B272">
            <v>320022469</v>
          </cell>
          <cell r="C272" t="str">
            <v>LIPTON SAKURA 445ML PET 24X_NF60</v>
          </cell>
          <cell r="D272">
            <v>10</v>
          </cell>
          <cell r="E272">
            <v>6</v>
          </cell>
          <cell r="F272">
            <v>60</v>
          </cell>
          <cell r="G272">
            <v>445</v>
          </cell>
          <cell r="H272">
            <v>24</v>
          </cell>
          <cell r="I272">
            <v>1.8809439943642128</v>
          </cell>
          <cell r="J272">
            <v>210</v>
          </cell>
          <cell r="K272" t="str">
            <v>PET NCB 445</v>
          </cell>
          <cell r="L272" t="str">
            <v>445 ml</v>
          </cell>
          <cell r="M272" t="str">
            <v>NCB PET</v>
          </cell>
          <cell r="N272" t="str">
            <v>Lipton</v>
          </cell>
          <cell r="V272" t="str">
            <v>28.09.2025</v>
          </cell>
          <cell r="W272">
            <v>45928</v>
          </cell>
        </row>
        <row r="273">
          <cell r="A273" t="str">
            <v>PEPSI COLA 430ML PET 24X _75</v>
          </cell>
          <cell r="B273">
            <v>320022455</v>
          </cell>
          <cell r="C273" t="str">
            <v>PEPSI COLA 430ML PET 24X _75</v>
          </cell>
          <cell r="D273">
            <v>15</v>
          </cell>
          <cell r="E273">
            <v>5</v>
          </cell>
          <cell r="F273">
            <v>75</v>
          </cell>
          <cell r="G273">
            <v>430</v>
          </cell>
          <cell r="H273">
            <v>24</v>
          </cell>
          <cell r="I273">
            <v>1.8175413878126101</v>
          </cell>
          <cell r="J273">
            <v>180</v>
          </cell>
          <cell r="K273" t="str">
            <v>PET 430</v>
          </cell>
          <cell r="L273" t="str">
            <v>430 ml</v>
          </cell>
          <cell r="M273" t="str">
            <v>CSD PET</v>
          </cell>
          <cell r="N273" t="str">
            <v>Pepsi Cola</v>
          </cell>
          <cell r="V273" t="str">
            <v>29.09.2025</v>
          </cell>
          <cell r="W273">
            <v>45929</v>
          </cell>
        </row>
        <row r="274">
          <cell r="A274" t="str">
            <v>MRD MIX IT ORG TROP 400ML PET 24X_72 BNK</v>
          </cell>
          <cell r="B274">
            <v>320022480</v>
          </cell>
          <cell r="C274" t="str">
            <v>MRD MIX IT ORG TROP 400ML PET 24X_72 BNK</v>
          </cell>
          <cell r="D274">
            <v>12</v>
          </cell>
          <cell r="E274">
            <v>6</v>
          </cell>
          <cell r="F274">
            <v>72</v>
          </cell>
          <cell r="G274">
            <v>400</v>
          </cell>
          <cell r="H274">
            <v>24</v>
          </cell>
          <cell r="I274">
            <v>1.6907361747094047</v>
          </cell>
          <cell r="J274">
            <v>180</v>
          </cell>
          <cell r="K274" t="str">
            <v>PET MIXIT 400</v>
          </cell>
          <cell r="L274" t="str">
            <v>400 ml</v>
          </cell>
          <cell r="M274" t="str">
            <v>CSD PET</v>
          </cell>
          <cell r="N274" t="str">
            <v>Mixit</v>
          </cell>
          <cell r="V274" t="str">
            <v>30.09.2025</v>
          </cell>
          <cell r="W274">
            <v>45930</v>
          </cell>
        </row>
        <row r="275">
          <cell r="A275" t="str">
            <v>PEPSI 325ML CAN 4X  CNY SET</v>
          </cell>
          <cell r="B275">
            <v>320022491</v>
          </cell>
          <cell r="C275" t="str">
            <v>PEPSI 325ML CAN 4X  CNY SET</v>
          </cell>
          <cell r="D275">
            <v>22</v>
          </cell>
          <cell r="E275">
            <v>6</v>
          </cell>
          <cell r="F275">
            <v>132</v>
          </cell>
          <cell r="G275">
            <v>325</v>
          </cell>
          <cell r="H275">
            <v>36</v>
          </cell>
          <cell r="I275">
            <v>2.0605847129270871</v>
          </cell>
          <cell r="J275">
            <v>270</v>
          </cell>
          <cell r="K275" t="str">
            <v>CAN 330</v>
          </cell>
          <cell r="L275" t="str">
            <v>325 ml</v>
          </cell>
          <cell r="M275" t="str">
            <v>CSD CAN</v>
          </cell>
          <cell r="N275" t="str">
            <v>Pepsi Cola</v>
          </cell>
          <cell r="V275" t="str">
            <v>01.10.2025</v>
          </cell>
          <cell r="W275">
            <v>45931</v>
          </cell>
        </row>
        <row r="276">
          <cell r="A276" t="str">
            <v>MIRINDA GREEN CREAM 325ML CAN 4X MP_104</v>
          </cell>
          <cell r="B276">
            <v>320022378</v>
          </cell>
          <cell r="C276" t="str">
            <v>MIRINDA GREEN CREAM 325ML CAN 4X MP_104</v>
          </cell>
          <cell r="D276">
            <v>13</v>
          </cell>
          <cell r="E276">
            <v>8</v>
          </cell>
          <cell r="F276">
            <v>104</v>
          </cell>
          <cell r="G276">
            <v>325</v>
          </cell>
          <cell r="H276">
            <v>24</v>
          </cell>
          <cell r="I276">
            <v>1.3737231419513913</v>
          </cell>
          <cell r="J276">
            <v>270</v>
          </cell>
          <cell r="K276" t="str">
            <v>CAN 330</v>
          </cell>
          <cell r="L276" t="str">
            <v>325 ml</v>
          </cell>
          <cell r="M276" t="str">
            <v>CSD CAN</v>
          </cell>
          <cell r="N276" t="str">
            <v>MRD Green Cream</v>
          </cell>
          <cell r="V276" t="str">
            <v>02.10.2025</v>
          </cell>
          <cell r="W276">
            <v>45932</v>
          </cell>
        </row>
        <row r="277">
          <cell r="A277" t="str">
            <v>MIRINDA GREEN CREAM 345ML PET 12X_192</v>
          </cell>
          <cell r="B277">
            <v>320022379</v>
          </cell>
          <cell r="C277" t="str">
            <v>MIRINDA GREEN CREAM 345ML PET 12X_192</v>
          </cell>
          <cell r="D277">
            <v>32</v>
          </cell>
          <cell r="E277">
            <v>6</v>
          </cell>
          <cell r="F277">
            <v>192</v>
          </cell>
          <cell r="G277">
            <v>345</v>
          </cell>
          <cell r="H277">
            <v>12</v>
          </cell>
          <cell r="I277">
            <v>0.72912997534343083</v>
          </cell>
          <cell r="J277">
            <v>120</v>
          </cell>
          <cell r="K277" t="str">
            <v>PET 350 P12</v>
          </cell>
          <cell r="L277" t="str">
            <v>345 ml</v>
          </cell>
          <cell r="M277" t="str">
            <v>CSD PET</v>
          </cell>
          <cell r="N277" t="str">
            <v>MRD Green Cream</v>
          </cell>
          <cell r="V277" t="str">
            <v>03.10.2025</v>
          </cell>
          <cell r="W277">
            <v>45933</v>
          </cell>
        </row>
        <row r="278">
          <cell r="A278" t="str">
            <v>MIRINDA GREEN CREAM 440ML PET 24X_72</v>
          </cell>
          <cell r="B278">
            <v>320022461</v>
          </cell>
          <cell r="C278" t="str">
            <v>MIRINDA GREEN CREAM 440ML PET 24X_72</v>
          </cell>
          <cell r="D278">
            <v>12</v>
          </cell>
          <cell r="E278">
            <v>6</v>
          </cell>
          <cell r="F278">
            <v>72</v>
          </cell>
          <cell r="G278">
            <v>440</v>
          </cell>
          <cell r="H278">
            <v>24</v>
          </cell>
          <cell r="I278">
            <v>1.8598097921803451</v>
          </cell>
          <cell r="J278">
            <v>180</v>
          </cell>
          <cell r="K278" t="str">
            <v>PET 450</v>
          </cell>
          <cell r="L278" t="str">
            <v>440 ml</v>
          </cell>
          <cell r="M278" t="str">
            <v>CSD PET</v>
          </cell>
          <cell r="N278" t="str">
            <v>MRD Green Cream</v>
          </cell>
          <cell r="V278" t="str">
            <v>04.10.2025</v>
          </cell>
          <cell r="W278">
            <v>45934</v>
          </cell>
        </row>
        <row r="279">
          <cell r="A279" t="str">
            <v>MIRINDA GREEN CREAM 1.45L PET 12X_48</v>
          </cell>
          <cell r="B279">
            <v>320022462</v>
          </cell>
          <cell r="C279" t="str">
            <v>MIRINDA GREEN CREAM 1.45L PET 12X_48</v>
          </cell>
          <cell r="D279">
            <v>12</v>
          </cell>
          <cell r="E279">
            <v>4</v>
          </cell>
          <cell r="F279">
            <v>48</v>
          </cell>
          <cell r="G279">
            <v>1450</v>
          </cell>
          <cell r="H279">
            <v>12</v>
          </cell>
          <cell r="I279">
            <v>3.0644593166607961</v>
          </cell>
          <cell r="J279">
            <v>180</v>
          </cell>
          <cell r="K279" t="str">
            <v>PET 1500</v>
          </cell>
          <cell r="L279" t="str">
            <v>1450 ml</v>
          </cell>
          <cell r="M279" t="str">
            <v>CSD PET</v>
          </cell>
          <cell r="N279" t="str">
            <v>MRD Green Cream</v>
          </cell>
          <cell r="V279" t="str">
            <v>05.10.2025</v>
          </cell>
          <cell r="W279">
            <v>45935</v>
          </cell>
        </row>
        <row r="280">
          <cell r="A280" t="str">
            <v>MIRINDA GREEN CREAM 1.26L PET 12X_48</v>
          </cell>
          <cell r="B280">
            <v>320022463</v>
          </cell>
          <cell r="C280" t="str">
            <v>MIRINDA GREEN CREAM 1.26L PET 12X_48</v>
          </cell>
          <cell r="D280">
            <v>12</v>
          </cell>
          <cell r="E280">
            <v>4</v>
          </cell>
          <cell r="F280">
            <v>48</v>
          </cell>
          <cell r="G280">
            <v>1260</v>
          </cell>
          <cell r="H280">
            <v>12</v>
          </cell>
          <cell r="I280">
            <v>2.6629094751673126</v>
          </cell>
          <cell r="J280">
            <v>180</v>
          </cell>
          <cell r="K280" t="str">
            <v>PET 1250</v>
          </cell>
          <cell r="L280" t="str">
            <v>1260 ml</v>
          </cell>
          <cell r="M280" t="str">
            <v>CSD PET</v>
          </cell>
          <cell r="N280" t="str">
            <v>MRD Green Cream</v>
          </cell>
          <cell r="V280" t="str">
            <v>06.10.2025</v>
          </cell>
          <cell r="W280">
            <v>45936</v>
          </cell>
        </row>
        <row r="281">
          <cell r="A281" t="str">
            <v>MRD MIX IT ORG TROPICL 345ML PET 12X_192</v>
          </cell>
          <cell r="B281">
            <v>320022492</v>
          </cell>
          <cell r="C281" t="str">
            <v>MRD MIX IT ORG TROPICL 345ML PET 12X_192</v>
          </cell>
          <cell r="D281">
            <v>32</v>
          </cell>
          <cell r="E281">
            <v>6</v>
          </cell>
          <cell r="F281">
            <v>192</v>
          </cell>
          <cell r="G281">
            <v>345</v>
          </cell>
          <cell r="H281">
            <v>12</v>
          </cell>
          <cell r="I281">
            <v>0.72912997534343083</v>
          </cell>
          <cell r="J281">
            <v>120</v>
          </cell>
          <cell r="K281" t="str">
            <v>PET MIXIT 350</v>
          </cell>
          <cell r="L281" t="str">
            <v>345 ml</v>
          </cell>
          <cell r="M281" t="str">
            <v>CSD PET</v>
          </cell>
          <cell r="N281" t="str">
            <v>Mixit</v>
          </cell>
          <cell r="V281" t="str">
            <v>07.10.2025</v>
          </cell>
          <cell r="W281">
            <v>45937</v>
          </cell>
        </row>
        <row r="282">
          <cell r="A282" t="str">
            <v>7UP FREE 325ML CAN 4X MP_104</v>
          </cell>
          <cell r="B282">
            <v>320022464</v>
          </cell>
          <cell r="C282" t="str">
            <v>7UP FREE 325ML CAN 4X MP_104</v>
          </cell>
          <cell r="D282">
            <v>13</v>
          </cell>
          <cell r="E282">
            <v>8</v>
          </cell>
          <cell r="F282">
            <v>104</v>
          </cell>
          <cell r="G282">
            <v>325</v>
          </cell>
          <cell r="H282">
            <v>24</v>
          </cell>
          <cell r="I282">
            <v>1.3737231419513913</v>
          </cell>
          <cell r="J282">
            <v>180</v>
          </cell>
          <cell r="K282" t="str">
            <v>CAN 330</v>
          </cell>
          <cell r="L282" t="str">
            <v>325 ml</v>
          </cell>
          <cell r="M282" t="str">
            <v>CSD CAN</v>
          </cell>
          <cell r="N282" t="str">
            <v>7-Up</v>
          </cell>
          <cell r="V282" t="str">
            <v>08.10.2025</v>
          </cell>
          <cell r="W282">
            <v>45938</v>
          </cell>
        </row>
        <row r="283">
          <cell r="A283" t="str">
            <v>7UP FREE 345ML PET 12X_192</v>
          </cell>
          <cell r="B283">
            <v>320022465</v>
          </cell>
          <cell r="C283" t="str">
            <v>7UP FREE 345ML PET 12X_192</v>
          </cell>
          <cell r="D283">
            <v>32</v>
          </cell>
          <cell r="E283">
            <v>6</v>
          </cell>
          <cell r="F283">
            <v>192</v>
          </cell>
          <cell r="G283">
            <v>345</v>
          </cell>
          <cell r="H283">
            <v>12</v>
          </cell>
          <cell r="I283">
            <v>0.72912997534343083</v>
          </cell>
          <cell r="J283">
            <v>120</v>
          </cell>
          <cell r="K283" t="str">
            <v>PET 350 P12</v>
          </cell>
          <cell r="L283" t="str">
            <v>345 ml</v>
          </cell>
          <cell r="M283" t="str">
            <v>CSD PET</v>
          </cell>
          <cell r="N283" t="str">
            <v>7-Up</v>
          </cell>
          <cell r="V283" t="str">
            <v>09.10.2025</v>
          </cell>
          <cell r="W283">
            <v>45939</v>
          </cell>
        </row>
        <row r="284">
          <cell r="A284" t="str">
            <v>7UP FREE 440ML PET 24X_72</v>
          </cell>
          <cell r="B284">
            <v>320022466</v>
          </cell>
          <cell r="C284" t="str">
            <v>7UP FREE 440ML PET 24X_72</v>
          </cell>
          <cell r="D284">
            <v>12</v>
          </cell>
          <cell r="E284">
            <v>6</v>
          </cell>
          <cell r="F284">
            <v>72</v>
          </cell>
          <cell r="G284">
            <v>440</v>
          </cell>
          <cell r="H284">
            <v>24</v>
          </cell>
          <cell r="I284">
            <v>1.8598097921803451</v>
          </cell>
          <cell r="J284">
            <v>180</v>
          </cell>
          <cell r="K284" t="str">
            <v>PET 450</v>
          </cell>
          <cell r="L284" t="str">
            <v>440 ml</v>
          </cell>
          <cell r="M284" t="str">
            <v>CSD PET</v>
          </cell>
          <cell r="N284" t="str">
            <v>7-Up</v>
          </cell>
          <cell r="V284" t="str">
            <v>10.10.2025</v>
          </cell>
          <cell r="W284">
            <v>45940</v>
          </cell>
        </row>
        <row r="285">
          <cell r="A285" t="str">
            <v>7UP FREE 1.45L PET 12X_48</v>
          </cell>
          <cell r="B285">
            <v>320022467</v>
          </cell>
          <cell r="C285" t="str">
            <v>7UP FREE 1.45L PET 12X_48</v>
          </cell>
          <cell r="D285">
            <v>12</v>
          </cell>
          <cell r="E285">
            <v>4</v>
          </cell>
          <cell r="F285">
            <v>48</v>
          </cell>
          <cell r="G285">
            <v>1450</v>
          </cell>
          <cell r="H285">
            <v>12</v>
          </cell>
          <cell r="I285">
            <v>3.0644593166607961</v>
          </cell>
          <cell r="J285">
            <v>180</v>
          </cell>
          <cell r="K285" t="str">
            <v>PET 1500</v>
          </cell>
          <cell r="L285" t="str">
            <v>1450 ml</v>
          </cell>
          <cell r="M285" t="str">
            <v>CSD PET</v>
          </cell>
          <cell r="N285" t="str">
            <v>7-Up</v>
          </cell>
          <cell r="V285" t="str">
            <v>11.10.2025</v>
          </cell>
          <cell r="W285">
            <v>45941</v>
          </cell>
        </row>
        <row r="286">
          <cell r="A286" t="str">
            <v>7UP FREE 300ML PET 12X_217</v>
          </cell>
          <cell r="B286">
            <v>320022482</v>
          </cell>
          <cell r="C286" t="str">
            <v>7UP FREE 300ML PET 12X_217</v>
          </cell>
          <cell r="D286">
            <v>31</v>
          </cell>
          <cell r="E286">
            <v>7</v>
          </cell>
          <cell r="F286">
            <v>217</v>
          </cell>
          <cell r="G286">
            <v>300</v>
          </cell>
          <cell r="H286">
            <v>12</v>
          </cell>
          <cell r="I286">
            <v>0.6340260655160268</v>
          </cell>
          <cell r="J286">
            <v>120</v>
          </cell>
          <cell r="K286" t="str">
            <v>CSD PET 300 P12</v>
          </cell>
          <cell r="L286" t="str">
            <v>300 ml</v>
          </cell>
          <cell r="M286" t="str">
            <v>CSD PET</v>
          </cell>
          <cell r="N286" t="str">
            <v>7-Up</v>
          </cell>
          <cell r="V286" t="str">
            <v>12.10.2025</v>
          </cell>
          <cell r="W286">
            <v>45942</v>
          </cell>
        </row>
        <row r="287">
          <cell r="A287" t="str">
            <v>MIRINDA ORANGE 325ML CAN 4X NEW MP_104</v>
          </cell>
          <cell r="B287">
            <v>320022506</v>
          </cell>
          <cell r="C287" t="str">
            <v>MIRINDA ORANGE 325ML CAN 4X NEW MP_104</v>
          </cell>
          <cell r="D287">
            <v>13</v>
          </cell>
          <cell r="E287">
            <v>8</v>
          </cell>
          <cell r="F287">
            <v>104</v>
          </cell>
          <cell r="G287">
            <v>325</v>
          </cell>
          <cell r="H287">
            <v>24</v>
          </cell>
          <cell r="I287">
            <v>1.3737231419513913</v>
          </cell>
          <cell r="J287">
            <v>270</v>
          </cell>
          <cell r="K287" t="str">
            <v>CAN 330</v>
          </cell>
          <cell r="L287" t="str">
            <v>325 ml</v>
          </cell>
          <cell r="M287" t="str">
            <v>CSD CAN</v>
          </cell>
          <cell r="N287" t="str">
            <v>MRD Orange</v>
          </cell>
          <cell r="V287" t="str">
            <v>13.10.2025</v>
          </cell>
          <cell r="W287">
            <v>45943</v>
          </cell>
        </row>
        <row r="288">
          <cell r="A288" t="str">
            <v>7UP 325ML CAN 4X NEW MP_104</v>
          </cell>
          <cell r="B288">
            <v>320022508</v>
          </cell>
          <cell r="C288" t="str">
            <v>7UP 325ML CAN 4X NEW MP_104</v>
          </cell>
          <cell r="D288">
            <v>13</v>
          </cell>
          <cell r="E288">
            <v>8</v>
          </cell>
          <cell r="F288">
            <v>104</v>
          </cell>
          <cell r="G288">
            <v>325</v>
          </cell>
          <cell r="H288">
            <v>24</v>
          </cell>
          <cell r="I288">
            <v>1.3737231419513913</v>
          </cell>
          <cell r="J288">
            <v>270</v>
          </cell>
          <cell r="K288" t="str">
            <v>CAN 330</v>
          </cell>
          <cell r="L288" t="str">
            <v>325 ml</v>
          </cell>
          <cell r="M288" t="str">
            <v>CSD CAN</v>
          </cell>
          <cell r="N288" t="str">
            <v>7-Up</v>
          </cell>
          <cell r="V288" t="str">
            <v>14.10.2025</v>
          </cell>
          <cell r="W288">
            <v>45944</v>
          </cell>
        </row>
        <row r="289">
          <cell r="A289" t="str">
            <v>LIPTON LEMON 445ML PET 12X_NF132</v>
          </cell>
          <cell r="B289">
            <v>320022502</v>
          </cell>
          <cell r="C289" t="str">
            <v>LIPTON LEMON 445ML PET 12X_NF132</v>
          </cell>
          <cell r="D289">
            <v>22</v>
          </cell>
          <cell r="E289">
            <v>6</v>
          </cell>
          <cell r="F289">
            <v>132</v>
          </cell>
          <cell r="G289">
            <v>445</v>
          </cell>
          <cell r="H289">
            <v>12</v>
          </cell>
          <cell r="I289">
            <v>0.94047199718210639</v>
          </cell>
          <cell r="J289">
            <v>270</v>
          </cell>
          <cell r="K289" t="str">
            <v>PET NCB 445</v>
          </cell>
          <cell r="L289" t="str">
            <v>445 ml</v>
          </cell>
          <cell r="M289" t="str">
            <v>NCB PET</v>
          </cell>
          <cell r="N289" t="str">
            <v>Lipton</v>
          </cell>
          <cell r="V289" t="str">
            <v>15.10.2025</v>
          </cell>
          <cell r="W289">
            <v>45945</v>
          </cell>
        </row>
        <row r="290">
          <cell r="A290" t="str">
            <v>PEPSI COLA LIME 300ML PET 12X_217</v>
          </cell>
          <cell r="B290">
            <v>320022501</v>
          </cell>
          <cell r="C290" t="str">
            <v>PEPSI COLA LIME 300ML PET 12X_217</v>
          </cell>
          <cell r="D290">
            <v>31</v>
          </cell>
          <cell r="E290">
            <v>7</v>
          </cell>
          <cell r="F290">
            <v>217</v>
          </cell>
          <cell r="G290">
            <v>300</v>
          </cell>
          <cell r="H290">
            <v>12</v>
          </cell>
          <cell r="I290">
            <v>0.6340260655160268</v>
          </cell>
          <cell r="J290">
            <v>120</v>
          </cell>
          <cell r="K290" t="str">
            <v>CSD PET 300 P12</v>
          </cell>
          <cell r="L290" t="str">
            <v>300 ml</v>
          </cell>
          <cell r="M290" t="str">
            <v>CSD PET</v>
          </cell>
          <cell r="N290" t="str">
            <v>PEPSI LIME</v>
          </cell>
          <cell r="V290" t="str">
            <v>16.10.2025</v>
          </cell>
          <cell r="W290">
            <v>45946</v>
          </cell>
        </row>
        <row r="291">
          <cell r="A291" t="str">
            <v>PEPSI COLA 430ML PET 12X 15B_150</v>
          </cell>
          <cell r="B291">
            <v>320022483</v>
          </cell>
          <cell r="C291" t="str">
            <v>PEPSI COLA 430ML PET 12X 15B_150</v>
          </cell>
          <cell r="D291">
            <v>30</v>
          </cell>
          <cell r="E291">
            <v>5</v>
          </cell>
          <cell r="F291">
            <v>150</v>
          </cell>
          <cell r="G291">
            <v>430</v>
          </cell>
          <cell r="H291">
            <v>12</v>
          </cell>
          <cell r="I291">
            <v>0.90877069390630505</v>
          </cell>
          <cell r="J291">
            <v>180</v>
          </cell>
          <cell r="K291" t="str">
            <v>PET 430 P12</v>
          </cell>
          <cell r="L291" t="str">
            <v>430ml</v>
          </cell>
          <cell r="M291" t="str">
            <v>CSD PET</v>
          </cell>
          <cell r="N291" t="str">
            <v>Pepsi Cola</v>
          </cell>
          <cell r="V291" t="str">
            <v>17.10.2025</v>
          </cell>
          <cell r="W291">
            <v>45947</v>
          </cell>
        </row>
        <row r="292">
          <cell r="A292" t="str">
            <v>PEPSI LIME 10L BIB 1X</v>
          </cell>
          <cell r="B292">
            <v>320022489</v>
          </cell>
          <cell r="C292" t="str">
            <v>PEPSI LIME 10L BIB 1X</v>
          </cell>
          <cell r="D292">
            <v>12</v>
          </cell>
          <cell r="E292">
            <v>4</v>
          </cell>
          <cell r="F292">
            <v>48</v>
          </cell>
          <cell r="G292">
            <v>10000</v>
          </cell>
          <cell r="H292">
            <v>6</v>
          </cell>
          <cell r="I292">
            <v>10.567101091933779</v>
          </cell>
          <cell r="J292">
            <v>180</v>
          </cell>
          <cell r="K292" t="str">
            <v>BIB 10L</v>
          </cell>
          <cell r="L292" t="str">
            <v>10 L</v>
          </cell>
          <cell r="M292" t="str">
            <v>CSD PMX</v>
          </cell>
          <cell r="N292" t="str">
            <v>PEPSI LIME</v>
          </cell>
          <cell r="V292" t="str">
            <v>18.10.2025</v>
          </cell>
          <cell r="W292">
            <v>45948</v>
          </cell>
        </row>
        <row r="293">
          <cell r="A293" t="str">
            <v>PEPSI COLA MID CAL 1L PET 12X_70</v>
          </cell>
          <cell r="B293">
            <v>320022484</v>
          </cell>
          <cell r="C293" t="str">
            <v>PEPSI COLA MID CAL 1L PET 12X_70</v>
          </cell>
          <cell r="D293">
            <v>14</v>
          </cell>
          <cell r="E293">
            <v>5</v>
          </cell>
          <cell r="F293">
            <v>70</v>
          </cell>
          <cell r="G293">
            <v>1000</v>
          </cell>
          <cell r="H293">
            <v>12</v>
          </cell>
          <cell r="I293">
            <v>2.1134202183867559</v>
          </cell>
          <cell r="J293">
            <v>180</v>
          </cell>
          <cell r="K293" t="str">
            <v>PET 1000</v>
          </cell>
          <cell r="L293" t="str">
            <v>1000 ml</v>
          </cell>
          <cell r="M293" t="str">
            <v>CSD PET</v>
          </cell>
          <cell r="N293" t="str">
            <v>Pepsi Cola</v>
          </cell>
          <cell r="V293" t="str">
            <v>19.10.2025</v>
          </cell>
          <cell r="W293">
            <v>45949</v>
          </cell>
        </row>
        <row r="294">
          <cell r="A294" t="str">
            <v>PEPSI COLA MID CAL 1.26L PET 12X_48</v>
          </cell>
          <cell r="B294">
            <v>320022485</v>
          </cell>
          <cell r="C294" t="str">
            <v>PEPSI COLA MID CAL 1.26L PET 12X_48</v>
          </cell>
          <cell r="D294">
            <v>12</v>
          </cell>
          <cell r="E294">
            <v>4</v>
          </cell>
          <cell r="F294">
            <v>48</v>
          </cell>
          <cell r="G294">
            <v>1260</v>
          </cell>
          <cell r="H294">
            <v>12</v>
          </cell>
          <cell r="I294">
            <v>2.6629094751673126</v>
          </cell>
          <cell r="J294">
            <v>180</v>
          </cell>
          <cell r="K294" t="str">
            <v>PET 1250</v>
          </cell>
          <cell r="L294" t="str">
            <v>1260 ml</v>
          </cell>
          <cell r="M294" t="str">
            <v>CSD PET</v>
          </cell>
          <cell r="N294" t="str">
            <v>Pepsi Cola</v>
          </cell>
          <cell r="V294" t="str">
            <v>20.10.2025</v>
          </cell>
          <cell r="W294">
            <v>45950</v>
          </cell>
        </row>
        <row r="295">
          <cell r="A295" t="str">
            <v>PEPSI COLA MID CAL 1.45L PET 12X_48</v>
          </cell>
          <cell r="B295">
            <v>320022486</v>
          </cell>
          <cell r="C295" t="str">
            <v>PEPSI COLA MID CAL 1.45L PET 12X_48</v>
          </cell>
          <cell r="D295">
            <v>12</v>
          </cell>
          <cell r="E295">
            <v>4</v>
          </cell>
          <cell r="F295">
            <v>48</v>
          </cell>
          <cell r="G295">
            <v>1450</v>
          </cell>
          <cell r="H295">
            <v>12</v>
          </cell>
          <cell r="I295">
            <v>3.0644593166607961</v>
          </cell>
          <cell r="J295">
            <v>180</v>
          </cell>
          <cell r="K295" t="str">
            <v>PET 1500</v>
          </cell>
          <cell r="L295" t="str">
            <v>1450 ml</v>
          </cell>
          <cell r="M295" t="str">
            <v>CSD PET</v>
          </cell>
          <cell r="N295" t="str">
            <v>Pepsi Cola</v>
          </cell>
          <cell r="V295" t="str">
            <v>21.10.2025</v>
          </cell>
          <cell r="W295">
            <v>45951</v>
          </cell>
        </row>
        <row r="296">
          <cell r="A296" t="str">
            <v>PEPSI COLA MID CAL 1.5L PET 12X_48</v>
          </cell>
          <cell r="B296">
            <v>320022487</v>
          </cell>
          <cell r="C296" t="str">
            <v>PEPSI COLA MID CAL 1.5L PET 12X_48</v>
          </cell>
          <cell r="D296">
            <v>12</v>
          </cell>
          <cell r="E296">
            <v>4</v>
          </cell>
          <cell r="F296">
            <v>48</v>
          </cell>
          <cell r="G296">
            <v>1500</v>
          </cell>
          <cell r="H296">
            <v>12</v>
          </cell>
          <cell r="I296">
            <v>3.170130327580134</v>
          </cell>
          <cell r="J296">
            <v>180</v>
          </cell>
          <cell r="K296" t="str">
            <v>PET 1500</v>
          </cell>
          <cell r="L296" t="str">
            <v>1500 ml</v>
          </cell>
          <cell r="M296" t="str">
            <v>CSD PET</v>
          </cell>
          <cell r="N296" t="str">
            <v>Pepsi Cola</v>
          </cell>
          <cell r="V296" t="str">
            <v>22.10.2025</v>
          </cell>
          <cell r="W296">
            <v>45952</v>
          </cell>
        </row>
        <row r="297">
          <cell r="A297" t="str">
            <v>PEPSI COLA MID CAL 1.95L PET 6X_64</v>
          </cell>
          <cell r="B297">
            <v>320022488</v>
          </cell>
          <cell r="C297" t="str">
            <v>PEPSI COLA MID CAL 1.95L PET 6X_64</v>
          </cell>
          <cell r="D297">
            <v>16</v>
          </cell>
          <cell r="E297">
            <v>4</v>
          </cell>
          <cell r="F297">
            <v>64</v>
          </cell>
          <cell r="G297">
            <v>1950</v>
          </cell>
          <cell r="H297">
            <v>6</v>
          </cell>
          <cell r="I297">
            <v>2.0605847129270871</v>
          </cell>
          <cell r="J297">
            <v>180</v>
          </cell>
          <cell r="K297" t="str">
            <v>PET 2000</v>
          </cell>
          <cell r="L297" t="str">
            <v>1950 ml</v>
          </cell>
          <cell r="M297" t="str">
            <v>CSD PET</v>
          </cell>
          <cell r="N297" t="str">
            <v>Pepsi Cola</v>
          </cell>
          <cell r="V297" t="str">
            <v>23.10.2025</v>
          </cell>
          <cell r="W297">
            <v>45953</v>
          </cell>
        </row>
        <row r="298">
          <cell r="A298" t="str">
            <v>PEPSI COLA MID CAL 1.26L PET 12X_48 NE</v>
          </cell>
          <cell r="B298">
            <v>320022503</v>
          </cell>
          <cell r="C298" t="str">
            <v>PEPSI COLA MID CAL 1.26L PET 12X_48 NE</v>
          </cell>
          <cell r="D298">
            <v>12</v>
          </cell>
          <cell r="E298">
            <v>4</v>
          </cell>
          <cell r="F298">
            <v>48</v>
          </cell>
          <cell r="G298">
            <v>1260</v>
          </cell>
          <cell r="H298">
            <v>12</v>
          </cell>
          <cell r="I298">
            <v>2.6629094751673126</v>
          </cell>
          <cell r="J298">
            <v>180</v>
          </cell>
          <cell r="K298" t="str">
            <v>PET 1250</v>
          </cell>
          <cell r="L298" t="str">
            <v>1260 ml</v>
          </cell>
          <cell r="M298" t="str">
            <v>CSD PET</v>
          </cell>
          <cell r="N298" t="str">
            <v>Pepsi Cola</v>
          </cell>
          <cell r="V298" t="str">
            <v>24.10.2025</v>
          </cell>
          <cell r="W298">
            <v>45954</v>
          </cell>
        </row>
        <row r="299">
          <cell r="A299" t="str">
            <v>PEPSI COLA MID CAL 20L BIB 1X</v>
          </cell>
          <cell r="B299">
            <v>320022525</v>
          </cell>
          <cell r="C299" t="str">
            <v>PEPSI COLA MID CAL 20L BIB 1X</v>
          </cell>
          <cell r="D299">
            <v>9</v>
          </cell>
          <cell r="E299">
            <v>4</v>
          </cell>
          <cell r="F299">
            <v>36</v>
          </cell>
          <cell r="G299">
            <v>20000</v>
          </cell>
          <cell r="H299">
            <v>6</v>
          </cell>
          <cell r="I299">
            <v>21.134202183867558</v>
          </cell>
          <cell r="J299">
            <v>180</v>
          </cell>
          <cell r="K299" t="str">
            <v>BIB 20L</v>
          </cell>
          <cell r="L299" t="str">
            <v>20 L</v>
          </cell>
          <cell r="M299" t="str">
            <v>CSD PMX</v>
          </cell>
          <cell r="N299" t="str">
            <v>Pepsi Cola</v>
          </cell>
          <cell r="V299" t="str">
            <v>25.10.2025</v>
          </cell>
          <cell r="W299">
            <v>45955</v>
          </cell>
        </row>
        <row r="300">
          <cell r="A300" t="str">
            <v>PEPSI COLA MID CAL 20L BIB 1X_SL</v>
          </cell>
          <cell r="B300">
            <v>320022526</v>
          </cell>
          <cell r="C300" t="str">
            <v>PEPSI COLA MID CAL 20L BIB 1X_SL</v>
          </cell>
          <cell r="D300">
            <v>9</v>
          </cell>
          <cell r="E300">
            <v>4</v>
          </cell>
          <cell r="F300">
            <v>36</v>
          </cell>
          <cell r="G300">
            <v>20000</v>
          </cell>
          <cell r="H300">
            <v>6</v>
          </cell>
          <cell r="I300">
            <v>21.134202183867558</v>
          </cell>
          <cell r="J300">
            <v>180</v>
          </cell>
          <cell r="K300" t="str">
            <v>BIB 20L</v>
          </cell>
          <cell r="L300" t="str">
            <v>20 L</v>
          </cell>
          <cell r="M300" t="str">
            <v>CSD PMX</v>
          </cell>
          <cell r="N300" t="str">
            <v>Pepsi Cola</v>
          </cell>
          <cell r="V300" t="str">
            <v>26.10.2025</v>
          </cell>
          <cell r="W300">
            <v>45956</v>
          </cell>
        </row>
        <row r="301">
          <cell r="A301" t="str">
            <v>PEPSI COLA MID CAL 10L BIB 1X</v>
          </cell>
          <cell r="B301">
            <v>320022527</v>
          </cell>
          <cell r="C301" t="str">
            <v>PEPSI COLA MID CAL 10L BIB 1X</v>
          </cell>
          <cell r="D301">
            <v>12</v>
          </cell>
          <cell r="E301">
            <v>4</v>
          </cell>
          <cell r="F301">
            <v>48</v>
          </cell>
          <cell r="G301">
            <v>10000</v>
          </cell>
          <cell r="H301">
            <v>6</v>
          </cell>
          <cell r="I301">
            <v>10.567101091933779</v>
          </cell>
          <cell r="J301">
            <v>180</v>
          </cell>
          <cell r="K301" t="str">
            <v>BIB 10L</v>
          </cell>
          <cell r="L301" t="str">
            <v>10 L</v>
          </cell>
          <cell r="M301" t="str">
            <v>CSD PMX</v>
          </cell>
          <cell r="N301" t="str">
            <v>Pepsi Cola</v>
          </cell>
          <cell r="V301" t="str">
            <v>27.10.2025</v>
          </cell>
          <cell r="W301">
            <v>45957</v>
          </cell>
        </row>
        <row r="302">
          <cell r="A302" t="str">
            <v>PEPSI COLA MID CAL 300ML PET 24X BS_119</v>
          </cell>
          <cell r="B302">
            <v>320022528</v>
          </cell>
          <cell r="C302" t="str">
            <v>PEPSI COLA MID CAL 300ML PET 24X BS_119</v>
          </cell>
          <cell r="D302">
            <v>17</v>
          </cell>
          <cell r="E302">
            <v>7</v>
          </cell>
          <cell r="F302">
            <v>119</v>
          </cell>
          <cell r="G302">
            <v>300</v>
          </cell>
          <cell r="H302">
            <v>24</v>
          </cell>
          <cell r="I302">
            <v>1.2680521310320536</v>
          </cell>
          <cell r="J302">
            <v>120</v>
          </cell>
          <cell r="K302" t="str">
            <v>PET 300 EMN P24</v>
          </cell>
          <cell r="L302" t="str">
            <v>300 ml</v>
          </cell>
          <cell r="M302" t="str">
            <v>CSD PET</v>
          </cell>
          <cell r="N302" t="str">
            <v>Pepsi Cola</v>
          </cell>
          <cell r="V302" t="str">
            <v>28.10.2025</v>
          </cell>
          <cell r="W302">
            <v>45958</v>
          </cell>
        </row>
        <row r="303">
          <cell r="A303" t="str">
            <v>PEPSI COLA MID CAL 300ML PET 24X CS_119</v>
          </cell>
          <cell r="B303">
            <v>320022530</v>
          </cell>
          <cell r="C303" t="str">
            <v>PEPSI COLA MID CAL 300ML PET 24X CS_119</v>
          </cell>
          <cell r="D303">
            <v>17</v>
          </cell>
          <cell r="E303">
            <v>7</v>
          </cell>
          <cell r="F303">
            <v>119</v>
          </cell>
          <cell r="G303">
            <v>300</v>
          </cell>
          <cell r="H303">
            <v>24</v>
          </cell>
          <cell r="I303">
            <v>1.2680521310320536</v>
          </cell>
          <cell r="J303">
            <v>120</v>
          </cell>
          <cell r="K303" t="str">
            <v>PET 300 EMN P24</v>
          </cell>
          <cell r="L303" t="str">
            <v>300 ml</v>
          </cell>
          <cell r="M303" t="str">
            <v>CSD PET</v>
          </cell>
          <cell r="N303" t="str">
            <v>Pepsi Cola</v>
          </cell>
          <cell r="V303" t="str">
            <v>29.10.2025</v>
          </cell>
          <cell r="W303">
            <v>45959</v>
          </cell>
        </row>
        <row r="304">
          <cell r="A304" t="str">
            <v>GOODMOOD BLACKCURRANT 450ML PET 12X_132</v>
          </cell>
          <cell r="B304">
            <v>320022493</v>
          </cell>
          <cell r="C304" t="str">
            <v>GOODMOOD BLACKCURRANT 450ML PET 12X_132</v>
          </cell>
          <cell r="D304">
            <v>22</v>
          </cell>
          <cell r="E304">
            <v>6</v>
          </cell>
          <cell r="F304">
            <v>132</v>
          </cell>
          <cell r="G304">
            <v>450</v>
          </cell>
          <cell r="H304">
            <v>12</v>
          </cell>
          <cell r="I304">
            <v>0.95103909827404021</v>
          </cell>
          <cell r="J304">
            <v>270</v>
          </cell>
          <cell r="K304" t="str">
            <v>PET VAW 450</v>
          </cell>
          <cell r="L304" t="str">
            <v>450 ml</v>
          </cell>
          <cell r="M304" t="str">
            <v>CSD PET</v>
          </cell>
          <cell r="N304" t="str">
            <v>GOODMOOD</v>
          </cell>
          <cell r="V304" t="str">
            <v>30.10.2025</v>
          </cell>
          <cell r="W304">
            <v>45960</v>
          </cell>
        </row>
        <row r="305">
          <cell r="A305" t="str">
            <v>PEPSI COLA 325ML CAN 4X 5+1 MP_104</v>
          </cell>
          <cell r="B305">
            <v>320022475</v>
          </cell>
          <cell r="C305" t="str">
            <v>PEPSI COLA 325ML CAN 4X 5+1 MP_104</v>
          </cell>
          <cell r="D305">
            <v>13</v>
          </cell>
          <cell r="E305">
            <v>8</v>
          </cell>
          <cell r="F305">
            <v>104</v>
          </cell>
          <cell r="G305">
            <v>325</v>
          </cell>
          <cell r="H305">
            <v>24</v>
          </cell>
          <cell r="I305">
            <v>1.3737231419513913</v>
          </cell>
          <cell r="J305">
            <v>270</v>
          </cell>
          <cell r="K305" t="str">
            <v>CAN 330</v>
          </cell>
          <cell r="L305" t="str">
            <v>325 ml</v>
          </cell>
          <cell r="M305" t="str">
            <v>CSD CAN</v>
          </cell>
          <cell r="N305" t="str">
            <v>Pepsi Cola</v>
          </cell>
          <cell r="V305" t="str">
            <v>31.10.2025</v>
          </cell>
          <cell r="W305">
            <v>45961</v>
          </cell>
        </row>
        <row r="306">
          <cell r="A306" t="str">
            <v>PEPSI MAX 1.45L PET 12X_48 KFC</v>
          </cell>
          <cell r="B306">
            <v>320022476</v>
          </cell>
          <cell r="C306" t="str">
            <v>PEPSI MAX 1.45L PET 12X_48 KFC</v>
          </cell>
          <cell r="D306">
            <v>12</v>
          </cell>
          <cell r="E306">
            <v>4</v>
          </cell>
          <cell r="F306">
            <v>48</v>
          </cell>
          <cell r="G306">
            <v>1450</v>
          </cell>
          <cell r="H306">
            <v>12</v>
          </cell>
          <cell r="I306">
            <v>3.0644593166607961</v>
          </cell>
          <cell r="J306">
            <v>120</v>
          </cell>
          <cell r="K306" t="str">
            <v>PET 1500</v>
          </cell>
          <cell r="L306" t="str">
            <v>1450 ml</v>
          </cell>
          <cell r="M306" t="str">
            <v>CSD PET</v>
          </cell>
          <cell r="N306" t="str">
            <v>Pepsi Max</v>
          </cell>
          <cell r="V306" t="str">
            <v>01.11.2025</v>
          </cell>
          <cell r="W306">
            <v>45962</v>
          </cell>
        </row>
        <row r="307">
          <cell r="A307" t="str">
            <v>GATORADE CITRUS QUENCH PET 500ML 12X_114</v>
          </cell>
          <cell r="B307">
            <v>320022516</v>
          </cell>
          <cell r="C307" t="str">
            <v>GATORADE CITRUS QUENCH PET 500ML 12X_114</v>
          </cell>
          <cell r="D307">
            <v>19</v>
          </cell>
          <cell r="E307">
            <v>6</v>
          </cell>
          <cell r="F307">
            <v>114</v>
          </cell>
          <cell r="G307">
            <v>500</v>
          </cell>
          <cell r="H307">
            <v>12</v>
          </cell>
          <cell r="I307">
            <v>1.0567101091933779</v>
          </cell>
          <cell r="J307">
            <v>270</v>
          </cell>
          <cell r="K307" t="str">
            <v>PET GTR 500 P12</v>
          </cell>
          <cell r="L307" t="str">
            <v>500ml</v>
          </cell>
          <cell r="M307" t="str">
            <v>NCB PET</v>
          </cell>
          <cell r="N307" t="str">
            <v>GATORADE</v>
          </cell>
          <cell r="V307" t="str">
            <v>02.11.2025</v>
          </cell>
          <cell r="W307">
            <v>45963</v>
          </cell>
        </row>
        <row r="308">
          <cell r="A308" t="str">
            <v>PEPSI MAX CREAM SODA 245ML CAN 4X MP_64</v>
          </cell>
          <cell r="B308">
            <v>320022514</v>
          </cell>
          <cell r="C308" t="str">
            <v>PEPSI MAX CREAM SODA 245ML CAN 4X MP_64</v>
          </cell>
          <cell r="D308">
            <v>16</v>
          </cell>
          <cell r="E308">
            <v>4</v>
          </cell>
          <cell r="F308">
            <v>64</v>
          </cell>
          <cell r="G308">
            <v>245</v>
          </cell>
          <cell r="H308">
            <v>24</v>
          </cell>
          <cell r="I308">
            <v>1.0355759070095103</v>
          </cell>
          <cell r="J308">
            <v>120</v>
          </cell>
          <cell r="K308" t="str">
            <v>CAN 250</v>
          </cell>
          <cell r="L308" t="str">
            <v>245 ml</v>
          </cell>
          <cell r="M308" t="str">
            <v>CSD CAN</v>
          </cell>
          <cell r="N308" t="str">
            <v>Pepsi Max</v>
          </cell>
          <cell r="V308" t="str">
            <v>03.11.2025</v>
          </cell>
          <cell r="W308">
            <v>45964</v>
          </cell>
        </row>
        <row r="309">
          <cell r="A309" t="str">
            <v>PEPSI MAX CREAM SODA 440ML PET 24X_72</v>
          </cell>
          <cell r="B309">
            <v>320022512</v>
          </cell>
          <cell r="C309" t="str">
            <v>PEPSI MAX CREAM SODA 440ML PET 24X_72</v>
          </cell>
          <cell r="D309">
            <v>12</v>
          </cell>
          <cell r="E309">
            <v>6</v>
          </cell>
          <cell r="F309">
            <v>72</v>
          </cell>
          <cell r="G309">
            <v>440</v>
          </cell>
          <cell r="H309">
            <v>24</v>
          </cell>
          <cell r="I309">
            <v>1.8598097921803451</v>
          </cell>
          <cell r="J309">
            <v>120</v>
          </cell>
          <cell r="K309" t="str">
            <v>PET 450</v>
          </cell>
          <cell r="L309" t="str">
            <v>440 ml</v>
          </cell>
          <cell r="M309" t="str">
            <v>CSD PET</v>
          </cell>
          <cell r="N309" t="str">
            <v>Pepsi Max</v>
          </cell>
          <cell r="V309" t="str">
            <v>04.11.2025</v>
          </cell>
          <cell r="W309">
            <v>45965</v>
          </cell>
        </row>
        <row r="310">
          <cell r="A310" t="str">
            <v>PEPSI MAX CREAM SODA 1L PET 12X_70</v>
          </cell>
          <cell r="B310">
            <v>320022477</v>
          </cell>
          <cell r="C310" t="str">
            <v>PEPSI MAX CREAM SODA 1L PET 12X_70</v>
          </cell>
          <cell r="D310">
            <v>14</v>
          </cell>
          <cell r="E310">
            <v>5</v>
          </cell>
          <cell r="F310">
            <v>70</v>
          </cell>
          <cell r="G310">
            <v>1000</v>
          </cell>
          <cell r="H310">
            <v>12</v>
          </cell>
          <cell r="I310">
            <v>2.1134202183867559</v>
          </cell>
          <cell r="J310">
            <v>120</v>
          </cell>
          <cell r="K310" t="str">
            <v>PET 1000</v>
          </cell>
          <cell r="L310" t="str">
            <v>1000 ml</v>
          </cell>
          <cell r="M310" t="str">
            <v>CSD PET</v>
          </cell>
          <cell r="N310" t="str">
            <v>Pepsi Max</v>
          </cell>
          <cell r="V310" t="str">
            <v>05.11.2025</v>
          </cell>
          <cell r="W310">
            <v>45966</v>
          </cell>
        </row>
        <row r="311">
          <cell r="A311" t="str">
            <v>PEPSI MAX CREAM SODA 1.45L PET 12X_48</v>
          </cell>
          <cell r="B311">
            <v>320022513</v>
          </cell>
          <cell r="C311" t="str">
            <v>PEPSI MAX CREAM SODA 1.45L PET 12X_48</v>
          </cell>
          <cell r="D311">
            <v>12</v>
          </cell>
          <cell r="E311">
            <v>4</v>
          </cell>
          <cell r="F311">
            <v>48</v>
          </cell>
          <cell r="G311">
            <v>1450</v>
          </cell>
          <cell r="H311">
            <v>12</v>
          </cell>
          <cell r="I311">
            <v>3.0644593166607961</v>
          </cell>
          <cell r="J311">
            <v>120</v>
          </cell>
          <cell r="K311" t="str">
            <v>PET 1500</v>
          </cell>
          <cell r="L311" t="str">
            <v>1450 ml</v>
          </cell>
          <cell r="M311" t="str">
            <v>CSD PET</v>
          </cell>
          <cell r="N311" t="str">
            <v>Pepsi Max</v>
          </cell>
          <cell r="V311" t="str">
            <v>06.11.2025</v>
          </cell>
          <cell r="W311">
            <v>45967</v>
          </cell>
        </row>
        <row r="312">
          <cell r="A312" t="str">
            <v>MIRINDA BERRYWTRMELON 300ML PET 12X_217</v>
          </cell>
          <cell r="B312">
            <v>320022509</v>
          </cell>
          <cell r="C312" t="str">
            <v>MIRINDA BERRYWTRMELON 300ML PET 12X_217</v>
          </cell>
          <cell r="D312">
            <v>31</v>
          </cell>
          <cell r="E312">
            <v>7</v>
          </cell>
          <cell r="F312">
            <v>217</v>
          </cell>
          <cell r="G312">
            <v>300</v>
          </cell>
          <cell r="H312">
            <v>12</v>
          </cell>
          <cell r="I312">
            <v>0.6340260655160268</v>
          </cell>
          <cell r="J312">
            <v>120</v>
          </cell>
          <cell r="K312" t="str">
            <v>CSD PET 300 P12</v>
          </cell>
          <cell r="L312" t="str">
            <v>300 ml</v>
          </cell>
          <cell r="M312" t="str">
            <v>CSD PET</v>
          </cell>
          <cell r="N312" t="str">
            <v>MRD Berry Watermelon</v>
          </cell>
          <cell r="V312" t="str">
            <v>07.11.2025</v>
          </cell>
          <cell r="W312">
            <v>45968</v>
          </cell>
        </row>
        <row r="313">
          <cell r="A313" t="str">
            <v>MIRINDA BERRYWTRMELON 345ML PET 12X_192</v>
          </cell>
          <cell r="B313">
            <v>320022511</v>
          </cell>
          <cell r="C313" t="str">
            <v>MIRINDA BERRYWTRMELON 345ML PET 12X_192</v>
          </cell>
          <cell r="D313">
            <v>32</v>
          </cell>
          <cell r="E313">
            <v>6</v>
          </cell>
          <cell r="F313">
            <v>192</v>
          </cell>
          <cell r="G313">
            <v>345</v>
          </cell>
          <cell r="H313">
            <v>12</v>
          </cell>
          <cell r="I313">
            <v>0.72912997534343083</v>
          </cell>
          <cell r="J313">
            <v>120</v>
          </cell>
          <cell r="K313" t="str">
            <v>PET 350 P12</v>
          </cell>
          <cell r="L313" t="str">
            <v>345 ml</v>
          </cell>
          <cell r="M313" t="str">
            <v>CSD PET</v>
          </cell>
          <cell r="N313" t="str">
            <v>MRD Berry Watermelon</v>
          </cell>
          <cell r="V313" t="str">
            <v>08.11.2025</v>
          </cell>
          <cell r="W313">
            <v>45969</v>
          </cell>
        </row>
        <row r="314">
          <cell r="A314" t="str">
            <v>MIRINDA BERRYWTRMELON 440ML PET 24X_72</v>
          </cell>
          <cell r="B314">
            <v>320022510</v>
          </cell>
          <cell r="C314" t="str">
            <v>MIRINDA BERRYWTRMELON 440ML PET 24X_72</v>
          </cell>
          <cell r="D314">
            <v>12</v>
          </cell>
          <cell r="E314">
            <v>6</v>
          </cell>
          <cell r="F314">
            <v>72</v>
          </cell>
          <cell r="G314">
            <v>440</v>
          </cell>
          <cell r="H314">
            <v>24</v>
          </cell>
          <cell r="I314">
            <v>1.8598097921803451</v>
          </cell>
          <cell r="J314">
            <v>180</v>
          </cell>
          <cell r="K314" t="str">
            <v>PET 450</v>
          </cell>
          <cell r="L314" t="str">
            <v>440 ml</v>
          </cell>
          <cell r="M314" t="str">
            <v>CSD PET</v>
          </cell>
          <cell r="N314" t="str">
            <v>MRD Berry Watermelon</v>
          </cell>
          <cell r="V314" t="str">
            <v>09.11.2025</v>
          </cell>
          <cell r="W314">
            <v>45970</v>
          </cell>
        </row>
        <row r="315">
          <cell r="A315" t="str">
            <v>Lipton 445ML Film Camera set (Yellow)_48</v>
          </cell>
          <cell r="B315">
            <v>320022540</v>
          </cell>
          <cell r="C315" t="str">
            <v>Lipton 445ML Film Camera set (Yellow)_48</v>
          </cell>
          <cell r="D315">
            <v>8</v>
          </cell>
          <cell r="E315">
            <v>6</v>
          </cell>
          <cell r="F315">
            <v>48</v>
          </cell>
          <cell r="G315">
            <v>445</v>
          </cell>
          <cell r="H315">
            <v>18</v>
          </cell>
          <cell r="I315">
            <v>1.4107079957731596</v>
          </cell>
          <cell r="J315">
            <v>270</v>
          </cell>
          <cell r="K315" t="str">
            <v>PET NCB 445</v>
          </cell>
          <cell r="L315" t="str">
            <v>445 ml</v>
          </cell>
          <cell r="M315" t="str">
            <v>NCB PET</v>
          </cell>
          <cell r="N315" t="str">
            <v>Lipton</v>
          </cell>
          <cell r="V315" t="str">
            <v>10.11.2025</v>
          </cell>
          <cell r="W315">
            <v>45971</v>
          </cell>
        </row>
        <row r="316">
          <cell r="A316" t="str">
            <v>Lipton 445ML Film Camera set (Green)_48</v>
          </cell>
          <cell r="B316">
            <v>320022541</v>
          </cell>
          <cell r="C316" t="str">
            <v>Lipton 445ML Film Camera set (Green)_48</v>
          </cell>
          <cell r="D316">
            <v>8</v>
          </cell>
          <cell r="E316">
            <v>6</v>
          </cell>
          <cell r="F316">
            <v>48</v>
          </cell>
          <cell r="G316">
            <v>445</v>
          </cell>
          <cell r="H316">
            <v>18</v>
          </cell>
          <cell r="I316">
            <v>1.4107079957731596</v>
          </cell>
          <cell r="J316">
            <v>210</v>
          </cell>
          <cell r="K316" t="str">
            <v>PET NCB 445</v>
          </cell>
          <cell r="L316" t="str">
            <v>445 ml</v>
          </cell>
          <cell r="M316" t="str">
            <v>NCB PET</v>
          </cell>
          <cell r="N316" t="str">
            <v>Lipton</v>
          </cell>
          <cell r="V316" t="str">
            <v>11.11.2025</v>
          </cell>
          <cell r="W316">
            <v>45972</v>
          </cell>
        </row>
        <row r="317">
          <cell r="A317" t="str">
            <v>PEPSI MAX 245ML CAN 4X MP NEW_64</v>
          </cell>
          <cell r="B317">
            <v>320022556</v>
          </cell>
          <cell r="C317" t="str">
            <v>PEPSI MAX 245ML CAN 4X MP NEW_64</v>
          </cell>
          <cell r="D317">
            <v>16</v>
          </cell>
          <cell r="E317">
            <v>4</v>
          </cell>
          <cell r="F317">
            <v>64</v>
          </cell>
          <cell r="G317">
            <v>245</v>
          </cell>
          <cell r="H317">
            <v>24</v>
          </cell>
          <cell r="I317">
            <v>1.0355759070095103</v>
          </cell>
          <cell r="J317">
            <v>180</v>
          </cell>
          <cell r="K317" t="str">
            <v>CAN 250</v>
          </cell>
          <cell r="L317" t="str">
            <v>245 ml</v>
          </cell>
          <cell r="M317" t="str">
            <v>CSD CAN</v>
          </cell>
          <cell r="N317" t="str">
            <v>Pepsi Max</v>
          </cell>
          <cell r="V317" t="str">
            <v>12.11.2025</v>
          </cell>
          <cell r="W317">
            <v>45973</v>
          </cell>
        </row>
        <row r="318">
          <cell r="A318" t="str">
            <v>PEPSI MAX 550ML PET 24X NEW_60</v>
          </cell>
          <cell r="B318">
            <v>320022557</v>
          </cell>
          <cell r="C318" t="str">
            <v>PEPSI MAX 550ML PET 24X NEW_60</v>
          </cell>
          <cell r="D318">
            <v>10</v>
          </cell>
          <cell r="E318">
            <v>6</v>
          </cell>
          <cell r="F318">
            <v>60</v>
          </cell>
          <cell r="G318">
            <v>550</v>
          </cell>
          <cell r="H318">
            <v>24</v>
          </cell>
          <cell r="I318">
            <v>2.3247622402254313</v>
          </cell>
          <cell r="J318">
            <v>180</v>
          </cell>
          <cell r="K318" t="str">
            <v>PET 550</v>
          </cell>
          <cell r="L318" t="str">
            <v>550 ml</v>
          </cell>
          <cell r="M318" t="str">
            <v>CSD PET</v>
          </cell>
          <cell r="N318" t="str">
            <v>Pepsi Max</v>
          </cell>
          <cell r="V318" t="str">
            <v>13.11.2025</v>
          </cell>
          <cell r="W318">
            <v>45974</v>
          </cell>
        </row>
        <row r="319">
          <cell r="A319" t="str">
            <v>PEPSI MAX 1.45L PET 12X NEW_48</v>
          </cell>
          <cell r="B319">
            <v>320022558</v>
          </cell>
          <cell r="C319" t="str">
            <v>PEPSI MAX 1.45L PET 12X NEW_48</v>
          </cell>
          <cell r="D319">
            <v>12</v>
          </cell>
          <cell r="E319">
            <v>4</v>
          </cell>
          <cell r="F319">
            <v>48</v>
          </cell>
          <cell r="G319">
            <v>1450</v>
          </cell>
          <cell r="H319">
            <v>12</v>
          </cell>
          <cell r="I319">
            <v>3.0644593166607961</v>
          </cell>
          <cell r="J319">
            <v>180</v>
          </cell>
          <cell r="K319" t="str">
            <v>PET 1500</v>
          </cell>
          <cell r="L319" t="str">
            <v>1450 ml</v>
          </cell>
          <cell r="M319" t="str">
            <v>CSD PET</v>
          </cell>
          <cell r="N319" t="str">
            <v>Pepsi Max</v>
          </cell>
          <cell r="V319" t="str">
            <v>14.11.2025</v>
          </cell>
          <cell r="W319">
            <v>45975</v>
          </cell>
        </row>
        <row r="320">
          <cell r="A320" t="str">
            <v>PEPSI MAX 10L BIB 1X NEW_48</v>
          </cell>
          <cell r="B320">
            <v>320022559</v>
          </cell>
          <cell r="C320" t="str">
            <v>PEPSI MAX 10L BIB 1X NEW_48</v>
          </cell>
          <cell r="D320">
            <v>12</v>
          </cell>
          <cell r="E320">
            <v>4</v>
          </cell>
          <cell r="F320">
            <v>48</v>
          </cell>
          <cell r="G320">
            <v>10000</v>
          </cell>
          <cell r="H320">
            <v>6</v>
          </cell>
          <cell r="I320">
            <v>10.567101091933779</v>
          </cell>
          <cell r="J320">
            <v>120</v>
          </cell>
          <cell r="K320" t="str">
            <v>BIB 10L</v>
          </cell>
          <cell r="L320" t="str">
            <v>10 L</v>
          </cell>
          <cell r="M320" t="str">
            <v>CSD PMX</v>
          </cell>
          <cell r="N320" t="str">
            <v>Pepsi Max</v>
          </cell>
          <cell r="V320" t="str">
            <v>15.11.2025</v>
          </cell>
          <cell r="W320">
            <v>45976</v>
          </cell>
        </row>
        <row r="321">
          <cell r="A321" t="str">
            <v>PEPSI MAX 345ML PET 12X 10B NEW_192</v>
          </cell>
          <cell r="B321">
            <v>320022560</v>
          </cell>
          <cell r="C321" t="str">
            <v>PEPSI MAX 345ML PET 12X 10B NEW_192</v>
          </cell>
          <cell r="D321">
            <v>32</v>
          </cell>
          <cell r="E321">
            <v>6</v>
          </cell>
          <cell r="F321">
            <v>192</v>
          </cell>
          <cell r="G321">
            <v>345</v>
          </cell>
          <cell r="H321">
            <v>12</v>
          </cell>
          <cell r="I321">
            <v>0.72912997534343083</v>
          </cell>
          <cell r="J321">
            <v>120</v>
          </cell>
          <cell r="K321" t="str">
            <v>PET 350 P12</v>
          </cell>
          <cell r="L321" t="str">
            <v>345 ml</v>
          </cell>
          <cell r="M321" t="str">
            <v>CSD PET</v>
          </cell>
          <cell r="N321" t="str">
            <v>Pepsi Max</v>
          </cell>
          <cell r="V321" t="str">
            <v>16.11.2025</v>
          </cell>
          <cell r="W321">
            <v>45977</v>
          </cell>
        </row>
        <row r="322">
          <cell r="A322" t="str">
            <v>PEPSI MAX RASPBERRY245ML CAN 4XMP NEW_64</v>
          </cell>
          <cell r="B322">
            <v>320022561</v>
          </cell>
          <cell r="C322" t="str">
            <v>PEPSI MAX RASPBERRY245ML CAN 4XMP NEW_64</v>
          </cell>
          <cell r="D322">
            <v>16</v>
          </cell>
          <cell r="E322">
            <v>4</v>
          </cell>
          <cell r="F322">
            <v>64</v>
          </cell>
          <cell r="G322">
            <v>245</v>
          </cell>
          <cell r="H322">
            <v>24</v>
          </cell>
          <cell r="I322">
            <v>1.0355759070095103</v>
          </cell>
          <cell r="J322">
            <v>120</v>
          </cell>
          <cell r="K322" t="str">
            <v>CAN 250</v>
          </cell>
          <cell r="L322" t="str">
            <v>245 ml</v>
          </cell>
          <cell r="M322" t="str">
            <v>CSD CAN</v>
          </cell>
          <cell r="N322" t="str">
            <v>Pepsi Max</v>
          </cell>
          <cell r="V322" t="str">
            <v>17.11.2025</v>
          </cell>
          <cell r="W322">
            <v>45978</v>
          </cell>
        </row>
        <row r="323">
          <cell r="A323" t="str">
            <v>PEPSI MAX RASPBERRY 440ML PET 24X NEW_72</v>
          </cell>
          <cell r="B323">
            <v>320022562</v>
          </cell>
          <cell r="C323" t="str">
            <v>PEPSI MAX RASPBERRY 440ML PET 24X NEW_72</v>
          </cell>
          <cell r="D323">
            <v>12</v>
          </cell>
          <cell r="E323">
            <v>6</v>
          </cell>
          <cell r="F323">
            <v>72</v>
          </cell>
          <cell r="G323">
            <v>440</v>
          </cell>
          <cell r="H323">
            <v>24</v>
          </cell>
          <cell r="I323">
            <v>1.8598097921803451</v>
          </cell>
          <cell r="J323">
            <v>120</v>
          </cell>
          <cell r="K323" t="str">
            <v>PET 450</v>
          </cell>
          <cell r="L323" t="str">
            <v>440 ml</v>
          </cell>
          <cell r="M323" t="str">
            <v>CSD PET</v>
          </cell>
          <cell r="N323" t="str">
            <v>Pepsi Max</v>
          </cell>
          <cell r="V323" t="str">
            <v>18.11.2025</v>
          </cell>
          <cell r="W323">
            <v>45979</v>
          </cell>
        </row>
        <row r="324">
          <cell r="A324" t="str">
            <v>PEPSI MAX 325ML CAN 4X MP NEW_104</v>
          </cell>
          <cell r="B324">
            <v>320022563</v>
          </cell>
          <cell r="C324" t="str">
            <v>PEPSI MAX 325ML CAN 4X MP NEW_104</v>
          </cell>
          <cell r="D324">
            <v>13</v>
          </cell>
          <cell r="E324">
            <v>8</v>
          </cell>
          <cell r="F324">
            <v>104</v>
          </cell>
          <cell r="G324">
            <v>325</v>
          </cell>
          <cell r="H324">
            <v>24</v>
          </cell>
          <cell r="I324">
            <v>1.3737231419513913</v>
          </cell>
          <cell r="J324">
            <v>180</v>
          </cell>
          <cell r="K324" t="str">
            <v>CAN 330</v>
          </cell>
          <cell r="L324" t="str">
            <v>325 ml</v>
          </cell>
          <cell r="M324" t="str">
            <v>CSD CAN</v>
          </cell>
          <cell r="N324" t="str">
            <v>Pepsi Max</v>
          </cell>
          <cell r="V324" t="str">
            <v>19.11.2025</v>
          </cell>
          <cell r="W324">
            <v>45980</v>
          </cell>
        </row>
        <row r="325">
          <cell r="A325" t="str">
            <v>PEPSI MAX 300ML PET 12X NEW_217</v>
          </cell>
          <cell r="B325">
            <v>320022564</v>
          </cell>
          <cell r="C325" t="str">
            <v>PEPSI MAX 300ML PET 12X NEW_217</v>
          </cell>
          <cell r="D325">
            <v>31</v>
          </cell>
          <cell r="E325">
            <v>7</v>
          </cell>
          <cell r="F325">
            <v>217</v>
          </cell>
          <cell r="G325">
            <v>300</v>
          </cell>
          <cell r="H325">
            <v>12</v>
          </cell>
          <cell r="I325">
            <v>0.6340260655160268</v>
          </cell>
          <cell r="J325">
            <v>120</v>
          </cell>
          <cell r="K325" t="str">
            <v>CSD PET 300 P12</v>
          </cell>
          <cell r="L325" t="str">
            <v>300 ml</v>
          </cell>
          <cell r="M325" t="str">
            <v>CSD PET</v>
          </cell>
          <cell r="N325" t="str">
            <v>Pepsi Max</v>
          </cell>
          <cell r="V325" t="str">
            <v>20.11.2025</v>
          </cell>
          <cell r="W325">
            <v>45981</v>
          </cell>
        </row>
        <row r="326">
          <cell r="A326" t="str">
            <v>PEPSI MAX 300ML PET 12X 10B NEW_217</v>
          </cell>
          <cell r="B326">
            <v>320022565</v>
          </cell>
          <cell r="C326" t="str">
            <v>PEPSI MAX 300ML PET 12X 10B NEW_217</v>
          </cell>
          <cell r="D326">
            <v>31</v>
          </cell>
          <cell r="E326">
            <v>7</v>
          </cell>
          <cell r="F326">
            <v>217</v>
          </cell>
          <cell r="G326">
            <v>300</v>
          </cell>
          <cell r="H326">
            <v>12</v>
          </cell>
          <cell r="I326">
            <v>0.6340260655160268</v>
          </cell>
          <cell r="J326">
            <v>120</v>
          </cell>
          <cell r="K326" t="str">
            <v>CSD PET 300 P12</v>
          </cell>
          <cell r="L326" t="str">
            <v>300 ml</v>
          </cell>
          <cell r="M326" t="str">
            <v>CSD PET</v>
          </cell>
          <cell r="N326" t="str">
            <v>Pepsi Max</v>
          </cell>
          <cell r="V326" t="str">
            <v>21.11.2025</v>
          </cell>
          <cell r="W326">
            <v>45982</v>
          </cell>
        </row>
        <row r="327">
          <cell r="A327" t="str">
            <v>LIPTON GR HONEY LEMON BIB 10L_48</v>
          </cell>
          <cell r="B327">
            <v>320022533</v>
          </cell>
          <cell r="C327" t="str">
            <v>LIPTON GR HONEY LEMON BIB 10L_48</v>
          </cell>
          <cell r="D327">
            <v>12</v>
          </cell>
          <cell r="E327">
            <v>4</v>
          </cell>
          <cell r="F327">
            <v>48</v>
          </cell>
          <cell r="G327">
            <v>10000</v>
          </cell>
          <cell r="H327">
            <v>6</v>
          </cell>
          <cell r="I327">
            <v>10.567101091933779</v>
          </cell>
          <cell r="J327">
            <v>180</v>
          </cell>
          <cell r="K327" t="str">
            <v>BIB NCB 10L</v>
          </cell>
          <cell r="L327" t="str">
            <v>10 L</v>
          </cell>
          <cell r="M327" t="str">
            <v>NCB PMX</v>
          </cell>
          <cell r="N327" t="str">
            <v>Lipton</v>
          </cell>
          <cell r="V327" t="str">
            <v>22.11.2025</v>
          </cell>
          <cell r="W327">
            <v>45983</v>
          </cell>
        </row>
        <row r="328">
          <cell r="A328" t="str">
            <v>PEPSI 325ML P6 2X _VINTAGE COOLER SET_8</v>
          </cell>
          <cell r="B328">
            <v>320022544</v>
          </cell>
          <cell r="C328" t="str">
            <v>PEPSI 325ML P6 2X _VINTAGE COOLER SET_8</v>
          </cell>
          <cell r="D328">
            <v>2</v>
          </cell>
          <cell r="E328">
            <v>4</v>
          </cell>
          <cell r="F328">
            <v>8</v>
          </cell>
          <cell r="G328">
            <v>325</v>
          </cell>
          <cell r="H328">
            <v>48</v>
          </cell>
          <cell r="I328">
            <v>2.7474462839027827</v>
          </cell>
          <cell r="J328">
            <v>270</v>
          </cell>
          <cell r="K328" t="str">
            <v>CAN 330</v>
          </cell>
          <cell r="L328" t="str">
            <v>325ml</v>
          </cell>
          <cell r="M328" t="str">
            <v>CSD CAN</v>
          </cell>
          <cell r="N328" t="str">
            <v>Pepsi Cola</v>
          </cell>
          <cell r="V328" t="str">
            <v>23.11.2025</v>
          </cell>
          <cell r="W328">
            <v>45984</v>
          </cell>
        </row>
        <row r="329">
          <cell r="A329" t="str">
            <v>PEPSI MAX 300ML_SUMMER COOLER SET</v>
          </cell>
          <cell r="B329">
            <v>320022531</v>
          </cell>
          <cell r="C329" t="str">
            <v>PEPSI MAX 300ML_SUMMER COOLER SET</v>
          </cell>
          <cell r="D329">
            <v>4</v>
          </cell>
          <cell r="E329">
            <v>3</v>
          </cell>
          <cell r="F329">
            <v>12</v>
          </cell>
          <cell r="G329">
            <v>300</v>
          </cell>
          <cell r="H329">
            <v>12</v>
          </cell>
          <cell r="I329">
            <v>0.6340260655160268</v>
          </cell>
          <cell r="J329">
            <v>120</v>
          </cell>
          <cell r="K329" t="str">
            <v>PET 300 EMN P24</v>
          </cell>
          <cell r="L329" t="str">
            <v>300 ml</v>
          </cell>
          <cell r="M329" t="str">
            <v>CSD PET</v>
          </cell>
          <cell r="N329" t="str">
            <v>Pepsi Max</v>
          </cell>
          <cell r="V329" t="str">
            <v>24.11.2025</v>
          </cell>
          <cell r="W329">
            <v>45985</v>
          </cell>
        </row>
        <row r="330">
          <cell r="A330" t="str">
            <v>LIPTON LEMON 320ML PET 12X_182</v>
          </cell>
          <cell r="B330">
            <v>320022580</v>
          </cell>
          <cell r="C330" t="str">
            <v>LIPTON LEMON 320ML PET 12X_182</v>
          </cell>
          <cell r="D330">
            <v>26</v>
          </cell>
          <cell r="E330">
            <v>7</v>
          </cell>
          <cell r="F330">
            <v>182</v>
          </cell>
          <cell r="G330">
            <v>320</v>
          </cell>
          <cell r="H330">
            <v>12</v>
          </cell>
          <cell r="I330">
            <v>0.67629446988376185</v>
          </cell>
          <cell r="J330">
            <v>270</v>
          </cell>
          <cell r="K330" t="str">
            <v>PET NCB 320</v>
          </cell>
          <cell r="L330" t="str">
            <v>320ml</v>
          </cell>
          <cell r="M330" t="str">
            <v>NCB PET</v>
          </cell>
          <cell r="N330" t="str">
            <v>Lipton</v>
          </cell>
          <cell r="V330" t="str">
            <v>25.11.2025</v>
          </cell>
          <cell r="W330">
            <v>45986</v>
          </cell>
        </row>
        <row r="331">
          <cell r="A331" t="str">
            <v>GATORADE LEMON PET 350ML 10B.12X_182</v>
          </cell>
          <cell r="B331">
            <v>320022627</v>
          </cell>
          <cell r="C331" t="str">
            <v>GATORADE LEMON PET 350ML 10B.12X_182</v>
          </cell>
          <cell r="D331">
            <v>26</v>
          </cell>
          <cell r="E331">
            <v>7</v>
          </cell>
          <cell r="F331">
            <v>182</v>
          </cell>
          <cell r="G331">
            <v>350</v>
          </cell>
          <cell r="H331">
            <v>12</v>
          </cell>
          <cell r="I331">
            <v>0.73969707643536453</v>
          </cell>
          <cell r="J331">
            <v>365</v>
          </cell>
          <cell r="K331" t="str">
            <v>PET GTR 350 P12</v>
          </cell>
          <cell r="L331" t="str">
            <v>350ml</v>
          </cell>
          <cell r="M331" t="str">
            <v>NCB PET</v>
          </cell>
          <cell r="N331" t="str">
            <v>GATORADE</v>
          </cell>
          <cell r="V331" t="str">
            <v>26.11.2025</v>
          </cell>
          <cell r="W331">
            <v>45987</v>
          </cell>
        </row>
        <row r="332">
          <cell r="A332" t="str">
            <v>PEPSI MAX CREAM SODA 345ML PET12X10B_192</v>
          </cell>
          <cell r="B332">
            <v>320022545</v>
          </cell>
          <cell r="C332" t="str">
            <v>PEPSI MAX CREAM SODA 345ML PET12X10B_192</v>
          </cell>
          <cell r="D332">
            <v>32</v>
          </cell>
          <cell r="E332">
            <v>6</v>
          </cell>
          <cell r="F332">
            <v>192</v>
          </cell>
          <cell r="G332">
            <v>345</v>
          </cell>
          <cell r="H332">
            <v>12</v>
          </cell>
          <cell r="I332">
            <v>0.72912997534343083</v>
          </cell>
          <cell r="J332">
            <v>120</v>
          </cell>
          <cell r="K332" t="str">
            <v>PET 350 P12</v>
          </cell>
          <cell r="L332" t="str">
            <v>345 ml</v>
          </cell>
          <cell r="M332" t="str">
            <v>CSD PET</v>
          </cell>
          <cell r="N332" t="str">
            <v>Pepsi Max</v>
          </cell>
          <cell r="V332" t="str">
            <v>27.11.2025</v>
          </cell>
          <cell r="W332">
            <v>45988</v>
          </cell>
        </row>
        <row r="333">
          <cell r="A333" t="str">
            <v>MIRINDA ORANGE 1.45L PET 12X 25B_48</v>
          </cell>
          <cell r="B333">
            <v>320022622</v>
          </cell>
          <cell r="C333" t="str">
            <v>MIRINDA ORANGE 1.45L PET 12X 25B_48</v>
          </cell>
          <cell r="D333">
            <v>12</v>
          </cell>
          <cell r="E333">
            <v>4</v>
          </cell>
          <cell r="F333">
            <v>48</v>
          </cell>
          <cell r="G333">
            <v>1450</v>
          </cell>
          <cell r="H333">
            <v>12</v>
          </cell>
          <cell r="I333">
            <v>3.0644593166607961</v>
          </cell>
          <cell r="J333">
            <v>180</v>
          </cell>
          <cell r="K333" t="str">
            <v>PET 1500</v>
          </cell>
          <cell r="L333" t="str">
            <v>1450 ml</v>
          </cell>
          <cell r="M333" t="str">
            <v>CSD PET</v>
          </cell>
          <cell r="N333" t="str">
            <v>MRD Orange</v>
          </cell>
          <cell r="V333" t="str">
            <v>28.11.2025</v>
          </cell>
          <cell r="W333">
            <v>45989</v>
          </cell>
        </row>
        <row r="334">
          <cell r="A334" t="str">
            <v>MIRINDA STRWB 1.45L PET 12X 25B_48</v>
          </cell>
          <cell r="B334">
            <v>320022623</v>
          </cell>
          <cell r="C334" t="str">
            <v>MIRINDA STRWB 1.45L PET 12X 25B_48</v>
          </cell>
          <cell r="D334">
            <v>12</v>
          </cell>
          <cell r="E334">
            <v>4</v>
          </cell>
          <cell r="F334">
            <v>48</v>
          </cell>
          <cell r="G334">
            <v>1450</v>
          </cell>
          <cell r="H334">
            <v>12</v>
          </cell>
          <cell r="I334">
            <v>3.0644593166607961</v>
          </cell>
          <cell r="J334">
            <v>180</v>
          </cell>
          <cell r="K334" t="str">
            <v>PET 1500</v>
          </cell>
          <cell r="L334" t="str">
            <v>1450 ml</v>
          </cell>
          <cell r="M334" t="str">
            <v>CSD PET</v>
          </cell>
          <cell r="N334" t="str">
            <v>MRD Strawberry</v>
          </cell>
          <cell r="V334" t="str">
            <v>29.11.2025</v>
          </cell>
          <cell r="W334">
            <v>45990</v>
          </cell>
        </row>
        <row r="335">
          <cell r="A335" t="str">
            <v>MIRINDA 325ML CAN 4X MAJOR SET_28</v>
          </cell>
          <cell r="B335">
            <v>320022640</v>
          </cell>
          <cell r="C335" t="str">
            <v>MIRINDA 325ML CAN 4X MAJOR SET_28</v>
          </cell>
          <cell r="D335">
            <v>4</v>
          </cell>
          <cell r="E335">
            <v>7</v>
          </cell>
          <cell r="F335">
            <v>28</v>
          </cell>
          <cell r="G335">
            <v>325</v>
          </cell>
          <cell r="H335">
            <v>32</v>
          </cell>
          <cell r="I335">
            <v>1.8316308559351884</v>
          </cell>
          <cell r="J335">
            <v>270</v>
          </cell>
          <cell r="K335" t="str">
            <v>CAN 330</v>
          </cell>
          <cell r="L335" t="str">
            <v>325 ml</v>
          </cell>
          <cell r="M335" t="str">
            <v>CSD CAN</v>
          </cell>
          <cell r="N335" t="str">
            <v>MRD Strawberry</v>
          </cell>
          <cell r="V335" t="str">
            <v>30.11.2025</v>
          </cell>
          <cell r="W335">
            <v>45991</v>
          </cell>
        </row>
        <row r="336">
          <cell r="A336" t="str">
            <v>MIRINDA GRAPE 345ML PET 12X_192</v>
          </cell>
          <cell r="B336">
            <v>320022641</v>
          </cell>
          <cell r="C336" t="str">
            <v>MIRINDA GRAPE 345ML PET 12X_192</v>
          </cell>
          <cell r="D336">
            <v>32</v>
          </cell>
          <cell r="E336">
            <v>6</v>
          </cell>
          <cell r="F336">
            <v>192</v>
          </cell>
          <cell r="G336">
            <v>345</v>
          </cell>
          <cell r="H336">
            <v>12</v>
          </cell>
          <cell r="I336">
            <v>0.72912997534343083</v>
          </cell>
          <cell r="J336">
            <v>120</v>
          </cell>
          <cell r="K336" t="str">
            <v>PET 350 P12</v>
          </cell>
          <cell r="L336" t="str">
            <v>345 ml</v>
          </cell>
          <cell r="M336" t="str">
            <v>CSD PET</v>
          </cell>
          <cell r="N336" t="str">
            <v>MRD Grape</v>
          </cell>
          <cell r="V336" t="str">
            <v>01.12.2025</v>
          </cell>
          <cell r="W336">
            <v>45992</v>
          </cell>
        </row>
        <row r="337">
          <cell r="A337" t="str">
            <v>PEPSI MAX 550ML BP PET 24X NEW_60</v>
          </cell>
          <cell r="B337">
            <v>320022666</v>
          </cell>
          <cell r="C337" t="str">
            <v>PEPSI MAX 550ML BP PET 24X NEW_60</v>
          </cell>
          <cell r="D337">
            <v>10</v>
          </cell>
          <cell r="E337">
            <v>6</v>
          </cell>
          <cell r="F337">
            <v>60</v>
          </cell>
          <cell r="G337">
            <v>550</v>
          </cell>
          <cell r="H337">
            <v>24</v>
          </cell>
          <cell r="I337">
            <v>2.3247622402254313</v>
          </cell>
          <cell r="J337">
            <v>180</v>
          </cell>
          <cell r="K337" t="str">
            <v>PET 550</v>
          </cell>
          <cell r="L337" t="str">
            <v>550 ml</v>
          </cell>
          <cell r="M337" t="str">
            <v>CSD PET</v>
          </cell>
          <cell r="N337" t="str">
            <v>Pepsi Max</v>
          </cell>
          <cell r="V337" t="str">
            <v>02.12.2025</v>
          </cell>
          <cell r="W337">
            <v>45993</v>
          </cell>
        </row>
        <row r="338">
          <cell r="A338" t="str">
            <v>PEPSI MAX 1.45L BP PET 12X NEW_48</v>
          </cell>
          <cell r="B338">
            <v>320022667</v>
          </cell>
          <cell r="C338" t="str">
            <v>PEPSI MAX 1.45L BP PET 12X NEW_48</v>
          </cell>
          <cell r="D338">
            <v>12</v>
          </cell>
          <cell r="E338">
            <v>4</v>
          </cell>
          <cell r="F338">
            <v>48</v>
          </cell>
          <cell r="G338">
            <v>1450</v>
          </cell>
          <cell r="H338">
            <v>12</v>
          </cell>
          <cell r="I338">
            <v>3.0644593166607961</v>
          </cell>
          <cell r="J338">
            <v>180</v>
          </cell>
          <cell r="K338" t="str">
            <v>PET 1500</v>
          </cell>
          <cell r="L338" t="str">
            <v>1450 ml</v>
          </cell>
          <cell r="M338" t="str">
            <v>CSD PET</v>
          </cell>
          <cell r="N338" t="str">
            <v>Pepsi Max</v>
          </cell>
          <cell r="V338" t="str">
            <v>03.12.2025</v>
          </cell>
          <cell r="W338">
            <v>45994</v>
          </cell>
        </row>
        <row r="339">
          <cell r="A339" t="str">
            <v>PEPSI MAX 345ML BP PET 12X NEW_192</v>
          </cell>
          <cell r="B339">
            <v>320022668</v>
          </cell>
          <cell r="C339" t="str">
            <v>PEPSI MAX 345ML BP PET 12X NEW_192</v>
          </cell>
          <cell r="D339">
            <v>32</v>
          </cell>
          <cell r="E339">
            <v>6</v>
          </cell>
          <cell r="F339">
            <v>192</v>
          </cell>
          <cell r="G339">
            <v>345</v>
          </cell>
          <cell r="H339">
            <v>12</v>
          </cell>
          <cell r="I339">
            <v>0.72912997534343083</v>
          </cell>
          <cell r="J339">
            <v>120</v>
          </cell>
          <cell r="K339" t="str">
            <v>PET 350 P12</v>
          </cell>
          <cell r="L339" t="str">
            <v>345 ml</v>
          </cell>
          <cell r="M339" t="str">
            <v>CSD PET</v>
          </cell>
          <cell r="N339" t="str">
            <v>Pepsi Max</v>
          </cell>
          <cell r="V339" t="str">
            <v>04.12.2025</v>
          </cell>
          <cell r="W339">
            <v>45995</v>
          </cell>
        </row>
        <row r="340">
          <cell r="A340" t="str">
            <v>PEPSI MAX 245ML BP CAN 4X NEW MP_64</v>
          </cell>
          <cell r="B340">
            <v>320022665</v>
          </cell>
          <cell r="C340" t="str">
            <v>PEPSI MAX 245ML BP CAN 4X NEW MP_64</v>
          </cell>
          <cell r="D340">
            <v>16</v>
          </cell>
          <cell r="E340">
            <v>4</v>
          </cell>
          <cell r="F340">
            <v>64</v>
          </cell>
          <cell r="G340">
            <v>245</v>
          </cell>
          <cell r="H340">
            <v>24</v>
          </cell>
          <cell r="I340">
            <v>1.0355759070095103</v>
          </cell>
          <cell r="J340">
            <v>180</v>
          </cell>
          <cell r="K340" t="str">
            <v>CAN 250</v>
          </cell>
          <cell r="L340" t="str">
            <v>245 ml</v>
          </cell>
          <cell r="M340" t="str">
            <v>CSD CAN</v>
          </cell>
          <cell r="N340" t="str">
            <v>Pepsi Max</v>
          </cell>
          <cell r="V340" t="str">
            <v>05.12.2025</v>
          </cell>
          <cell r="W340">
            <v>45996</v>
          </cell>
        </row>
        <row r="341">
          <cell r="A341" t="str">
            <v>PEPSI MAX 325ML BP CAN 4X NEW MP_104</v>
          </cell>
          <cell r="B341">
            <v>320022669</v>
          </cell>
          <cell r="C341" t="str">
            <v>PEPSI MAX 325ML BP CAN 4X NEW MP_104</v>
          </cell>
          <cell r="D341">
            <v>13</v>
          </cell>
          <cell r="E341">
            <v>8</v>
          </cell>
          <cell r="F341">
            <v>104</v>
          </cell>
          <cell r="G341">
            <v>325</v>
          </cell>
          <cell r="H341">
            <v>24</v>
          </cell>
          <cell r="I341">
            <v>1.3737231419513913</v>
          </cell>
          <cell r="J341">
            <v>180</v>
          </cell>
          <cell r="K341" t="str">
            <v>CAN 330</v>
          </cell>
          <cell r="L341" t="str">
            <v>325 ml</v>
          </cell>
          <cell r="M341" t="str">
            <v>CSD CAN</v>
          </cell>
          <cell r="N341" t="str">
            <v>Pepsi Max</v>
          </cell>
          <cell r="V341" t="str">
            <v>06.12.2025</v>
          </cell>
          <cell r="W341">
            <v>45997</v>
          </cell>
        </row>
        <row r="342">
          <cell r="A342" t="str">
            <v>PEPSI MAX 545ML BP PET 24X NEW_60</v>
          </cell>
          <cell r="B342">
            <v>320022671</v>
          </cell>
          <cell r="C342" t="str">
            <v>PEPSI MAX 545ML BP PET 24X NEW_60</v>
          </cell>
          <cell r="D342">
            <v>10</v>
          </cell>
          <cell r="E342">
            <v>6</v>
          </cell>
          <cell r="F342">
            <v>60</v>
          </cell>
          <cell r="G342">
            <v>545</v>
          </cell>
          <cell r="H342">
            <v>24</v>
          </cell>
          <cell r="I342">
            <v>2.3036280380415639</v>
          </cell>
          <cell r="J342">
            <v>180</v>
          </cell>
          <cell r="K342" t="str">
            <v>PET 550</v>
          </cell>
          <cell r="L342" t="str">
            <v>545ml</v>
          </cell>
          <cell r="M342" t="str">
            <v>CSD PET</v>
          </cell>
          <cell r="N342" t="str">
            <v>Pepsi Max</v>
          </cell>
          <cell r="V342" t="str">
            <v>07.12.2025</v>
          </cell>
          <cell r="W342">
            <v>45998</v>
          </cell>
        </row>
        <row r="343">
          <cell r="A343" t="str">
            <v>MIRINDA GREEN CREAM 245ML CAN 4XMP10B_64</v>
          </cell>
          <cell r="B343">
            <v>320022621</v>
          </cell>
          <cell r="C343" t="str">
            <v>MIRINDA GREEN CREAM 245ML CAN 4XMP10B_64</v>
          </cell>
          <cell r="D343">
            <v>16</v>
          </cell>
          <cell r="E343">
            <v>4</v>
          </cell>
          <cell r="F343">
            <v>64</v>
          </cell>
          <cell r="G343">
            <v>245</v>
          </cell>
          <cell r="H343">
            <v>24</v>
          </cell>
          <cell r="I343">
            <v>1.0355759070095103</v>
          </cell>
          <cell r="J343">
            <v>270</v>
          </cell>
          <cell r="K343" t="str">
            <v>CAN 250</v>
          </cell>
          <cell r="L343" t="str">
            <v>245 ml</v>
          </cell>
          <cell r="M343" t="str">
            <v>CSD CAN</v>
          </cell>
          <cell r="N343" t="str">
            <v>MRD Green Cream</v>
          </cell>
          <cell r="V343" t="str">
            <v>08.12.2025</v>
          </cell>
          <cell r="W343">
            <v>45999</v>
          </cell>
        </row>
        <row r="344">
          <cell r="A344" t="str">
            <v>GATORADE 500ML 3X _STAINLESS BOTTLE SET</v>
          </cell>
          <cell r="B344">
            <v>320022625</v>
          </cell>
          <cell r="C344" t="str">
            <v>GATORADE 500ML 3X _STAINLESS BOTTLE SET</v>
          </cell>
          <cell r="D344">
            <v>6</v>
          </cell>
          <cell r="E344">
            <v>4</v>
          </cell>
          <cell r="F344">
            <v>24</v>
          </cell>
          <cell r="G344">
            <v>500</v>
          </cell>
          <cell r="H344">
            <v>18</v>
          </cell>
          <cell r="I344">
            <v>1.585065163790067</v>
          </cell>
          <cell r="J344">
            <v>270</v>
          </cell>
          <cell r="K344" t="str">
            <v>PET GR 500</v>
          </cell>
          <cell r="L344" t="str">
            <v>500ml</v>
          </cell>
          <cell r="M344" t="str">
            <v>NCB PET</v>
          </cell>
          <cell r="N344" t="str">
            <v>GATORADE</v>
          </cell>
          <cell r="V344" t="str">
            <v>09.12.2025</v>
          </cell>
          <cell r="W344">
            <v>46000</v>
          </cell>
        </row>
        <row r="345">
          <cell r="A345" t="str">
            <v>MIRINDA STRWB 245ML CAN 4X MP_64</v>
          </cell>
          <cell r="B345">
            <v>320022632</v>
          </cell>
          <cell r="C345" t="str">
            <v>MIRINDA STRWB 245ML CAN 4X MP_64</v>
          </cell>
          <cell r="D345">
            <v>16</v>
          </cell>
          <cell r="E345">
            <v>4</v>
          </cell>
          <cell r="F345">
            <v>64</v>
          </cell>
          <cell r="G345">
            <v>245</v>
          </cell>
          <cell r="H345">
            <v>24</v>
          </cell>
          <cell r="I345">
            <v>1.0355759070095103</v>
          </cell>
          <cell r="J345">
            <v>270</v>
          </cell>
          <cell r="K345" t="str">
            <v>CAN 250</v>
          </cell>
          <cell r="L345" t="str">
            <v>245 ml</v>
          </cell>
          <cell r="M345" t="str">
            <v>CSD CAN</v>
          </cell>
          <cell r="N345" t="str">
            <v>MRD Strawberry</v>
          </cell>
          <cell r="V345" t="str">
            <v>10.12.2025</v>
          </cell>
          <cell r="W345">
            <v>46001</v>
          </cell>
        </row>
        <row r="346">
          <cell r="A346" t="str">
            <v>MIRINDA ORANGE 245ML CAN 4X MP_64</v>
          </cell>
          <cell r="B346">
            <v>320022633</v>
          </cell>
          <cell r="C346" t="str">
            <v>MIRINDA ORANGE 245ML CAN 4X MP_64</v>
          </cell>
          <cell r="D346">
            <v>16</v>
          </cell>
          <cell r="E346">
            <v>4</v>
          </cell>
          <cell r="F346">
            <v>64</v>
          </cell>
          <cell r="G346">
            <v>245</v>
          </cell>
          <cell r="H346">
            <v>24</v>
          </cell>
          <cell r="I346">
            <v>1.0355759070095103</v>
          </cell>
          <cell r="J346">
            <v>270</v>
          </cell>
          <cell r="K346" t="str">
            <v>CAN 250</v>
          </cell>
          <cell r="L346" t="str">
            <v>245 ml</v>
          </cell>
          <cell r="M346" t="str">
            <v>CSD CAN</v>
          </cell>
          <cell r="N346" t="str">
            <v>MRD Orange</v>
          </cell>
          <cell r="V346" t="str">
            <v>11.12.2025</v>
          </cell>
          <cell r="W346">
            <v>46002</v>
          </cell>
        </row>
        <row r="347">
          <cell r="A347" t="str">
            <v>LIPTON HIBISCUS CHERRY PET445ML 24X_NF60</v>
          </cell>
          <cell r="B347">
            <v>320022582</v>
          </cell>
          <cell r="C347" t="str">
            <v>LIPTON HIBISCUS CHERRY PET445ML 24X_NF60</v>
          </cell>
          <cell r="D347">
            <v>10</v>
          </cell>
          <cell r="E347">
            <v>6</v>
          </cell>
          <cell r="F347">
            <v>60</v>
          </cell>
          <cell r="G347">
            <v>445</v>
          </cell>
          <cell r="H347">
            <v>24</v>
          </cell>
          <cell r="I347">
            <v>1.8809439943642128</v>
          </cell>
          <cell r="J347">
            <v>180</v>
          </cell>
          <cell r="K347" t="str">
            <v>PET NCB 445</v>
          </cell>
          <cell r="L347" t="str">
            <v>445 ml</v>
          </cell>
          <cell r="M347" t="str">
            <v>NCB PET</v>
          </cell>
          <cell r="N347" t="str">
            <v>Lipton</v>
          </cell>
          <cell r="V347" t="str">
            <v>12.12.2025</v>
          </cell>
          <cell r="W347">
            <v>46003</v>
          </cell>
        </row>
        <row r="348">
          <cell r="A348" t="str">
            <v>LIPTON ROOIBOS PEACH PET445ML 24X_NF60</v>
          </cell>
          <cell r="B348">
            <v>320022583</v>
          </cell>
          <cell r="C348" t="str">
            <v>LIPTON ROOIBOS PEACH PET445ML 24X_NF60</v>
          </cell>
          <cell r="D348">
            <v>10</v>
          </cell>
          <cell r="E348">
            <v>6</v>
          </cell>
          <cell r="F348">
            <v>60</v>
          </cell>
          <cell r="G348">
            <v>445</v>
          </cell>
          <cell r="H348">
            <v>24</v>
          </cell>
          <cell r="I348">
            <v>1.8809439943642128</v>
          </cell>
          <cell r="J348">
            <v>180</v>
          </cell>
          <cell r="K348" t="str">
            <v>PET NCB 445</v>
          </cell>
          <cell r="L348" t="str">
            <v>445 ml</v>
          </cell>
          <cell r="M348" t="str">
            <v>NCB PET</v>
          </cell>
          <cell r="N348" t="str">
            <v>Lipton</v>
          </cell>
          <cell r="V348" t="str">
            <v>13.12.2025</v>
          </cell>
          <cell r="W348">
            <v>46004</v>
          </cell>
        </row>
        <row r="349">
          <cell r="A349" t="str">
            <v>PEPSI COLA MID CAL 300ML BP PET 24XBS119</v>
          </cell>
          <cell r="B349">
            <v>320022663</v>
          </cell>
          <cell r="C349" t="str">
            <v>PEPSI COLA MID CAL 300ML BP PET 24XBS119</v>
          </cell>
          <cell r="D349">
            <v>17</v>
          </cell>
          <cell r="E349">
            <v>7</v>
          </cell>
          <cell r="F349">
            <v>119</v>
          </cell>
          <cell r="G349">
            <v>300</v>
          </cell>
          <cell r="H349">
            <v>24</v>
          </cell>
          <cell r="I349">
            <v>1.2680521310320536</v>
          </cell>
          <cell r="J349">
            <v>120</v>
          </cell>
          <cell r="K349" t="str">
            <v>PET 300 EMN P24</v>
          </cell>
          <cell r="L349" t="str">
            <v>300 ml</v>
          </cell>
          <cell r="M349" t="str">
            <v>CSD PET</v>
          </cell>
          <cell r="N349" t="str">
            <v>Pepsi Cola</v>
          </cell>
          <cell r="V349" t="str">
            <v>14.12.2025</v>
          </cell>
          <cell r="W349">
            <v>46005</v>
          </cell>
        </row>
        <row r="350">
          <cell r="A350" t="str">
            <v>PEPSI COLA MID CAL 300ML BP PET 24XCS119</v>
          </cell>
          <cell r="B350">
            <v>320022664</v>
          </cell>
          <cell r="C350" t="str">
            <v>PEPSI COLA MID CAL 300ML BP PET 24XCS119</v>
          </cell>
          <cell r="D350">
            <v>17</v>
          </cell>
          <cell r="E350">
            <v>7</v>
          </cell>
          <cell r="F350">
            <v>119</v>
          </cell>
          <cell r="G350">
            <v>300</v>
          </cell>
          <cell r="H350">
            <v>24</v>
          </cell>
          <cell r="I350">
            <v>1.2680521310320536</v>
          </cell>
          <cell r="J350">
            <v>120</v>
          </cell>
          <cell r="K350" t="str">
            <v>PET 300 EMN P24</v>
          </cell>
          <cell r="L350" t="str">
            <v>300 ml</v>
          </cell>
          <cell r="M350" t="str">
            <v>CSD PET</v>
          </cell>
          <cell r="N350" t="str">
            <v>Pepsi Cola</v>
          </cell>
          <cell r="V350" t="str">
            <v>15.12.2025</v>
          </cell>
          <cell r="W350">
            <v>46006</v>
          </cell>
        </row>
        <row r="351">
          <cell r="A351" t="str">
            <v>PEPSI COLA 345ML BP PET 24X _102</v>
          </cell>
          <cell r="B351">
            <v>320022654</v>
          </cell>
          <cell r="C351" t="str">
            <v>PEPSI COLA 345ML BP PET 24X _102</v>
          </cell>
          <cell r="D351">
            <v>17</v>
          </cell>
          <cell r="E351">
            <v>6</v>
          </cell>
          <cell r="F351">
            <v>102</v>
          </cell>
          <cell r="G351">
            <v>345</v>
          </cell>
          <cell r="H351">
            <v>24</v>
          </cell>
          <cell r="I351">
            <v>1.4582599506868617</v>
          </cell>
          <cell r="J351">
            <v>120</v>
          </cell>
          <cell r="K351" t="str">
            <v>PET 350 P24</v>
          </cell>
          <cell r="L351" t="str">
            <v>345 ml</v>
          </cell>
          <cell r="M351" t="str">
            <v>CSD PET</v>
          </cell>
          <cell r="N351" t="str">
            <v>Pepsi Cola</v>
          </cell>
          <cell r="V351" t="str">
            <v>16.12.2025</v>
          </cell>
          <cell r="W351">
            <v>46007</v>
          </cell>
        </row>
        <row r="352">
          <cell r="A352" t="str">
            <v>PEPSI COLA 345ML BP PET 24X GC_BS_102</v>
          </cell>
          <cell r="B352">
            <v>320022650</v>
          </cell>
          <cell r="C352" t="str">
            <v>PEPSI COLA 345ML BP PET 24X GC_BS_102</v>
          </cell>
          <cell r="D352">
            <v>17</v>
          </cell>
          <cell r="E352">
            <v>6</v>
          </cell>
          <cell r="F352">
            <v>102</v>
          </cell>
          <cell r="G352">
            <v>345</v>
          </cell>
          <cell r="H352">
            <v>24</v>
          </cell>
          <cell r="I352">
            <v>1.4582599506868617</v>
          </cell>
          <cell r="J352">
            <v>120</v>
          </cell>
          <cell r="K352" t="str">
            <v>PET 350 P24</v>
          </cell>
          <cell r="L352" t="str">
            <v>345 ml</v>
          </cell>
          <cell r="M352" t="str">
            <v>CSD PET</v>
          </cell>
          <cell r="N352" t="str">
            <v>Pepsi Cola</v>
          </cell>
          <cell r="V352" t="str">
            <v>17.12.2025</v>
          </cell>
          <cell r="W352">
            <v>46008</v>
          </cell>
        </row>
        <row r="353">
          <cell r="A353" t="str">
            <v>PEPSI COLA 410ML BP PET 24X_72</v>
          </cell>
          <cell r="B353">
            <v>320022649</v>
          </cell>
          <cell r="C353" t="str">
            <v>PEPSI COLA 410ML BP PET 24X_72</v>
          </cell>
          <cell r="D353">
            <v>12</v>
          </cell>
          <cell r="E353">
            <v>6</v>
          </cell>
          <cell r="F353">
            <v>72</v>
          </cell>
          <cell r="G353">
            <v>410</v>
          </cell>
          <cell r="H353">
            <v>24</v>
          </cell>
          <cell r="I353">
            <v>1.7330045790771398</v>
          </cell>
          <cell r="J353">
            <v>180</v>
          </cell>
          <cell r="K353" t="str">
            <v>PET 450</v>
          </cell>
          <cell r="L353" t="str">
            <v>410 ml</v>
          </cell>
          <cell r="M353" t="str">
            <v>CSD PET</v>
          </cell>
          <cell r="N353" t="str">
            <v>Pepsi Cola</v>
          </cell>
          <cell r="V353" t="str">
            <v>18.12.2025</v>
          </cell>
          <cell r="W353">
            <v>46009</v>
          </cell>
        </row>
        <row r="354">
          <cell r="A354" t="str">
            <v>PEPSI COLA 430ML BP PET 24X _75</v>
          </cell>
          <cell r="B354">
            <v>320022656</v>
          </cell>
          <cell r="C354" t="str">
            <v>PEPSI COLA 430ML BP PET 24X _75</v>
          </cell>
          <cell r="D354">
            <v>15</v>
          </cell>
          <cell r="E354">
            <v>5</v>
          </cell>
          <cell r="F354">
            <v>75</v>
          </cell>
          <cell r="G354">
            <v>430</v>
          </cell>
          <cell r="H354">
            <v>24</v>
          </cell>
          <cell r="I354">
            <v>1.8175413878126101</v>
          </cell>
          <cell r="J354">
            <v>180</v>
          </cell>
          <cell r="K354" t="str">
            <v>PET 430</v>
          </cell>
          <cell r="L354" t="str">
            <v>430ml</v>
          </cell>
          <cell r="M354" t="str">
            <v>CSD PET</v>
          </cell>
          <cell r="N354" t="str">
            <v>Pepsi Cola</v>
          </cell>
          <cell r="V354" t="str">
            <v>19.12.2025</v>
          </cell>
          <cell r="W354">
            <v>46010</v>
          </cell>
        </row>
        <row r="355">
          <cell r="A355" t="str">
            <v>PEPSI COLA 430ML BP PET 12X _150</v>
          </cell>
          <cell r="B355">
            <v>320022657</v>
          </cell>
          <cell r="C355" t="str">
            <v>PEPSI COLA 430ML BP PET 12X _150</v>
          </cell>
          <cell r="D355">
            <v>30</v>
          </cell>
          <cell r="E355">
            <v>5</v>
          </cell>
          <cell r="F355">
            <v>150</v>
          </cell>
          <cell r="G355">
            <v>430</v>
          </cell>
          <cell r="H355">
            <v>12</v>
          </cell>
          <cell r="I355">
            <v>0.90877069390630505</v>
          </cell>
          <cell r="J355">
            <v>180</v>
          </cell>
          <cell r="K355" t="str">
            <v>PET 430 P12</v>
          </cell>
          <cell r="L355" t="str">
            <v>430ml</v>
          </cell>
          <cell r="M355" t="str">
            <v>CSD PET</v>
          </cell>
          <cell r="N355" t="str">
            <v>Pepsi Cola</v>
          </cell>
          <cell r="V355" t="str">
            <v>20.12.2025</v>
          </cell>
          <cell r="W355">
            <v>46011</v>
          </cell>
        </row>
        <row r="356">
          <cell r="A356" t="str">
            <v>PEPSI COLA MID CAL 545ML BP PET 24X_60</v>
          </cell>
          <cell r="B356">
            <v>320022670</v>
          </cell>
          <cell r="C356" t="str">
            <v>PEPSI COLA MID CAL 545ML BP PET 24X_60</v>
          </cell>
          <cell r="D356">
            <v>10</v>
          </cell>
          <cell r="E356">
            <v>6</v>
          </cell>
          <cell r="F356">
            <v>60</v>
          </cell>
          <cell r="G356">
            <v>545</v>
          </cell>
          <cell r="H356">
            <v>24</v>
          </cell>
          <cell r="I356">
            <v>2.3036280380415639</v>
          </cell>
          <cell r="J356">
            <v>180</v>
          </cell>
          <cell r="K356" t="str">
            <v>PET 550</v>
          </cell>
          <cell r="L356" t="str">
            <v>550 ml</v>
          </cell>
          <cell r="M356" t="str">
            <v>CSD PET</v>
          </cell>
          <cell r="N356" t="str">
            <v>Pepsi Cola</v>
          </cell>
          <cell r="V356" t="str">
            <v>21.12.2025</v>
          </cell>
          <cell r="W356">
            <v>46012</v>
          </cell>
        </row>
        <row r="357">
          <cell r="A357" t="str">
            <v>PEPSI COLA MID CAL 550ML BP PET 24X_60</v>
          </cell>
          <cell r="B357">
            <v>320022647</v>
          </cell>
          <cell r="C357" t="str">
            <v>PEPSI COLA MID CAL 550ML BP PET 24X_60</v>
          </cell>
          <cell r="D357">
            <v>10</v>
          </cell>
          <cell r="E357">
            <v>6</v>
          </cell>
          <cell r="F357">
            <v>60</v>
          </cell>
          <cell r="G357">
            <v>550</v>
          </cell>
          <cell r="H357">
            <v>24</v>
          </cell>
          <cell r="I357">
            <v>2.3247622402254313</v>
          </cell>
          <cell r="J357">
            <v>180</v>
          </cell>
          <cell r="K357" t="str">
            <v>PET 550</v>
          </cell>
          <cell r="L357" t="str">
            <v>550 ml</v>
          </cell>
          <cell r="M357" t="str">
            <v>CSD PET</v>
          </cell>
          <cell r="N357" t="str">
            <v>Pepsi Cola</v>
          </cell>
          <cell r="V357" t="str">
            <v>22.12.2025</v>
          </cell>
          <cell r="W357">
            <v>46013</v>
          </cell>
        </row>
        <row r="358">
          <cell r="A358" t="str">
            <v>PEPSI COLA MID CAL 640ML BP PET 12X _110</v>
          </cell>
          <cell r="B358">
            <v>320022655</v>
          </cell>
          <cell r="C358" t="str">
            <v>PEPSI COLA MID CAL 640ML BP PET 12X _110</v>
          </cell>
          <cell r="D358">
            <v>22</v>
          </cell>
          <cell r="E358">
            <v>5</v>
          </cell>
          <cell r="F358">
            <v>110</v>
          </cell>
          <cell r="G358">
            <v>640</v>
          </cell>
          <cell r="H358">
            <v>12</v>
          </cell>
          <cell r="I358">
            <v>1.3525889397675237</v>
          </cell>
          <cell r="J358">
            <v>180</v>
          </cell>
          <cell r="K358" t="str">
            <v>PET 640</v>
          </cell>
          <cell r="L358" t="str">
            <v>640 ml</v>
          </cell>
          <cell r="M358" t="str">
            <v>CSD PET</v>
          </cell>
          <cell r="N358" t="str">
            <v>Pepsi Cola</v>
          </cell>
          <cell r="V358" t="str">
            <v>23.12.2025</v>
          </cell>
          <cell r="W358">
            <v>46014</v>
          </cell>
        </row>
        <row r="359">
          <cell r="A359" t="str">
            <v>PEPSI COLA MID CAL 1L BP PET 12X_70</v>
          </cell>
          <cell r="B359">
            <v>320022658</v>
          </cell>
          <cell r="C359" t="str">
            <v>PEPSI COLA MID CAL 1L BP PET 12X_70</v>
          </cell>
          <cell r="D359">
            <v>14</v>
          </cell>
          <cell r="E359">
            <v>5</v>
          </cell>
          <cell r="F359">
            <v>70</v>
          </cell>
          <cell r="G359">
            <v>1000</v>
          </cell>
          <cell r="H359">
            <v>12</v>
          </cell>
          <cell r="I359">
            <v>2.1134202183867559</v>
          </cell>
          <cell r="J359">
            <v>180</v>
          </cell>
          <cell r="K359" t="str">
            <v>PET 1000</v>
          </cell>
          <cell r="L359" t="str">
            <v>1000 ml</v>
          </cell>
          <cell r="M359" t="str">
            <v>CSD PET</v>
          </cell>
          <cell r="N359" t="str">
            <v>Pepsi Cola</v>
          </cell>
          <cell r="V359" t="str">
            <v>24.12.2025</v>
          </cell>
          <cell r="W359">
            <v>46015</v>
          </cell>
        </row>
        <row r="360">
          <cell r="A360" t="str">
            <v>PEPSI COLA MID CAL 1.26L BP PET 12X_48</v>
          </cell>
          <cell r="B360">
            <v>320022659</v>
          </cell>
          <cell r="C360" t="str">
            <v>PEPSI COLA MID CAL 1.26L BP PET 12X_48</v>
          </cell>
          <cell r="D360">
            <v>12</v>
          </cell>
          <cell r="E360">
            <v>4</v>
          </cell>
          <cell r="F360">
            <v>48</v>
          </cell>
          <cell r="G360">
            <v>1260</v>
          </cell>
          <cell r="H360">
            <v>12</v>
          </cell>
          <cell r="I360">
            <v>2.6629094751673126</v>
          </cell>
          <cell r="J360">
            <v>180</v>
          </cell>
          <cell r="K360" t="str">
            <v>PET 1250</v>
          </cell>
          <cell r="L360" t="str">
            <v>1260 ml</v>
          </cell>
          <cell r="M360" t="str">
            <v>CSD PET</v>
          </cell>
          <cell r="N360" t="str">
            <v>Pepsi Cola</v>
          </cell>
          <cell r="V360" t="str">
            <v>25.12.2025</v>
          </cell>
          <cell r="W360">
            <v>46016</v>
          </cell>
        </row>
        <row r="361">
          <cell r="A361" t="str">
            <v>PEPSI COLA MID CAL 1.45L BP PET 12X_48</v>
          </cell>
          <cell r="B361">
            <v>320022660</v>
          </cell>
          <cell r="C361" t="str">
            <v>PEPSI COLA MID CAL 1.45L BP PET 12X_48</v>
          </cell>
          <cell r="D361">
            <v>12</v>
          </cell>
          <cell r="E361">
            <v>4</v>
          </cell>
          <cell r="F361">
            <v>48</v>
          </cell>
          <cell r="G361">
            <v>1450</v>
          </cell>
          <cell r="H361">
            <v>12</v>
          </cell>
          <cell r="I361">
            <v>3.0644593166607961</v>
          </cell>
          <cell r="J361">
            <v>180</v>
          </cell>
          <cell r="K361" t="str">
            <v>PET 1500</v>
          </cell>
          <cell r="L361" t="str">
            <v>1450 ml</v>
          </cell>
          <cell r="M361" t="str">
            <v>CSD PET</v>
          </cell>
          <cell r="N361" t="str">
            <v>Pepsi Cola</v>
          </cell>
          <cell r="V361" t="str">
            <v>26.12.2025</v>
          </cell>
          <cell r="W361">
            <v>46017</v>
          </cell>
        </row>
        <row r="362">
          <cell r="A362" t="str">
            <v>PEPSI COLA MID CAL 1.5L BP PET 12X_48</v>
          </cell>
          <cell r="B362">
            <v>320022661</v>
          </cell>
          <cell r="C362" t="str">
            <v>PEPSI COLA MID CAL 1.5L BP PET 12X_48</v>
          </cell>
          <cell r="D362">
            <v>12</v>
          </cell>
          <cell r="E362">
            <v>4</v>
          </cell>
          <cell r="F362">
            <v>48</v>
          </cell>
          <cell r="G362">
            <v>1500</v>
          </cell>
          <cell r="H362">
            <v>12</v>
          </cell>
          <cell r="I362">
            <v>3.170130327580134</v>
          </cell>
          <cell r="J362">
            <v>180</v>
          </cell>
          <cell r="K362" t="str">
            <v>PET 1500</v>
          </cell>
          <cell r="L362" t="str">
            <v>1500 ml</v>
          </cell>
          <cell r="M362" t="str">
            <v>CSD PET</v>
          </cell>
          <cell r="N362" t="str">
            <v>Pepsi Cola</v>
          </cell>
          <cell r="V362" t="str">
            <v>27.12.2025</v>
          </cell>
          <cell r="W362">
            <v>46018</v>
          </cell>
        </row>
        <row r="363">
          <cell r="A363" t="str">
            <v>PEPSI COLA MID CAL 1.95L BP PET 6X_64</v>
          </cell>
          <cell r="B363">
            <v>320022662</v>
          </cell>
          <cell r="C363" t="str">
            <v>PEPSI COLA MID CAL 1.95L BP PET 6X_64</v>
          </cell>
          <cell r="D363">
            <v>16</v>
          </cell>
          <cell r="E363">
            <v>4</v>
          </cell>
          <cell r="F363">
            <v>64</v>
          </cell>
          <cell r="G363">
            <v>1950</v>
          </cell>
          <cell r="H363">
            <v>6</v>
          </cell>
          <cell r="I363">
            <v>2.0605847129270871</v>
          </cell>
          <cell r="J363">
            <v>180</v>
          </cell>
          <cell r="K363" t="str">
            <v>PET 2000</v>
          </cell>
          <cell r="L363" t="str">
            <v>1950 ml</v>
          </cell>
          <cell r="M363" t="str">
            <v>CSD PET</v>
          </cell>
          <cell r="N363" t="str">
            <v>Pepsi Cola</v>
          </cell>
          <cell r="V363" t="str">
            <v>28.12.2025</v>
          </cell>
          <cell r="W363">
            <v>46019</v>
          </cell>
        </row>
        <row r="364">
          <cell r="A364" t="str">
            <v>PEPSI COLA MID CAL 345ML PET 24X 12B_102</v>
          </cell>
          <cell r="B364">
            <v>320022601</v>
          </cell>
          <cell r="C364" t="str">
            <v>PEPSI COLA MID CAL 345ML PET 24X 12B_102</v>
          </cell>
          <cell r="D364">
            <v>17</v>
          </cell>
          <cell r="E364">
            <v>6</v>
          </cell>
          <cell r="F364">
            <v>102</v>
          </cell>
          <cell r="G364">
            <v>345</v>
          </cell>
          <cell r="H364">
            <v>24</v>
          </cell>
          <cell r="I364">
            <v>1.4582599506868617</v>
          </cell>
          <cell r="J364">
            <v>120</v>
          </cell>
          <cell r="K364" t="str">
            <v>PET 350 P24</v>
          </cell>
          <cell r="L364" t="str">
            <v>345 ml</v>
          </cell>
          <cell r="M364" t="str">
            <v>CSD PET</v>
          </cell>
          <cell r="N364" t="str">
            <v>Pepsi Cola</v>
          </cell>
          <cell r="V364" t="str">
            <v>29.12.2025</v>
          </cell>
          <cell r="W364">
            <v>46020</v>
          </cell>
        </row>
        <row r="365">
          <cell r="A365" t="str">
            <v>PEPSI COLA MID CAL 345ML PET 24X_BS_102</v>
          </cell>
          <cell r="B365">
            <v>320022674</v>
          </cell>
          <cell r="C365" t="str">
            <v>PEPSI COLA MID CAL 345ML PET 24X_BS_102</v>
          </cell>
          <cell r="D365">
            <v>17</v>
          </cell>
          <cell r="E365">
            <v>6</v>
          </cell>
          <cell r="F365">
            <v>102</v>
          </cell>
          <cell r="G365">
            <v>345</v>
          </cell>
          <cell r="H365">
            <v>24</v>
          </cell>
          <cell r="I365">
            <v>1.4582599506868617</v>
          </cell>
          <cell r="J365">
            <v>120</v>
          </cell>
          <cell r="K365" t="str">
            <v>PET 350 P24</v>
          </cell>
          <cell r="L365" t="str">
            <v>345 ml</v>
          </cell>
          <cell r="M365" t="str">
            <v>CSD PET</v>
          </cell>
          <cell r="N365" t="str">
            <v>Pepsi Cola</v>
          </cell>
          <cell r="V365" t="str">
            <v>30.12.2025</v>
          </cell>
          <cell r="W365">
            <v>46021</v>
          </cell>
        </row>
        <row r="366">
          <cell r="A366" t="str">
            <v>PEPSI COLA MID CAL 410ML PET 24X_72</v>
          </cell>
          <cell r="B366">
            <v>320022675</v>
          </cell>
          <cell r="C366" t="str">
            <v>PEPSI COLA MID CAL 410ML PET 24X_72</v>
          </cell>
          <cell r="D366">
            <v>12</v>
          </cell>
          <cell r="E366">
            <v>6</v>
          </cell>
          <cell r="F366">
            <v>72</v>
          </cell>
          <cell r="G366">
            <v>410</v>
          </cell>
          <cell r="H366">
            <v>24</v>
          </cell>
          <cell r="I366">
            <v>1.7330045790771398</v>
          </cell>
          <cell r="J366">
            <v>180</v>
          </cell>
          <cell r="K366" t="str">
            <v>PET 450</v>
          </cell>
          <cell r="L366" t="str">
            <v>410 ml</v>
          </cell>
          <cell r="M366" t="str">
            <v>CSD PET</v>
          </cell>
          <cell r="N366" t="str">
            <v>Pepsi Cola</v>
          </cell>
          <cell r="V366" t="str">
            <v>31.12.2025</v>
          </cell>
          <cell r="W366">
            <v>46022</v>
          </cell>
        </row>
        <row r="367">
          <cell r="A367" t="str">
            <v>PEPSI COLA MID CAL 550ML PET 24X_60</v>
          </cell>
          <cell r="B367">
            <v>320022635</v>
          </cell>
          <cell r="C367" t="str">
            <v>PEPSI COLA MID CAL 550ML PET 24X_60</v>
          </cell>
          <cell r="D367">
            <v>10</v>
          </cell>
          <cell r="E367">
            <v>6</v>
          </cell>
          <cell r="F367">
            <v>60</v>
          </cell>
          <cell r="G367">
            <v>550</v>
          </cell>
          <cell r="H367">
            <v>24</v>
          </cell>
          <cell r="I367">
            <v>2.3247622402254313</v>
          </cell>
          <cell r="J367">
            <v>180</v>
          </cell>
          <cell r="K367" t="str">
            <v>PET 550</v>
          </cell>
          <cell r="L367" t="str">
            <v>550 ml</v>
          </cell>
          <cell r="M367" t="str">
            <v>CSD PET</v>
          </cell>
          <cell r="N367" t="str">
            <v>Pepsi Cola</v>
          </cell>
          <cell r="V367" t="str">
            <v>01.01.2026</v>
          </cell>
          <cell r="W367">
            <v>46023</v>
          </cell>
        </row>
        <row r="368">
          <cell r="A368" t="str">
            <v>MIRINDA ROOTBEER 345ML PET 12X_192</v>
          </cell>
          <cell r="B368">
            <v>320022587</v>
          </cell>
          <cell r="C368" t="str">
            <v>MIRINDA ROOTBEER 345ML PET 12X_192</v>
          </cell>
          <cell r="D368">
            <v>32</v>
          </cell>
          <cell r="E368">
            <v>6</v>
          </cell>
          <cell r="F368">
            <v>192</v>
          </cell>
          <cell r="G368">
            <v>345</v>
          </cell>
          <cell r="H368">
            <v>12</v>
          </cell>
          <cell r="I368">
            <v>0.72912997534343083</v>
          </cell>
          <cell r="J368">
            <v>120</v>
          </cell>
          <cell r="K368" t="str">
            <v>PET 350 P12</v>
          </cell>
          <cell r="L368" t="str">
            <v>345 ml</v>
          </cell>
          <cell r="M368" t="str">
            <v>CSD PET</v>
          </cell>
          <cell r="N368" t="str">
            <v>MRD Rootbeer</v>
          </cell>
          <cell r="V368" t="str">
            <v>02.01.2026</v>
          </cell>
          <cell r="W368">
            <v>46024</v>
          </cell>
        </row>
        <row r="369">
          <cell r="A369" t="str">
            <v>MIRINDA ROOTBEER 440ML PET 24X_72</v>
          </cell>
          <cell r="B369">
            <v>320022588</v>
          </cell>
          <cell r="C369" t="str">
            <v>MIRINDA ROOTBEER 440ML PET 24X_72</v>
          </cell>
          <cell r="D369">
            <v>12</v>
          </cell>
          <cell r="E369">
            <v>6</v>
          </cell>
          <cell r="F369">
            <v>72</v>
          </cell>
          <cell r="G369">
            <v>440</v>
          </cell>
          <cell r="H369">
            <v>24</v>
          </cell>
          <cell r="I369">
            <v>1.8598097921803451</v>
          </cell>
          <cell r="J369">
            <v>180</v>
          </cell>
          <cell r="K369" t="str">
            <v>PET 450</v>
          </cell>
          <cell r="L369" t="str">
            <v>440 ml</v>
          </cell>
          <cell r="M369" t="str">
            <v>CSD PET</v>
          </cell>
          <cell r="N369" t="str">
            <v>MRD Rootbeer</v>
          </cell>
          <cell r="V369" t="str">
            <v>03.01.2026</v>
          </cell>
          <cell r="W369">
            <v>46025</v>
          </cell>
        </row>
        <row r="370">
          <cell r="A370" t="str">
            <v>MIRINDA ROOTBEER 1L PET 12X_70</v>
          </cell>
          <cell r="B370">
            <v>320022673</v>
          </cell>
          <cell r="C370" t="str">
            <v>MIRINDA ROOTBEER 1L PET 12X_70</v>
          </cell>
          <cell r="D370">
            <v>14</v>
          </cell>
          <cell r="E370">
            <v>5</v>
          </cell>
          <cell r="F370">
            <v>70</v>
          </cell>
          <cell r="G370">
            <v>1000</v>
          </cell>
          <cell r="H370">
            <v>12</v>
          </cell>
          <cell r="I370">
            <v>2.1134202183867559</v>
          </cell>
          <cell r="J370">
            <v>180</v>
          </cell>
          <cell r="K370" t="str">
            <v>PET 1000</v>
          </cell>
          <cell r="L370" t="str">
            <v>1000 ml</v>
          </cell>
          <cell r="M370" t="str">
            <v>CSD PET</v>
          </cell>
          <cell r="N370" t="str">
            <v>MRD Rootbeer</v>
          </cell>
          <cell r="V370" t="str">
            <v>04.01.2026</v>
          </cell>
          <cell r="W370">
            <v>46026</v>
          </cell>
        </row>
        <row r="371">
          <cell r="A371" t="str">
            <v>LIPTON LEMON ZERO SUGAR 320ML PET12X_182</v>
          </cell>
          <cell r="B371">
            <v>320022644</v>
          </cell>
          <cell r="C371" t="str">
            <v>LIPTON LEMON ZERO SUGAR 320ML PET12X_182</v>
          </cell>
          <cell r="D371">
            <v>26</v>
          </cell>
          <cell r="E371">
            <v>7</v>
          </cell>
          <cell r="F371">
            <v>182</v>
          </cell>
          <cell r="G371">
            <v>320</v>
          </cell>
          <cell r="H371">
            <v>12</v>
          </cell>
          <cell r="I371">
            <v>0.67629446988376185</v>
          </cell>
          <cell r="J371">
            <v>180</v>
          </cell>
          <cell r="K371" t="str">
            <v>PET NCB 320</v>
          </cell>
          <cell r="L371" t="str">
            <v>320ml</v>
          </cell>
          <cell r="M371" t="str">
            <v>NCB PET</v>
          </cell>
          <cell r="N371" t="str">
            <v>Lipton</v>
          </cell>
          <cell r="V371" t="str">
            <v>05.01.2026</v>
          </cell>
          <cell r="W371">
            <v>46027</v>
          </cell>
        </row>
        <row r="372">
          <cell r="A372" t="str">
            <v>LIPTON LEMON ZERO SUGAR445ML PET24X_NF60</v>
          </cell>
          <cell r="B372">
            <v>320022594</v>
          </cell>
          <cell r="C372" t="str">
            <v>LIPTON LEMON ZERO SUGAR445ML PET24X_NF60</v>
          </cell>
          <cell r="D372">
            <v>10</v>
          </cell>
          <cell r="E372">
            <v>6</v>
          </cell>
          <cell r="F372">
            <v>60</v>
          </cell>
          <cell r="G372">
            <v>445</v>
          </cell>
          <cell r="H372">
            <v>24</v>
          </cell>
          <cell r="I372">
            <v>1.8809439943642128</v>
          </cell>
          <cell r="J372">
            <v>180</v>
          </cell>
          <cell r="K372" t="str">
            <v>PET NCB 445</v>
          </cell>
          <cell r="L372" t="str">
            <v>445 ml</v>
          </cell>
          <cell r="M372" t="str">
            <v>NCB PET</v>
          </cell>
          <cell r="N372" t="str">
            <v>Lipton</v>
          </cell>
          <cell r="V372" t="str">
            <v>06.01.2026</v>
          </cell>
          <cell r="W372">
            <v>46028</v>
          </cell>
        </row>
        <row r="373">
          <cell r="A373" t="str">
            <v>TEA PLUS OOLONG NO SUGAR490ML PET4XMP_70</v>
          </cell>
          <cell r="B373">
            <v>320022643</v>
          </cell>
          <cell r="C373" t="str">
            <v>TEA PLUS OOLONG NO SUGAR490ML PET4XMP_70</v>
          </cell>
          <cell r="D373">
            <v>10</v>
          </cell>
          <cell r="E373">
            <v>7</v>
          </cell>
          <cell r="F373">
            <v>70</v>
          </cell>
          <cell r="G373">
            <v>490</v>
          </cell>
          <cell r="H373">
            <v>24</v>
          </cell>
          <cell r="I373">
            <v>2.0711518140190206</v>
          </cell>
          <cell r="J373">
            <v>365</v>
          </cell>
          <cell r="K373" t="str">
            <v>PET TEA+ 500</v>
          </cell>
          <cell r="L373" t="str">
            <v>490 ml</v>
          </cell>
          <cell r="M373" t="str">
            <v>NCB PET</v>
          </cell>
          <cell r="N373" t="str">
            <v>TEA PLUS</v>
          </cell>
          <cell r="V373" t="str">
            <v>07.01.2026</v>
          </cell>
          <cell r="W373">
            <v>46029</v>
          </cell>
        </row>
        <row r="374">
          <cell r="A374" t="str">
            <v>TEA PLUS OOLONG NO SUGAR 500ML PET24X_70</v>
          </cell>
          <cell r="B374">
            <v>320022598</v>
          </cell>
          <cell r="C374" t="str">
            <v>TEA PLUS OOLONG NO SUGAR 500ML PET24X_70</v>
          </cell>
          <cell r="D374">
            <v>10</v>
          </cell>
          <cell r="E374">
            <v>7</v>
          </cell>
          <cell r="F374">
            <v>70</v>
          </cell>
          <cell r="G374">
            <v>500</v>
          </cell>
          <cell r="H374">
            <v>24</v>
          </cell>
          <cell r="I374">
            <v>2.1134202183867559</v>
          </cell>
          <cell r="J374">
            <v>365</v>
          </cell>
          <cell r="K374" t="str">
            <v>PET TEA+ 500</v>
          </cell>
          <cell r="L374" t="str">
            <v>500 ml</v>
          </cell>
          <cell r="M374" t="str">
            <v>NCB PET</v>
          </cell>
          <cell r="N374" t="str">
            <v>TEA PLUS</v>
          </cell>
          <cell r="V374" t="str">
            <v>08.01.2026</v>
          </cell>
          <cell r="W374">
            <v>46030</v>
          </cell>
        </row>
        <row r="375">
          <cell r="A375" t="str">
            <v>TEA PLUS OOLONG TASTY 490ML PET 4X MP_70</v>
          </cell>
          <cell r="B375">
            <v>320022642</v>
          </cell>
          <cell r="C375" t="str">
            <v>TEA PLUS OOLONG TASTY 490ML PET 4X MP_70</v>
          </cell>
          <cell r="D375">
            <v>10</v>
          </cell>
          <cell r="E375">
            <v>7</v>
          </cell>
          <cell r="F375">
            <v>70</v>
          </cell>
          <cell r="G375">
            <v>490</v>
          </cell>
          <cell r="H375">
            <v>24</v>
          </cell>
          <cell r="I375">
            <v>2.0711518140190206</v>
          </cell>
          <cell r="J375">
            <v>365</v>
          </cell>
          <cell r="K375" t="str">
            <v>PET TEA+ 500</v>
          </cell>
          <cell r="L375" t="str">
            <v>490 ml</v>
          </cell>
          <cell r="M375" t="str">
            <v>NCB PET</v>
          </cell>
          <cell r="N375" t="str">
            <v>TEA PLUS</v>
          </cell>
          <cell r="V375" t="str">
            <v>09.01.2026</v>
          </cell>
          <cell r="W375">
            <v>46031</v>
          </cell>
        </row>
        <row r="376">
          <cell r="A376" t="str">
            <v>TEA PLUS OOLONG TASTY 500ML PET 24X_70</v>
          </cell>
          <cell r="B376">
            <v>320022600</v>
          </cell>
          <cell r="C376" t="str">
            <v>TEA PLUS OOLONG TASTY 500ML PET 24X_70</v>
          </cell>
          <cell r="D376">
            <v>10</v>
          </cell>
          <cell r="E376">
            <v>7</v>
          </cell>
          <cell r="F376">
            <v>70</v>
          </cell>
          <cell r="G376">
            <v>500</v>
          </cell>
          <cell r="H376">
            <v>24</v>
          </cell>
          <cell r="I376">
            <v>2.1134202183867559</v>
          </cell>
          <cell r="J376">
            <v>365</v>
          </cell>
          <cell r="K376" t="str">
            <v>PET TEA+ 500</v>
          </cell>
          <cell r="L376" t="str">
            <v>500 ml</v>
          </cell>
          <cell r="M376" t="str">
            <v>NCB PET</v>
          </cell>
          <cell r="N376" t="str">
            <v>TEA PLUS</v>
          </cell>
          <cell r="V376" t="str">
            <v>10.01.2026</v>
          </cell>
          <cell r="W376">
            <v>46032</v>
          </cell>
        </row>
        <row r="377">
          <cell r="A377" t="str">
            <v>BOSS MILDLY SWEET 250ML PET 24X_96</v>
          </cell>
          <cell r="B377">
            <v>320022570</v>
          </cell>
          <cell r="C377" t="str">
            <v>BOSS MILDLY SWEET 250ML PET 24X_96</v>
          </cell>
          <cell r="D377">
            <v>12</v>
          </cell>
          <cell r="E377">
            <v>8</v>
          </cell>
          <cell r="F377">
            <v>96</v>
          </cell>
          <cell r="G377">
            <v>250</v>
          </cell>
          <cell r="H377">
            <v>24</v>
          </cell>
          <cell r="I377">
            <v>1.0567101091933779</v>
          </cell>
          <cell r="J377">
            <v>365</v>
          </cell>
          <cell r="K377" t="str">
            <v>PET COFF 250</v>
          </cell>
          <cell r="L377" t="str">
            <v>250 ml</v>
          </cell>
          <cell r="M377" t="str">
            <v>NCB PET</v>
          </cell>
          <cell r="N377" t="str">
            <v>BOSS COFFEE</v>
          </cell>
          <cell r="V377" t="str">
            <v>11.01.2026</v>
          </cell>
          <cell r="W377">
            <v>46033</v>
          </cell>
        </row>
        <row r="378">
          <cell r="A378" t="str">
            <v>BOSS JUST MIX NO SUGAR 380ML 12X_150</v>
          </cell>
          <cell r="B378">
            <v>320023103</v>
          </cell>
          <cell r="C378" t="str">
            <v>BOSS JUST MIX NO SUGAR 380ML 12X_150</v>
          </cell>
          <cell r="D378">
            <v>25</v>
          </cell>
          <cell r="E378">
            <v>6</v>
          </cell>
          <cell r="F378">
            <v>150</v>
          </cell>
          <cell r="G378">
            <v>380</v>
          </cell>
          <cell r="H378">
            <v>24</v>
          </cell>
          <cell r="I378">
            <v>1.6061993659739344</v>
          </cell>
          <cell r="J378">
            <v>365</v>
          </cell>
          <cell r="K378" t="str">
            <v>PET COFF 380</v>
          </cell>
          <cell r="L378" t="str">
            <v>380 ml</v>
          </cell>
          <cell r="M378" t="str">
            <v>NCB PET</v>
          </cell>
          <cell r="N378" t="str">
            <v>BOSS COFFEE</v>
          </cell>
          <cell r="V378" t="str">
            <v>12.01.2026</v>
          </cell>
          <cell r="W378">
            <v>46034</v>
          </cell>
        </row>
        <row r="379">
          <cell r="A379" t="str">
            <v>BOSS BLACK NO SUGAR 250ML PET 24X_96</v>
          </cell>
          <cell r="B379">
            <v>320022569</v>
          </cell>
          <cell r="C379" t="str">
            <v>BOSS BLACK NO SUGAR 250ML PET 24X_96</v>
          </cell>
          <cell r="D379">
            <v>12</v>
          </cell>
          <cell r="E379">
            <v>8</v>
          </cell>
          <cell r="F379">
            <v>96</v>
          </cell>
          <cell r="G379">
            <v>250</v>
          </cell>
          <cell r="H379">
            <v>24</v>
          </cell>
          <cell r="I379">
            <v>1.0567101091933779</v>
          </cell>
          <cell r="J379">
            <v>365</v>
          </cell>
          <cell r="K379" t="str">
            <v>PET COFF 250</v>
          </cell>
          <cell r="L379" t="str">
            <v>250 ml</v>
          </cell>
          <cell r="M379" t="str">
            <v>NCB PET</v>
          </cell>
          <cell r="N379" t="str">
            <v>BOSS COFFEE</v>
          </cell>
          <cell r="V379" t="str">
            <v>13.01.2026</v>
          </cell>
          <cell r="W379">
            <v>46035</v>
          </cell>
        </row>
        <row r="380">
          <cell r="A380" t="str">
            <v>BOSS JUST MIX SWEET 380ML 12X_150</v>
          </cell>
          <cell r="B380">
            <v>320023104</v>
          </cell>
          <cell r="C380" t="str">
            <v>BOSS JUST MIX SWEET 380ML 12X_150</v>
          </cell>
          <cell r="D380">
            <v>25</v>
          </cell>
          <cell r="E380">
            <v>6</v>
          </cell>
          <cell r="F380">
            <v>150</v>
          </cell>
          <cell r="G380">
            <v>380</v>
          </cell>
          <cell r="H380">
            <v>24</v>
          </cell>
          <cell r="I380">
            <v>1.6061993659739344</v>
          </cell>
          <cell r="J380">
            <v>365</v>
          </cell>
          <cell r="K380" t="str">
            <v>PET COFF 380</v>
          </cell>
          <cell r="L380" t="str">
            <v>380 ml</v>
          </cell>
          <cell r="M380" t="str">
            <v>NCB PET</v>
          </cell>
          <cell r="N380" t="str">
            <v>BOSS COFFEE</v>
          </cell>
          <cell r="V380" t="str">
            <v>14.01.2026</v>
          </cell>
          <cell r="W380">
            <v>46036</v>
          </cell>
        </row>
        <row r="381">
          <cell r="A381" t="str">
            <v>PEPSI COLA 245ML BP CAN 24X_144</v>
          </cell>
          <cell r="B381">
            <v>320022648</v>
          </cell>
          <cell r="C381" t="str">
            <v>PEPSI COLA 245ML BP CAN 24X_144</v>
          </cell>
          <cell r="D381">
            <v>16</v>
          </cell>
          <cell r="E381">
            <v>9</v>
          </cell>
          <cell r="F381">
            <v>144</v>
          </cell>
          <cell r="G381">
            <v>245</v>
          </cell>
          <cell r="H381">
            <v>24</v>
          </cell>
          <cell r="I381">
            <v>1.0355759070095103</v>
          </cell>
          <cell r="J381">
            <v>270</v>
          </cell>
          <cell r="K381" t="str">
            <v>CAN 250</v>
          </cell>
          <cell r="L381" t="str">
            <v>245 ml</v>
          </cell>
          <cell r="M381" t="str">
            <v>CSD CAN</v>
          </cell>
          <cell r="N381" t="str">
            <v>Pepsi Cola</v>
          </cell>
          <cell r="V381" t="str">
            <v>15.01.2026</v>
          </cell>
          <cell r="W381">
            <v>46037</v>
          </cell>
        </row>
        <row r="382">
          <cell r="A382" t="str">
            <v>PEPSI COLA 245ML BP CAN 4X MP_144</v>
          </cell>
          <cell r="B382">
            <v>320022653</v>
          </cell>
          <cell r="C382" t="str">
            <v>PEPSI COLA 245ML BP CAN 4X MP_144</v>
          </cell>
          <cell r="D382">
            <v>16</v>
          </cell>
          <cell r="E382">
            <v>9</v>
          </cell>
          <cell r="F382">
            <v>144</v>
          </cell>
          <cell r="G382">
            <v>245</v>
          </cell>
          <cell r="H382">
            <v>24</v>
          </cell>
          <cell r="I382">
            <v>1.0355759070095103</v>
          </cell>
          <cell r="J382">
            <v>270</v>
          </cell>
          <cell r="K382" t="str">
            <v>CAN 250</v>
          </cell>
          <cell r="L382" t="str">
            <v>245 ml</v>
          </cell>
          <cell r="M382" t="str">
            <v>CSD CAN</v>
          </cell>
          <cell r="N382" t="str">
            <v>Pepsi Cola</v>
          </cell>
          <cell r="V382" t="str">
            <v>16.01.2026</v>
          </cell>
          <cell r="W382">
            <v>46038</v>
          </cell>
        </row>
        <row r="383">
          <cell r="A383" t="str">
            <v>PEPSI COLA 325ML BP CAN 24X_104</v>
          </cell>
          <cell r="B383">
            <v>320022652</v>
          </cell>
          <cell r="C383" t="str">
            <v>PEPSI COLA 325ML BP CAN 24X_104</v>
          </cell>
          <cell r="D383">
            <v>13</v>
          </cell>
          <cell r="E383">
            <v>8</v>
          </cell>
          <cell r="F383">
            <v>104</v>
          </cell>
          <cell r="G383">
            <v>325</v>
          </cell>
          <cell r="H383">
            <v>24</v>
          </cell>
          <cell r="I383">
            <v>1.3737231419513913</v>
          </cell>
          <cell r="J383">
            <v>270</v>
          </cell>
          <cell r="K383" t="str">
            <v>CAN 330</v>
          </cell>
          <cell r="L383" t="str">
            <v>325 ml</v>
          </cell>
          <cell r="M383" t="str">
            <v>CSD CAN</v>
          </cell>
          <cell r="N383" t="str">
            <v>Pepsi Cola</v>
          </cell>
          <cell r="V383" t="str">
            <v>17.01.2026</v>
          </cell>
          <cell r="W383">
            <v>46039</v>
          </cell>
        </row>
        <row r="384">
          <cell r="A384" t="str">
            <v>PEPSI COLA 325ML BP CAN 4X MP_104</v>
          </cell>
          <cell r="B384">
            <v>320022651</v>
          </cell>
          <cell r="C384" t="str">
            <v>PEPSI COLA 325ML BP CAN 4X MP_104</v>
          </cell>
          <cell r="D384">
            <v>13</v>
          </cell>
          <cell r="E384">
            <v>8</v>
          </cell>
          <cell r="F384">
            <v>104</v>
          </cell>
          <cell r="G384">
            <v>325</v>
          </cell>
          <cell r="H384">
            <v>24</v>
          </cell>
          <cell r="I384">
            <v>1.3737231419513913</v>
          </cell>
          <cell r="J384">
            <v>270</v>
          </cell>
          <cell r="K384" t="str">
            <v>CAN 330</v>
          </cell>
          <cell r="L384" t="str">
            <v>325 ml</v>
          </cell>
          <cell r="M384" t="str">
            <v>CSD CAN</v>
          </cell>
          <cell r="N384" t="str">
            <v>Pepsi Cola</v>
          </cell>
          <cell r="V384" t="str">
            <v>18.01.2026</v>
          </cell>
          <cell r="W384">
            <v>46040</v>
          </cell>
        </row>
        <row r="385">
          <cell r="A385" t="str">
            <v>7UP FREE 10L BIB 1X</v>
          </cell>
          <cell r="B385">
            <v>320022672</v>
          </cell>
          <cell r="C385" t="str">
            <v>7UP FREE 10L BIB 1X</v>
          </cell>
          <cell r="D385">
            <v>12</v>
          </cell>
          <cell r="E385">
            <v>4</v>
          </cell>
          <cell r="F385">
            <v>48</v>
          </cell>
          <cell r="G385">
            <v>10000</v>
          </cell>
          <cell r="H385">
            <v>6</v>
          </cell>
          <cell r="I385">
            <v>10.567101091933779</v>
          </cell>
          <cell r="J385">
            <v>120</v>
          </cell>
          <cell r="K385" t="str">
            <v>BIB 10L</v>
          </cell>
          <cell r="L385" t="str">
            <v>10 L</v>
          </cell>
          <cell r="M385" t="str">
            <v>CSD PMX</v>
          </cell>
          <cell r="N385" t="str">
            <v>7-Up</v>
          </cell>
          <cell r="V385" t="str">
            <v>19.01.2026</v>
          </cell>
          <cell r="W385">
            <v>46041</v>
          </cell>
        </row>
        <row r="386">
          <cell r="A386" t="str">
            <v>PEPSI MAX 1L PET 12X NEW_70</v>
          </cell>
          <cell r="B386">
            <v>320010400</v>
          </cell>
          <cell r="C386" t="str">
            <v>PEPSI MAX 1L PET 12X NEW_70</v>
          </cell>
          <cell r="D386">
            <v>14</v>
          </cell>
          <cell r="E386">
            <v>5</v>
          </cell>
          <cell r="F386">
            <v>70</v>
          </cell>
          <cell r="G386">
            <v>1000</v>
          </cell>
          <cell r="H386">
            <v>12</v>
          </cell>
          <cell r="I386">
            <v>2.1134202183867559</v>
          </cell>
          <cell r="J386">
            <v>180</v>
          </cell>
          <cell r="K386" t="str">
            <v>PET 1000</v>
          </cell>
          <cell r="L386" t="str">
            <v>1000 ml</v>
          </cell>
          <cell r="M386" t="str">
            <v>CSD PET</v>
          </cell>
          <cell r="N386" t="str">
            <v>Pepsi Max</v>
          </cell>
          <cell r="V386" t="str">
            <v>20.01.2026</v>
          </cell>
          <cell r="W386">
            <v>46042</v>
          </cell>
        </row>
        <row r="387">
          <cell r="A387" t="str">
            <v>PEPSI MAX 330ML PET 24X NEW_91</v>
          </cell>
          <cell r="B387">
            <v>320022646</v>
          </cell>
          <cell r="C387" t="str">
            <v>PEPSI MAX 330ML PET 24X NEW_91</v>
          </cell>
          <cell r="D387">
            <v>13</v>
          </cell>
          <cell r="E387">
            <v>7</v>
          </cell>
          <cell r="F387">
            <v>91</v>
          </cell>
          <cell r="G387">
            <v>330</v>
          </cell>
          <cell r="H387">
            <v>24</v>
          </cell>
          <cell r="I387">
            <v>1.394857344135259</v>
          </cell>
          <cell r="J387">
            <v>120</v>
          </cell>
          <cell r="K387" t="str">
            <v>PET 350 P24</v>
          </cell>
          <cell r="L387" t="str">
            <v>330 ml</v>
          </cell>
          <cell r="M387" t="str">
            <v>CSD PET</v>
          </cell>
          <cell r="N387" t="str">
            <v>Pepsi Max</v>
          </cell>
          <cell r="V387" t="str">
            <v>21.01.2026</v>
          </cell>
          <cell r="W387">
            <v>46043</v>
          </cell>
        </row>
        <row r="388">
          <cell r="A388" t="str">
            <v>AQUAFINA MINERAL WATER 1.5L PET_112</v>
          </cell>
          <cell r="B388">
            <v>320022624</v>
          </cell>
          <cell r="C388" t="str">
            <v>AQUAFINA MINERAL WATER 1.5L PET_112</v>
          </cell>
          <cell r="D388">
            <v>28</v>
          </cell>
          <cell r="E388">
            <v>4</v>
          </cell>
          <cell r="F388">
            <v>112</v>
          </cell>
          <cell r="G388">
            <v>1500</v>
          </cell>
          <cell r="H388">
            <v>6</v>
          </cell>
          <cell r="I388">
            <v>1.585065163790067</v>
          </cell>
          <cell r="J388">
            <v>365</v>
          </cell>
          <cell r="K388" t="str">
            <v>MINERAL 1500</v>
          </cell>
          <cell r="L388" t="str">
            <v>1500 ml</v>
          </cell>
          <cell r="M388" t="str">
            <v>WATER PET</v>
          </cell>
          <cell r="N388" t="str">
            <v>Water</v>
          </cell>
          <cell r="V388" t="str">
            <v>22.01.2026</v>
          </cell>
          <cell r="W388">
            <v>46044</v>
          </cell>
        </row>
        <row r="389">
          <cell r="A389" t="str">
            <v>PEPSI COLA MID CAL 245ML CAN 24X_144</v>
          </cell>
          <cell r="B389">
            <v>320022676</v>
          </cell>
          <cell r="C389" t="str">
            <v>PEPSI COLA MID CAL 245ML CAN 24X_144</v>
          </cell>
          <cell r="D389">
            <v>16</v>
          </cell>
          <cell r="E389">
            <v>9</v>
          </cell>
          <cell r="F389">
            <v>144</v>
          </cell>
          <cell r="G389">
            <v>245</v>
          </cell>
          <cell r="H389">
            <v>24</v>
          </cell>
          <cell r="I389">
            <v>1.0355759070095103</v>
          </cell>
          <cell r="J389">
            <v>270</v>
          </cell>
          <cell r="K389" t="str">
            <v>CAN 250</v>
          </cell>
          <cell r="L389" t="str">
            <v>245 ml</v>
          </cell>
          <cell r="M389" t="str">
            <v>CSD CAN</v>
          </cell>
          <cell r="N389" t="str">
            <v>Pepsi Cola</v>
          </cell>
          <cell r="V389" t="str">
            <v>23.01.2026</v>
          </cell>
          <cell r="W389">
            <v>46045</v>
          </cell>
        </row>
        <row r="390">
          <cell r="A390" t="str">
            <v>PEPSI COLA MID CAL 245ML CAN 4X MP_144</v>
          </cell>
          <cell r="B390">
            <v>320022677</v>
          </cell>
          <cell r="C390" t="str">
            <v>PEPSI COLA MID CAL 245ML CAN 4X MP_144</v>
          </cell>
          <cell r="D390">
            <v>16</v>
          </cell>
          <cell r="E390">
            <v>9</v>
          </cell>
          <cell r="F390">
            <v>144</v>
          </cell>
          <cell r="G390">
            <v>245</v>
          </cell>
          <cell r="H390">
            <v>24</v>
          </cell>
          <cell r="I390">
            <v>1.0355759070095103</v>
          </cell>
          <cell r="J390">
            <v>270</v>
          </cell>
          <cell r="K390" t="str">
            <v>CAN 250</v>
          </cell>
          <cell r="L390" t="str">
            <v>245 ml</v>
          </cell>
          <cell r="M390" t="str">
            <v>CSD CAN</v>
          </cell>
          <cell r="N390" t="str">
            <v>Pepsi Cola</v>
          </cell>
          <cell r="V390" t="str">
            <v>24.01.2026</v>
          </cell>
          <cell r="W390">
            <v>46046</v>
          </cell>
        </row>
        <row r="391">
          <cell r="A391" t="str">
            <v>PEPSI COLA MID CAL 325ML CAN 24X_104</v>
          </cell>
          <cell r="B391">
            <v>320022679</v>
          </cell>
          <cell r="C391" t="str">
            <v>PEPSI COLA MID CAL 325ML CAN 24X_104</v>
          </cell>
          <cell r="D391">
            <v>13</v>
          </cell>
          <cell r="E391">
            <v>8</v>
          </cell>
          <cell r="F391">
            <v>104</v>
          </cell>
          <cell r="G391">
            <v>325</v>
          </cell>
          <cell r="H391">
            <v>24</v>
          </cell>
          <cell r="I391">
            <v>1.3737231419513913</v>
          </cell>
          <cell r="J391">
            <v>270</v>
          </cell>
          <cell r="K391" t="str">
            <v>CAN 330</v>
          </cell>
          <cell r="L391" t="str">
            <v>325 ml</v>
          </cell>
          <cell r="M391" t="str">
            <v>CSD CAN</v>
          </cell>
          <cell r="N391" t="str">
            <v>Pepsi Cola</v>
          </cell>
          <cell r="V391" t="str">
            <v>25.01.2026</v>
          </cell>
          <cell r="W391">
            <v>46047</v>
          </cell>
        </row>
        <row r="392">
          <cell r="A392" t="str">
            <v>PEPSI COLA MID CAL 325ML CAN4X 5+1MP_104</v>
          </cell>
          <cell r="B392">
            <v>320022683</v>
          </cell>
          <cell r="C392" t="str">
            <v>PEPSI COLA MID CAL 325ML CAN4X 5+1MP_104</v>
          </cell>
          <cell r="D392">
            <v>13</v>
          </cell>
          <cell r="E392">
            <v>8</v>
          </cell>
          <cell r="F392">
            <v>104</v>
          </cell>
          <cell r="G392">
            <v>325</v>
          </cell>
          <cell r="H392">
            <v>24</v>
          </cell>
          <cell r="I392">
            <v>1.3737231419513913</v>
          </cell>
          <cell r="J392">
            <v>270</v>
          </cell>
          <cell r="K392" t="str">
            <v>CAN 330</v>
          </cell>
          <cell r="L392" t="str">
            <v>325 ml</v>
          </cell>
          <cell r="M392" t="str">
            <v>CSD CAN</v>
          </cell>
          <cell r="N392" t="str">
            <v>Pepsi Cola</v>
          </cell>
          <cell r="V392" t="str">
            <v>26.01.2026</v>
          </cell>
          <cell r="W392">
            <v>46048</v>
          </cell>
        </row>
        <row r="393">
          <cell r="A393" t="str">
            <v>PEPSI COLA MID CAL 325ML CAN 4X MP_104</v>
          </cell>
          <cell r="B393">
            <v>320022678</v>
          </cell>
          <cell r="C393" t="str">
            <v>PEPSI COLA MID CAL 325ML CAN 4X MP_104</v>
          </cell>
          <cell r="D393">
            <v>13</v>
          </cell>
          <cell r="E393">
            <v>8</v>
          </cell>
          <cell r="F393">
            <v>104</v>
          </cell>
          <cell r="G393">
            <v>325</v>
          </cell>
          <cell r="H393">
            <v>24</v>
          </cell>
          <cell r="I393">
            <v>1.3737231419513913</v>
          </cell>
          <cell r="J393">
            <v>270</v>
          </cell>
          <cell r="K393" t="str">
            <v>CAN 330</v>
          </cell>
          <cell r="L393" t="str">
            <v>325 ml</v>
          </cell>
          <cell r="M393" t="str">
            <v>CSD CAN</v>
          </cell>
          <cell r="N393" t="str">
            <v>Pepsi Cola</v>
          </cell>
          <cell r="V393" t="str">
            <v>27.01.2026</v>
          </cell>
          <cell r="W393">
            <v>46049</v>
          </cell>
        </row>
        <row r="394">
          <cell r="A394" t="str">
            <v>PEPSI COLA MID CAL 640ML PET 12X _110</v>
          </cell>
          <cell r="B394">
            <v>320022604</v>
          </cell>
          <cell r="C394" t="str">
            <v>PEPSI COLA MID CAL 640ML PET 12X _110</v>
          </cell>
          <cell r="D394">
            <v>22</v>
          </cell>
          <cell r="E394">
            <v>5</v>
          </cell>
          <cell r="F394">
            <v>110</v>
          </cell>
          <cell r="G394">
            <v>640</v>
          </cell>
          <cell r="H394">
            <v>12</v>
          </cell>
          <cell r="I394">
            <v>1.3525889397675237</v>
          </cell>
          <cell r="J394">
            <v>180</v>
          </cell>
          <cell r="K394" t="str">
            <v>PET 640</v>
          </cell>
          <cell r="L394" t="str">
            <v>640 ml</v>
          </cell>
          <cell r="M394" t="str">
            <v>CSD PET</v>
          </cell>
          <cell r="N394" t="str">
            <v>Pepsi Cola</v>
          </cell>
          <cell r="V394" t="str">
            <v>28.01.2026</v>
          </cell>
          <cell r="W394">
            <v>46050</v>
          </cell>
        </row>
        <row r="395">
          <cell r="A395" t="str">
            <v>PEPSI COLA MID CAL 430ML PET 24X _75</v>
          </cell>
          <cell r="B395">
            <v>320022602</v>
          </cell>
          <cell r="C395" t="str">
            <v>PEPSI COLA MID CAL 430ML PET 24X _75</v>
          </cell>
          <cell r="D395">
            <v>15</v>
          </cell>
          <cell r="E395">
            <v>5</v>
          </cell>
          <cell r="F395">
            <v>75</v>
          </cell>
          <cell r="G395">
            <v>430</v>
          </cell>
          <cell r="H395">
            <v>24</v>
          </cell>
          <cell r="I395">
            <v>1.8175413878126101</v>
          </cell>
          <cell r="J395">
            <v>180</v>
          </cell>
          <cell r="K395" t="str">
            <v>PET 430</v>
          </cell>
          <cell r="L395" t="str">
            <v>430ml</v>
          </cell>
          <cell r="M395" t="str">
            <v>CSD PET</v>
          </cell>
          <cell r="N395" t="str">
            <v>Pepsi Cola</v>
          </cell>
          <cell r="V395" t="str">
            <v>29.01.2026</v>
          </cell>
          <cell r="W395">
            <v>46051</v>
          </cell>
        </row>
        <row r="396">
          <cell r="A396" t="str">
            <v>PEPSI COLA MID CAL 430ML PET 12X 15B_150</v>
          </cell>
          <cell r="B396">
            <v>320022603</v>
          </cell>
          <cell r="C396" t="str">
            <v>PEPSI COLA MID CAL 430ML PET 12X 15B_150</v>
          </cell>
          <cell r="D396">
            <v>30</v>
          </cell>
          <cell r="E396">
            <v>5</v>
          </cell>
          <cell r="F396">
            <v>150</v>
          </cell>
          <cell r="G396">
            <v>430</v>
          </cell>
          <cell r="H396">
            <v>12</v>
          </cell>
          <cell r="I396">
            <v>0.90877069390630505</v>
          </cell>
          <cell r="J396">
            <v>180</v>
          </cell>
          <cell r="K396" t="str">
            <v>PET 430 P12</v>
          </cell>
          <cell r="L396" t="str">
            <v>430ml</v>
          </cell>
          <cell r="M396" t="str">
            <v>CSD PET</v>
          </cell>
          <cell r="N396" t="str">
            <v>Pepsi Cola</v>
          </cell>
          <cell r="V396" t="str">
            <v>30.01.2026</v>
          </cell>
          <cell r="W396">
            <v>46052</v>
          </cell>
        </row>
        <row r="397">
          <cell r="A397" t="str">
            <v>PEPSI COLA MID CAL 1.49L PET 12X_48</v>
          </cell>
          <cell r="B397">
            <v>320022684</v>
          </cell>
          <cell r="C397" t="str">
            <v>PEPSI COLA MID CAL 1.49L PET 12X_48</v>
          </cell>
          <cell r="D397">
            <v>12</v>
          </cell>
          <cell r="E397">
            <v>4</v>
          </cell>
          <cell r="F397">
            <v>48</v>
          </cell>
          <cell r="G397">
            <v>1490</v>
          </cell>
          <cell r="H397">
            <v>12</v>
          </cell>
          <cell r="I397">
            <v>3.1489961253962662</v>
          </cell>
          <cell r="J397">
            <v>180</v>
          </cell>
          <cell r="K397" t="str">
            <v>PET 1500</v>
          </cell>
          <cell r="L397" t="str">
            <v>1490 ml</v>
          </cell>
          <cell r="M397" t="str">
            <v>CSD PET</v>
          </cell>
          <cell r="N397" t="str">
            <v>Pepsi Cola</v>
          </cell>
          <cell r="V397" t="str">
            <v>31.01.2026</v>
          </cell>
          <cell r="W397">
            <v>46053</v>
          </cell>
        </row>
        <row r="398">
          <cell r="A398" t="str">
            <v>MIRINDA STRWB 1L PET 12X 20B_70</v>
          </cell>
          <cell r="B398">
            <v>320022639</v>
          </cell>
          <cell r="C398" t="str">
            <v>MIRINDA STRWB 1L PET 12X 20B_70</v>
          </cell>
          <cell r="D398">
            <v>14</v>
          </cell>
          <cell r="E398">
            <v>5</v>
          </cell>
          <cell r="F398">
            <v>70</v>
          </cell>
          <cell r="G398">
            <v>1000</v>
          </cell>
          <cell r="H398">
            <v>12</v>
          </cell>
          <cell r="I398">
            <v>2.1134202183867559</v>
          </cell>
          <cell r="J398">
            <v>180</v>
          </cell>
          <cell r="K398" t="str">
            <v>PET 1000</v>
          </cell>
          <cell r="L398" t="str">
            <v>1000ml</v>
          </cell>
          <cell r="M398" t="str">
            <v>CSD PET</v>
          </cell>
          <cell r="N398" t="str">
            <v>MRD Strawberry</v>
          </cell>
          <cell r="V398" t="str">
            <v>01.02.2026</v>
          </cell>
          <cell r="W398">
            <v>46054</v>
          </cell>
        </row>
        <row r="399">
          <cell r="A399" t="str">
            <v>MIRINDA ORANGE 1L PET 12X 20B_70</v>
          </cell>
          <cell r="B399">
            <v>320022690</v>
          </cell>
          <cell r="C399" t="str">
            <v>MIRINDA ORANGE 1L PET 12X 20B_70</v>
          </cell>
          <cell r="D399">
            <v>14</v>
          </cell>
          <cell r="E399">
            <v>5</v>
          </cell>
          <cell r="F399">
            <v>70</v>
          </cell>
          <cell r="G399">
            <v>1000</v>
          </cell>
          <cell r="H399">
            <v>12</v>
          </cell>
          <cell r="I399">
            <v>2.1134202183867559</v>
          </cell>
          <cell r="J399">
            <v>180</v>
          </cell>
          <cell r="K399" t="str">
            <v>PET 1000</v>
          </cell>
          <cell r="L399" t="str">
            <v>1000ml</v>
          </cell>
          <cell r="M399" t="str">
            <v>CSD PET</v>
          </cell>
          <cell r="N399" t="str">
            <v>MRD Orange</v>
          </cell>
          <cell r="V399" t="str">
            <v>02.02.2026</v>
          </cell>
          <cell r="W399">
            <v>46055</v>
          </cell>
        </row>
        <row r="400">
          <cell r="A400" t="str">
            <v>GATORADE LEMON PET 345ML 12X_182</v>
          </cell>
          <cell r="B400">
            <v>320022685</v>
          </cell>
          <cell r="C400" t="str">
            <v>GATORADE LEMON PET 345ML 12X_182</v>
          </cell>
          <cell r="D400">
            <v>26</v>
          </cell>
          <cell r="E400">
            <v>7</v>
          </cell>
          <cell r="F400">
            <v>182</v>
          </cell>
          <cell r="G400">
            <v>345</v>
          </cell>
          <cell r="H400">
            <v>12</v>
          </cell>
          <cell r="I400">
            <v>0.72912997534343083</v>
          </cell>
          <cell r="J400">
            <v>365</v>
          </cell>
          <cell r="K400" t="str">
            <v>PET GTR 350 P12</v>
          </cell>
          <cell r="L400" t="str">
            <v>345ml</v>
          </cell>
          <cell r="M400" t="str">
            <v>NCB PET</v>
          </cell>
          <cell r="N400" t="str">
            <v>GATORADE</v>
          </cell>
          <cell r="V400" t="str">
            <v>03.02.2026</v>
          </cell>
          <cell r="W400">
            <v>46056</v>
          </cell>
        </row>
        <row r="401">
          <cell r="A401" t="str">
            <v>PEPSI COLA MID CAL 330ML PET 24X_91</v>
          </cell>
          <cell r="B401">
            <v>320022636</v>
          </cell>
          <cell r="C401" t="str">
            <v>PEPSI COLA MID CAL 330ML PET 24X_91</v>
          </cell>
          <cell r="D401">
            <v>13</v>
          </cell>
          <cell r="E401">
            <v>7</v>
          </cell>
          <cell r="F401">
            <v>91</v>
          </cell>
          <cell r="G401">
            <v>330</v>
          </cell>
          <cell r="H401">
            <v>24</v>
          </cell>
          <cell r="I401">
            <v>1.394857344135259</v>
          </cell>
          <cell r="J401">
            <v>120</v>
          </cell>
          <cell r="K401" t="str">
            <v>PET 350 P24</v>
          </cell>
          <cell r="L401" t="str">
            <v>330 ml</v>
          </cell>
          <cell r="M401" t="str">
            <v>CSD PET</v>
          </cell>
          <cell r="N401" t="str">
            <v>Pepsi Cola</v>
          </cell>
          <cell r="V401" t="str">
            <v>04.02.2026</v>
          </cell>
          <cell r="W401">
            <v>46057</v>
          </cell>
        </row>
        <row r="402">
          <cell r="A402" t="str">
            <v>PEPSI MAX STRAWBERRY 325ML CAN 4X MP_104</v>
          </cell>
          <cell r="B402">
            <v>320022585</v>
          </cell>
          <cell r="C402" t="str">
            <v>PEPSI MAX STRAWBERRY 325ML CAN 4X MP_104</v>
          </cell>
          <cell r="D402">
            <v>13</v>
          </cell>
          <cell r="E402">
            <v>8</v>
          </cell>
          <cell r="F402">
            <v>104</v>
          </cell>
          <cell r="G402">
            <v>325</v>
          </cell>
          <cell r="H402">
            <v>24</v>
          </cell>
          <cell r="I402">
            <v>1.3737231419513913</v>
          </cell>
          <cell r="J402">
            <v>180</v>
          </cell>
          <cell r="K402" t="str">
            <v>CAN 330</v>
          </cell>
          <cell r="L402" t="str">
            <v>325 ml</v>
          </cell>
          <cell r="M402" t="str">
            <v>CSD CAN</v>
          </cell>
          <cell r="N402" t="str">
            <v>Pepsi Max</v>
          </cell>
          <cell r="V402" t="str">
            <v>05.02.2026</v>
          </cell>
          <cell r="W402">
            <v>46058</v>
          </cell>
        </row>
        <row r="403">
          <cell r="A403" t="str">
            <v>PEPSI MAX STRAWBERRY 345ML PET 12X_192</v>
          </cell>
          <cell r="B403">
            <v>320022584</v>
          </cell>
          <cell r="C403" t="str">
            <v>PEPSI MAX STRAWBERRY 345ML PET 12X_192</v>
          </cell>
          <cell r="D403">
            <v>32</v>
          </cell>
          <cell r="E403">
            <v>6</v>
          </cell>
          <cell r="F403">
            <v>192</v>
          </cell>
          <cell r="G403">
            <v>345</v>
          </cell>
          <cell r="H403">
            <v>12</v>
          </cell>
          <cell r="I403">
            <v>0.72912997534343083</v>
          </cell>
          <cell r="J403">
            <v>120</v>
          </cell>
          <cell r="K403" t="str">
            <v>PET 350 P12</v>
          </cell>
          <cell r="L403" t="str">
            <v>345 ml</v>
          </cell>
          <cell r="M403" t="str">
            <v>CSD PET</v>
          </cell>
          <cell r="N403" t="str">
            <v>Pepsi Max</v>
          </cell>
          <cell r="V403" t="str">
            <v>06.02.2026</v>
          </cell>
          <cell r="W403">
            <v>46059</v>
          </cell>
        </row>
        <row r="404">
          <cell r="A404" t="str">
            <v>PEPSI MAX STRAWBERRY 550ML PET 24X_60</v>
          </cell>
          <cell r="B404">
            <v>320022682</v>
          </cell>
          <cell r="C404" t="str">
            <v>PEPSI MAX STRAWBERRY 550ML PET 24X_60</v>
          </cell>
          <cell r="D404">
            <v>10</v>
          </cell>
          <cell r="E404">
            <v>6</v>
          </cell>
          <cell r="F404">
            <v>60</v>
          </cell>
          <cell r="G404">
            <v>550</v>
          </cell>
          <cell r="H404">
            <v>24</v>
          </cell>
          <cell r="I404">
            <v>2.3247622402254313</v>
          </cell>
          <cell r="J404">
            <v>180</v>
          </cell>
          <cell r="K404" t="str">
            <v>PET 550</v>
          </cell>
          <cell r="L404" t="str">
            <v>550 ml</v>
          </cell>
          <cell r="M404" t="str">
            <v>CSD PET</v>
          </cell>
          <cell r="N404" t="str">
            <v>Pepsi Max</v>
          </cell>
          <cell r="V404" t="str">
            <v>07.02.2026</v>
          </cell>
          <cell r="W404">
            <v>46060</v>
          </cell>
        </row>
        <row r="405">
          <cell r="A405" t="str">
            <v>PEPSI MAX 990ML PET 12X 20B_70</v>
          </cell>
          <cell r="B405">
            <v>320022693</v>
          </cell>
          <cell r="C405" t="str">
            <v>PEPSI MAX 990ML PET 12X 20B_70</v>
          </cell>
          <cell r="D405">
            <v>14</v>
          </cell>
          <cell r="E405">
            <v>5</v>
          </cell>
          <cell r="F405">
            <v>70</v>
          </cell>
          <cell r="G405">
            <v>990</v>
          </cell>
          <cell r="H405">
            <v>12</v>
          </cell>
          <cell r="I405">
            <v>2.0922860162028885</v>
          </cell>
          <cell r="J405">
            <v>180</v>
          </cell>
          <cell r="K405" t="str">
            <v>PET 1000</v>
          </cell>
          <cell r="L405" t="str">
            <v>1000 ml</v>
          </cell>
          <cell r="M405" t="str">
            <v>CSD PET</v>
          </cell>
          <cell r="N405" t="str">
            <v>Pepsi Max</v>
          </cell>
          <cell r="V405" t="str">
            <v>08.02.2026</v>
          </cell>
          <cell r="W405">
            <v>46061</v>
          </cell>
        </row>
        <row r="406">
          <cell r="A406" t="str">
            <v>PEPSI COLA MID CAL 1.26L PET 12X 25B_48</v>
          </cell>
          <cell r="B406">
            <v>320022691</v>
          </cell>
          <cell r="C406" t="str">
            <v>PEPSI COLA MID CAL 1.26L PET 12X 25B_48</v>
          </cell>
          <cell r="D406">
            <v>12</v>
          </cell>
          <cell r="E406">
            <v>4</v>
          </cell>
          <cell r="F406">
            <v>48</v>
          </cell>
          <cell r="G406">
            <v>1260</v>
          </cell>
          <cell r="H406">
            <v>12</v>
          </cell>
          <cell r="I406">
            <v>2.6629094751673126</v>
          </cell>
          <cell r="J406">
            <v>180</v>
          </cell>
          <cell r="K406" t="str">
            <v>PET 1250</v>
          </cell>
          <cell r="L406" t="str">
            <v>1260 ml</v>
          </cell>
          <cell r="M406" t="str">
            <v>CSD PET</v>
          </cell>
          <cell r="N406" t="str">
            <v>Pepsi Cola</v>
          </cell>
          <cell r="V406" t="str">
            <v>09.02.2026</v>
          </cell>
          <cell r="W406">
            <v>46062</v>
          </cell>
        </row>
        <row r="407">
          <cell r="A407" t="str">
            <v>PEPSI MAX STRAWBERRY 1L PET 12X_70</v>
          </cell>
          <cell r="B407">
            <v>320022468</v>
          </cell>
          <cell r="C407" t="str">
            <v>PEPSI MAX STRAWBERRY 1L PET 12X_70</v>
          </cell>
          <cell r="D407">
            <v>14</v>
          </cell>
          <cell r="E407">
            <v>5</v>
          </cell>
          <cell r="F407">
            <v>70</v>
          </cell>
          <cell r="G407">
            <v>1000</v>
          </cell>
          <cell r="H407">
            <v>12</v>
          </cell>
          <cell r="I407">
            <v>2.1134202183867559</v>
          </cell>
          <cell r="J407">
            <v>180</v>
          </cell>
          <cell r="K407" t="str">
            <v>PET 1000</v>
          </cell>
          <cell r="L407" t="str">
            <v>1000 ml</v>
          </cell>
          <cell r="M407" t="str">
            <v>CSD PET</v>
          </cell>
          <cell r="N407" t="str">
            <v>Pepsi Max</v>
          </cell>
          <cell r="V407" t="str">
            <v>10.02.2026</v>
          </cell>
          <cell r="W407">
            <v>46063</v>
          </cell>
        </row>
        <row r="408">
          <cell r="A408" t="str">
            <v>PEPSI MAX 1.95L PET 6X_64</v>
          </cell>
          <cell r="B408">
            <v>320022637</v>
          </cell>
          <cell r="C408" t="str">
            <v>PEPSI MAX 1.95L PET 6X_64</v>
          </cell>
          <cell r="D408">
            <v>16</v>
          </cell>
          <cell r="E408">
            <v>4</v>
          </cell>
          <cell r="F408">
            <v>64</v>
          </cell>
          <cell r="G408">
            <v>1950</v>
          </cell>
          <cell r="H408">
            <v>6</v>
          </cell>
          <cell r="I408">
            <v>2.0605847129270871</v>
          </cell>
          <cell r="J408">
            <v>180</v>
          </cell>
          <cell r="K408" t="str">
            <v>PET 2000</v>
          </cell>
          <cell r="L408" t="str">
            <v>1950 ml</v>
          </cell>
          <cell r="M408" t="str">
            <v>CSD PET</v>
          </cell>
          <cell r="N408" t="str">
            <v>Pepsi Max</v>
          </cell>
          <cell r="V408" t="str">
            <v>11.02.2026</v>
          </cell>
          <cell r="W408">
            <v>46064</v>
          </cell>
        </row>
        <row r="409">
          <cell r="A409" t="str">
            <v>PEPSI COLA MIDCAL 245ML CAN4X 5+1 MP_144</v>
          </cell>
          <cell r="B409">
            <v>320022695</v>
          </cell>
          <cell r="C409" t="str">
            <v>PEPSI COLA MIDCAL 245ML CAN4X 5+1 MP_144</v>
          </cell>
          <cell r="D409">
            <v>16</v>
          </cell>
          <cell r="E409">
            <v>9</v>
          </cell>
          <cell r="F409">
            <v>144</v>
          </cell>
          <cell r="G409">
            <v>245</v>
          </cell>
          <cell r="H409">
            <v>24</v>
          </cell>
          <cell r="I409">
            <v>1.0355759070095103</v>
          </cell>
          <cell r="J409">
            <v>270</v>
          </cell>
          <cell r="K409" t="str">
            <v>CAN 250</v>
          </cell>
          <cell r="L409" t="str">
            <v>245 ml</v>
          </cell>
          <cell r="M409" t="str">
            <v>CSD CAN</v>
          </cell>
          <cell r="N409" t="str">
            <v>Pepsi Cola</v>
          </cell>
          <cell r="V409" t="str">
            <v>12.02.2026</v>
          </cell>
          <cell r="W409">
            <v>46065</v>
          </cell>
        </row>
        <row r="410">
          <cell r="A410" t="str">
            <v>PEPSI MAX 245ML CAN 4X NEW 5+1 MP_64</v>
          </cell>
          <cell r="B410">
            <v>320022694</v>
          </cell>
          <cell r="C410" t="str">
            <v>PEPSI MAX 245ML CAN 4X NEW 5+1 MP_64</v>
          </cell>
          <cell r="D410">
            <v>16</v>
          </cell>
          <cell r="E410">
            <v>4</v>
          </cell>
          <cell r="F410">
            <v>64</v>
          </cell>
          <cell r="G410">
            <v>245</v>
          </cell>
          <cell r="H410">
            <v>24</v>
          </cell>
          <cell r="I410">
            <v>1.0355759070095103</v>
          </cell>
          <cell r="J410">
            <v>180</v>
          </cell>
          <cell r="K410" t="str">
            <v>CAN 250</v>
          </cell>
          <cell r="L410" t="str">
            <v>245 ml</v>
          </cell>
          <cell r="M410" t="str">
            <v>CSD CAN</v>
          </cell>
          <cell r="N410" t="str">
            <v>Pepsi Max</v>
          </cell>
          <cell r="V410" t="str">
            <v>13.02.2026</v>
          </cell>
          <cell r="W410">
            <v>46066</v>
          </cell>
        </row>
        <row r="411">
          <cell r="A411" t="str">
            <v>TEA PLUS TASTY 280ML PET 24X_104</v>
          </cell>
          <cell r="B411">
            <v>320022599</v>
          </cell>
          <cell r="C411" t="str">
            <v>TEA PLUS TASTY 280ML PET 24X_104</v>
          </cell>
          <cell r="D411">
            <v>13</v>
          </cell>
          <cell r="E411">
            <v>8</v>
          </cell>
          <cell r="F411">
            <v>104</v>
          </cell>
          <cell r="G411">
            <v>280</v>
          </cell>
          <cell r="H411">
            <v>24</v>
          </cell>
          <cell r="I411">
            <v>1.1835153222965833</v>
          </cell>
          <cell r="J411">
            <v>365</v>
          </cell>
          <cell r="K411" t="str">
            <v>PET TEA+ 280</v>
          </cell>
          <cell r="L411" t="str">
            <v>280 ml</v>
          </cell>
          <cell r="M411" t="str">
            <v>NCB PET</v>
          </cell>
          <cell r="N411" t="str">
            <v>TEA PLUS</v>
          </cell>
          <cell r="V411" t="str">
            <v>14.02.2026</v>
          </cell>
          <cell r="W411">
            <v>46067</v>
          </cell>
        </row>
        <row r="412">
          <cell r="A412" t="str">
            <v>7UP FREE FIBER 325ML CAN 4X MP_104</v>
          </cell>
          <cell r="B412">
            <v>320022591</v>
          </cell>
          <cell r="C412" t="str">
            <v>7UP FREE FIBER 325ML CAN 4X MP_104</v>
          </cell>
          <cell r="D412">
            <v>13</v>
          </cell>
          <cell r="E412">
            <v>8</v>
          </cell>
          <cell r="F412">
            <v>104</v>
          </cell>
          <cell r="G412">
            <v>325</v>
          </cell>
          <cell r="H412">
            <v>24</v>
          </cell>
          <cell r="I412">
            <v>1.3737231419513913</v>
          </cell>
          <cell r="J412">
            <v>180</v>
          </cell>
          <cell r="K412" t="str">
            <v>CAN 330</v>
          </cell>
          <cell r="L412" t="str">
            <v>325 ml</v>
          </cell>
          <cell r="M412" t="str">
            <v>CSD CAN</v>
          </cell>
          <cell r="N412" t="str">
            <v>7-Up</v>
          </cell>
          <cell r="V412" t="str">
            <v>15.02.2026</v>
          </cell>
          <cell r="W412">
            <v>46068</v>
          </cell>
        </row>
        <row r="413">
          <cell r="A413" t="str">
            <v>7UP FREE FIBER 345ML PET 12X_192</v>
          </cell>
          <cell r="B413">
            <v>320022592</v>
          </cell>
          <cell r="C413" t="str">
            <v>7UP FREE FIBER 345ML PET 12X_192</v>
          </cell>
          <cell r="D413">
            <v>32</v>
          </cell>
          <cell r="E413">
            <v>6</v>
          </cell>
          <cell r="F413">
            <v>192</v>
          </cell>
          <cell r="G413">
            <v>345</v>
          </cell>
          <cell r="H413">
            <v>12</v>
          </cell>
          <cell r="I413">
            <v>0.72912997534343083</v>
          </cell>
          <cell r="J413">
            <v>180</v>
          </cell>
          <cell r="K413" t="str">
            <v>PET 350 P12</v>
          </cell>
          <cell r="L413" t="str">
            <v>345 ml</v>
          </cell>
          <cell r="M413" t="str">
            <v>CSD PET</v>
          </cell>
          <cell r="N413" t="str">
            <v>7-Up</v>
          </cell>
          <cell r="V413" t="str">
            <v>16.02.2026</v>
          </cell>
          <cell r="W413">
            <v>46069</v>
          </cell>
        </row>
        <row r="414">
          <cell r="A414" t="str">
            <v>7UP FREE FIBER 440ML PET 24X_72</v>
          </cell>
          <cell r="B414">
            <v>320022593</v>
          </cell>
          <cell r="C414" t="str">
            <v>7UP FREE FIBER 440ML PET 24X_72</v>
          </cell>
          <cell r="D414">
            <v>12</v>
          </cell>
          <cell r="E414">
            <v>6</v>
          </cell>
          <cell r="F414">
            <v>72</v>
          </cell>
          <cell r="G414">
            <v>440</v>
          </cell>
          <cell r="H414">
            <v>24</v>
          </cell>
          <cell r="I414">
            <v>1.8598097921803451</v>
          </cell>
          <cell r="J414">
            <v>180</v>
          </cell>
          <cell r="K414" t="str">
            <v>PET 450</v>
          </cell>
          <cell r="L414" t="str">
            <v>440 ml</v>
          </cell>
          <cell r="M414" t="str">
            <v>CSD PET</v>
          </cell>
          <cell r="N414" t="str">
            <v>7-Up</v>
          </cell>
          <cell r="V414" t="str">
            <v>17.02.2026</v>
          </cell>
          <cell r="W414">
            <v>46070</v>
          </cell>
        </row>
        <row r="415">
          <cell r="A415" t="str">
            <v>7UP FREE FIBER 430ML PET 12X _150</v>
          </cell>
          <cell r="B415">
            <v>320022687</v>
          </cell>
          <cell r="C415" t="str">
            <v>7UP FREE FIBER 430ML PET 12X _150</v>
          </cell>
          <cell r="D415">
            <v>30</v>
          </cell>
          <cell r="E415">
            <v>5</v>
          </cell>
          <cell r="F415">
            <v>150</v>
          </cell>
          <cell r="G415">
            <v>430</v>
          </cell>
          <cell r="H415">
            <v>12</v>
          </cell>
          <cell r="I415">
            <v>0.90877069390630505</v>
          </cell>
          <cell r="J415">
            <v>180</v>
          </cell>
          <cell r="K415" t="str">
            <v>PET 430 P12</v>
          </cell>
          <cell r="L415" t="str">
            <v>430ml</v>
          </cell>
          <cell r="M415" t="str">
            <v>CSD PET</v>
          </cell>
          <cell r="N415" t="str">
            <v>7-Up</v>
          </cell>
          <cell r="V415" t="str">
            <v>18.02.2026</v>
          </cell>
          <cell r="W415">
            <v>46071</v>
          </cell>
        </row>
        <row r="416">
          <cell r="A416" t="str">
            <v>GATORADE BLUE BLAST PET 345ML PET12X_182</v>
          </cell>
          <cell r="B416">
            <v>320022710</v>
          </cell>
          <cell r="C416" t="str">
            <v>GATORADE BLUE BLAST PET 345ML PET12X_182</v>
          </cell>
          <cell r="D416">
            <v>26</v>
          </cell>
          <cell r="E416">
            <v>7</v>
          </cell>
          <cell r="F416">
            <v>182</v>
          </cell>
          <cell r="G416">
            <v>345</v>
          </cell>
          <cell r="H416">
            <v>12</v>
          </cell>
          <cell r="I416">
            <v>0.72912997534343083</v>
          </cell>
          <cell r="J416">
            <v>365</v>
          </cell>
          <cell r="K416" t="str">
            <v>PET GTR 350 P12</v>
          </cell>
          <cell r="L416" t="str">
            <v>345ml</v>
          </cell>
          <cell r="M416" t="str">
            <v>NCB PET</v>
          </cell>
          <cell r="N416" t="str">
            <v>GATORADE</v>
          </cell>
          <cell r="V416" t="str">
            <v>19.02.2026</v>
          </cell>
          <cell r="W416">
            <v>46072</v>
          </cell>
        </row>
        <row r="417">
          <cell r="A417" t="str">
            <v>LIPTON LEMON 320ML PET 12X LAOS_182</v>
          </cell>
          <cell r="B417">
            <v>320022581</v>
          </cell>
          <cell r="C417" t="str">
            <v>LIPTON LEMON 320ML PET 12X LAOS_182</v>
          </cell>
          <cell r="D417">
            <v>26</v>
          </cell>
          <cell r="E417">
            <v>7</v>
          </cell>
          <cell r="F417">
            <v>182</v>
          </cell>
          <cell r="G417">
            <v>320</v>
          </cell>
          <cell r="H417">
            <v>12</v>
          </cell>
          <cell r="I417">
            <v>0.67629446988376185</v>
          </cell>
          <cell r="J417">
            <v>270</v>
          </cell>
          <cell r="K417" t="str">
            <v>PET NCB 320</v>
          </cell>
          <cell r="L417" t="str">
            <v>320ml</v>
          </cell>
          <cell r="M417" t="str">
            <v>NCB PET</v>
          </cell>
          <cell r="N417" t="str">
            <v>Lipton</v>
          </cell>
          <cell r="V417" t="str">
            <v>20.02.2026</v>
          </cell>
          <cell r="W417">
            <v>46073</v>
          </cell>
        </row>
        <row r="418">
          <cell r="A418" t="str">
            <v>MIRINDA SALT LEMON SODA 345ML PET12X_192</v>
          </cell>
          <cell r="B418">
            <v>320022589</v>
          </cell>
          <cell r="C418" t="str">
            <v>MIRINDA SALT LEMON SODA 345ML PET12X_192</v>
          </cell>
          <cell r="D418">
            <v>32</v>
          </cell>
          <cell r="E418">
            <v>6</v>
          </cell>
          <cell r="F418">
            <v>192</v>
          </cell>
          <cell r="G418">
            <v>345</v>
          </cell>
          <cell r="H418">
            <v>12</v>
          </cell>
          <cell r="I418">
            <v>0.72912997534343083</v>
          </cell>
          <cell r="J418">
            <v>120</v>
          </cell>
          <cell r="K418" t="str">
            <v>PET 350 P12</v>
          </cell>
          <cell r="L418" t="str">
            <v>345 ml</v>
          </cell>
          <cell r="M418" t="str">
            <v>CSD PET</v>
          </cell>
          <cell r="N418" t="str">
            <v>MRD Lemon</v>
          </cell>
          <cell r="V418" t="str">
            <v>21.02.2026</v>
          </cell>
          <cell r="W418">
            <v>46074</v>
          </cell>
        </row>
        <row r="419">
          <cell r="A419" t="str">
            <v>MIRINDA SALT LEMON SODA 440ML PET24X_72</v>
          </cell>
          <cell r="B419">
            <v>320022590</v>
          </cell>
          <cell r="C419" t="str">
            <v>MIRINDA SALT LEMON SODA 440ML PET24X_72</v>
          </cell>
          <cell r="D419">
            <v>12</v>
          </cell>
          <cell r="E419">
            <v>6</v>
          </cell>
          <cell r="F419">
            <v>72</v>
          </cell>
          <cell r="G419">
            <v>440</v>
          </cell>
          <cell r="H419">
            <v>24</v>
          </cell>
          <cell r="I419">
            <v>1.8598097921803451</v>
          </cell>
          <cell r="J419">
            <v>180</v>
          </cell>
          <cell r="K419" t="str">
            <v>PET 450</v>
          </cell>
          <cell r="L419" t="str">
            <v>440 ml</v>
          </cell>
          <cell r="M419" t="str">
            <v>CSD PET</v>
          </cell>
          <cell r="N419" t="str">
            <v>MRD Lemon</v>
          </cell>
          <cell r="V419" t="str">
            <v>22.02.2026</v>
          </cell>
          <cell r="W419">
            <v>46075</v>
          </cell>
        </row>
        <row r="420">
          <cell r="A420" t="str">
            <v>PEPSI COLA MIDCAL 1.26L PET 12X_48 L&amp;P</v>
          </cell>
          <cell r="B420">
            <v>320022722</v>
          </cell>
          <cell r="C420" t="str">
            <v>PEPSI COLA MIDCAL 1.26L PET 12X_48 L&amp;P</v>
          </cell>
          <cell r="D420">
            <v>12</v>
          </cell>
          <cell r="E420">
            <v>4</v>
          </cell>
          <cell r="F420">
            <v>48</v>
          </cell>
          <cell r="G420">
            <v>1260</v>
          </cell>
          <cell r="H420">
            <v>12</v>
          </cell>
          <cell r="I420">
            <v>2.6629094751673126</v>
          </cell>
          <cell r="J420">
            <v>180</v>
          </cell>
          <cell r="K420" t="str">
            <v>PET 1250</v>
          </cell>
          <cell r="L420" t="str">
            <v>1260 ml</v>
          </cell>
          <cell r="M420" t="str">
            <v>CSD PET</v>
          </cell>
          <cell r="N420" t="str">
            <v>Pepsi Cola</v>
          </cell>
          <cell r="V420" t="str">
            <v>23.02.2026</v>
          </cell>
          <cell r="W420">
            <v>46076</v>
          </cell>
        </row>
        <row r="421">
          <cell r="A421" t="str">
            <v>PEPSI COLA MIDCAL 1.26L PET12X_48 NE L&amp;P</v>
          </cell>
          <cell r="B421">
            <v>320022723</v>
          </cell>
          <cell r="C421" t="str">
            <v>PEPSI COLA MIDCAL 1.26L PET12X_48 NE L&amp;P</v>
          </cell>
          <cell r="D421">
            <v>12</v>
          </cell>
          <cell r="E421">
            <v>4</v>
          </cell>
          <cell r="F421">
            <v>48</v>
          </cell>
          <cell r="G421">
            <v>1260</v>
          </cell>
          <cell r="H421">
            <v>12</v>
          </cell>
          <cell r="I421">
            <v>2.6629094751673126</v>
          </cell>
          <cell r="J421">
            <v>180</v>
          </cell>
          <cell r="K421" t="str">
            <v>PET 1250</v>
          </cell>
          <cell r="L421" t="str">
            <v>1260 ml</v>
          </cell>
          <cell r="M421" t="str">
            <v>CSD PET</v>
          </cell>
          <cell r="N421" t="str">
            <v>Pepsi Cola</v>
          </cell>
          <cell r="V421" t="str">
            <v>24.02.2026</v>
          </cell>
          <cell r="W421">
            <v>46077</v>
          </cell>
        </row>
        <row r="422">
          <cell r="A422" t="str">
            <v>PEPSI COLA MID CAL 640ML PET 12X _110L&amp;P</v>
          </cell>
          <cell r="B422">
            <v>320022724</v>
          </cell>
          <cell r="C422" t="str">
            <v>PEPSI COLA MID CAL 640ML PET 12X _110L&amp;P</v>
          </cell>
          <cell r="D422">
            <v>22</v>
          </cell>
          <cell r="E422">
            <v>5</v>
          </cell>
          <cell r="F422">
            <v>110</v>
          </cell>
          <cell r="G422">
            <v>640</v>
          </cell>
          <cell r="H422">
            <v>12</v>
          </cell>
          <cell r="I422">
            <v>1.3525889397675237</v>
          </cell>
          <cell r="J422">
            <v>180</v>
          </cell>
          <cell r="K422" t="str">
            <v>PET 640</v>
          </cell>
          <cell r="L422" t="str">
            <v>640 ml</v>
          </cell>
          <cell r="M422" t="str">
            <v>CSD PET</v>
          </cell>
          <cell r="N422" t="str">
            <v>Pepsi Cola</v>
          </cell>
          <cell r="V422" t="str">
            <v>25.02.2026</v>
          </cell>
          <cell r="W422">
            <v>46078</v>
          </cell>
        </row>
        <row r="423">
          <cell r="A423" t="str">
            <v>PEPSI COLA MIDCAL 640MLPET12X_110 NE L&amp;P</v>
          </cell>
          <cell r="B423">
            <v>320022725</v>
          </cell>
          <cell r="C423" t="str">
            <v>PEPSI COLA MIDCAL 640MLPET12X_110 NE L&amp;P</v>
          </cell>
          <cell r="D423">
            <v>22</v>
          </cell>
          <cell r="E423">
            <v>5</v>
          </cell>
          <cell r="F423">
            <v>110</v>
          </cell>
          <cell r="G423">
            <v>640</v>
          </cell>
          <cell r="H423">
            <v>12</v>
          </cell>
          <cell r="I423">
            <v>1.3525889397675237</v>
          </cell>
          <cell r="J423">
            <v>180</v>
          </cell>
          <cell r="K423" t="str">
            <v>PET 640</v>
          </cell>
          <cell r="L423" t="str">
            <v>640 ml</v>
          </cell>
          <cell r="M423" t="str">
            <v>CSD PET</v>
          </cell>
          <cell r="N423" t="str">
            <v>Pepsi Cola</v>
          </cell>
          <cell r="V423" t="str">
            <v>26.02.2026</v>
          </cell>
          <cell r="W423">
            <v>46079</v>
          </cell>
        </row>
        <row r="424">
          <cell r="A424" t="str">
            <v>PEPSI COLA MID CAL 640ML PET 12X _110 NE</v>
          </cell>
          <cell r="B424">
            <v>320022711</v>
          </cell>
          <cell r="C424" t="str">
            <v>PEPSI COLA MID CAL 640ML PET 12X _110 NE</v>
          </cell>
          <cell r="D424">
            <v>22</v>
          </cell>
          <cell r="E424">
            <v>5</v>
          </cell>
          <cell r="F424">
            <v>110</v>
          </cell>
          <cell r="G424">
            <v>640</v>
          </cell>
          <cell r="H424">
            <v>12</v>
          </cell>
          <cell r="I424">
            <v>1.3525889397675237</v>
          </cell>
          <cell r="J424">
            <v>180</v>
          </cell>
          <cell r="K424" t="str">
            <v>PET 640</v>
          </cell>
          <cell r="L424" t="str">
            <v>640 ml</v>
          </cell>
          <cell r="M424" t="str">
            <v>CSD PET</v>
          </cell>
          <cell r="N424" t="str">
            <v>Pepsi Cola</v>
          </cell>
          <cell r="V424" t="str">
            <v>27.02.2026</v>
          </cell>
          <cell r="W424">
            <v>46080</v>
          </cell>
        </row>
        <row r="425">
          <cell r="A425" t="str">
            <v>TEA PLUS NO SUGAR 280ML PET 24X_104</v>
          </cell>
          <cell r="B425">
            <v>320022720</v>
          </cell>
          <cell r="C425" t="str">
            <v>TEA PLUS NO SUGAR 280ML PET 24X_104</v>
          </cell>
          <cell r="D425">
            <v>13</v>
          </cell>
          <cell r="E425">
            <v>8</v>
          </cell>
          <cell r="F425">
            <v>104</v>
          </cell>
          <cell r="G425">
            <v>280</v>
          </cell>
          <cell r="H425">
            <v>24</v>
          </cell>
          <cell r="I425">
            <v>1.1835153222965833</v>
          </cell>
          <cell r="J425">
            <v>365</v>
          </cell>
          <cell r="K425" t="str">
            <v>PET TEA+ 280</v>
          </cell>
          <cell r="L425" t="str">
            <v>280 ml</v>
          </cell>
          <cell r="M425" t="str">
            <v>NCB PET</v>
          </cell>
          <cell r="N425" t="str">
            <v>TEA PLUS</v>
          </cell>
          <cell r="V425" t="str">
            <v>28.02.2026</v>
          </cell>
          <cell r="W425">
            <v>46081</v>
          </cell>
        </row>
        <row r="426">
          <cell r="A426" t="str">
            <v>TEA PLUS No Sugar 280ML PET 24X_104_ID</v>
          </cell>
          <cell r="B426">
            <v>320022730</v>
          </cell>
          <cell r="C426" t="str">
            <v>TEA PLUS No Sugar 280ML PET 24X_104_ID</v>
          </cell>
          <cell r="D426">
            <v>13</v>
          </cell>
          <cell r="E426">
            <v>8</v>
          </cell>
          <cell r="F426">
            <v>104</v>
          </cell>
          <cell r="G426">
            <v>280</v>
          </cell>
          <cell r="H426">
            <v>24</v>
          </cell>
          <cell r="I426">
            <v>1.1835153222965833</v>
          </cell>
          <cell r="J426">
            <v>365</v>
          </cell>
          <cell r="K426" t="str">
            <v>PET TEA+ 280</v>
          </cell>
          <cell r="L426" t="str">
            <v>280 ml</v>
          </cell>
          <cell r="M426" t="str">
            <v>NCB PET</v>
          </cell>
          <cell r="N426" t="str">
            <v>TEA PLUS</v>
          </cell>
          <cell r="V426" t="str">
            <v>01.03.2026</v>
          </cell>
          <cell r="W426">
            <v>46082</v>
          </cell>
        </row>
        <row r="427">
          <cell r="A427" t="str">
            <v>PEPSI COLA MID CAL 430ML PET 24X _80</v>
          </cell>
          <cell r="B427">
            <v>320022721</v>
          </cell>
          <cell r="C427" t="str">
            <v>PEPSI COLA MID CAL 430ML PET 24X _80</v>
          </cell>
          <cell r="D427">
            <v>16</v>
          </cell>
          <cell r="E427">
            <v>5</v>
          </cell>
          <cell r="F427">
            <v>80</v>
          </cell>
          <cell r="G427">
            <v>430</v>
          </cell>
          <cell r="H427">
            <v>24</v>
          </cell>
          <cell r="I427">
            <v>1.8175413878126101</v>
          </cell>
          <cell r="J427">
            <v>180</v>
          </cell>
          <cell r="K427" t="str">
            <v>PET 430</v>
          </cell>
          <cell r="L427" t="str">
            <v>430ml</v>
          </cell>
          <cell r="M427" t="str">
            <v>CSD PET</v>
          </cell>
          <cell r="N427" t="str">
            <v>Pepsi Cola</v>
          </cell>
          <cell r="V427" t="str">
            <v>02.03.2026</v>
          </cell>
          <cell r="W427">
            <v>46083</v>
          </cell>
        </row>
        <row r="428">
          <cell r="A428" t="str">
            <v>BOSS MILDLY SWEET 230ML PET 4X_96</v>
          </cell>
          <cell r="B428">
            <v>320022701</v>
          </cell>
          <cell r="C428" t="str">
            <v>BOSS MILDLY SWEET 230ML PET 4X_96</v>
          </cell>
          <cell r="D428">
            <v>12</v>
          </cell>
          <cell r="E428">
            <v>8</v>
          </cell>
          <cell r="F428">
            <v>96</v>
          </cell>
          <cell r="G428">
            <v>230</v>
          </cell>
          <cell r="H428">
            <v>24</v>
          </cell>
          <cell r="I428">
            <v>0.97217330045790773</v>
          </cell>
          <cell r="J428">
            <v>365</v>
          </cell>
          <cell r="K428" t="str">
            <v>PET COFF 230</v>
          </cell>
          <cell r="L428" t="str">
            <v>230 ml</v>
          </cell>
          <cell r="M428" t="str">
            <v>NCB PET</v>
          </cell>
          <cell r="N428" t="str">
            <v>BOSS COFFEE</v>
          </cell>
          <cell r="V428" t="str">
            <v>03.03.2026</v>
          </cell>
          <cell r="W428">
            <v>46084</v>
          </cell>
        </row>
        <row r="429">
          <cell r="A429" t="str">
            <v>BOSS BLACK NO SUGAR 230ML PET 4X_96</v>
          </cell>
          <cell r="B429">
            <v>320022700</v>
          </cell>
          <cell r="C429" t="str">
            <v>BOSS BLACK NO SUGAR 230ML PET 4X_96</v>
          </cell>
          <cell r="D429">
            <v>12</v>
          </cell>
          <cell r="E429">
            <v>8</v>
          </cell>
          <cell r="F429">
            <v>96</v>
          </cell>
          <cell r="G429">
            <v>230</v>
          </cell>
          <cell r="H429">
            <v>24</v>
          </cell>
          <cell r="I429">
            <v>0.97217330045790773</v>
          </cell>
          <cell r="J429">
            <v>365</v>
          </cell>
          <cell r="K429" t="str">
            <v>PET COFF 230</v>
          </cell>
          <cell r="L429" t="str">
            <v>230 ml</v>
          </cell>
          <cell r="M429" t="str">
            <v>NCB PET</v>
          </cell>
          <cell r="N429" t="str">
            <v>BOSS COFFEE</v>
          </cell>
          <cell r="V429" t="str">
            <v>04.03.2026</v>
          </cell>
          <cell r="W429">
            <v>46085</v>
          </cell>
        </row>
        <row r="430">
          <cell r="A430" t="str">
            <v>BOSS LATTE 230ML PET 4X_96</v>
          </cell>
          <cell r="B430">
            <v>320022698</v>
          </cell>
          <cell r="C430" t="str">
            <v>BOSS LATTE 230ML PET 4X_96</v>
          </cell>
          <cell r="D430">
            <v>12</v>
          </cell>
          <cell r="E430">
            <v>8</v>
          </cell>
          <cell r="F430">
            <v>96</v>
          </cell>
          <cell r="G430">
            <v>230</v>
          </cell>
          <cell r="H430">
            <v>24</v>
          </cell>
          <cell r="I430">
            <v>0.97217330045790773</v>
          </cell>
          <cell r="J430">
            <v>365</v>
          </cell>
          <cell r="K430" t="str">
            <v>PET COFF 230</v>
          </cell>
          <cell r="L430" t="str">
            <v>230 ml</v>
          </cell>
          <cell r="M430" t="str">
            <v>NCB PET</v>
          </cell>
          <cell r="N430" t="str">
            <v>BOSS COFFEE</v>
          </cell>
          <cell r="V430" t="str">
            <v>05.03.2026</v>
          </cell>
          <cell r="W430">
            <v>46086</v>
          </cell>
        </row>
        <row r="431">
          <cell r="A431" t="str">
            <v>BOSS LATTE 250ML PET 24X_96</v>
          </cell>
          <cell r="B431">
            <v>320022699</v>
          </cell>
          <cell r="C431" t="str">
            <v>BOSS LATTE 250ML PET 24X_96</v>
          </cell>
          <cell r="D431">
            <v>12</v>
          </cell>
          <cell r="E431">
            <v>8</v>
          </cell>
          <cell r="F431">
            <v>96</v>
          </cell>
          <cell r="G431">
            <v>250</v>
          </cell>
          <cell r="H431">
            <v>24</v>
          </cell>
          <cell r="I431">
            <v>1.0567101091933779</v>
          </cell>
          <cell r="J431">
            <v>365</v>
          </cell>
          <cell r="K431" t="str">
            <v>PET COFF 250</v>
          </cell>
          <cell r="L431" t="str">
            <v>250 ml</v>
          </cell>
          <cell r="M431" t="str">
            <v>NCB PET</v>
          </cell>
          <cell r="N431" t="str">
            <v>BOSS COFFEE</v>
          </cell>
          <cell r="V431" t="str">
            <v>06.03.2026</v>
          </cell>
          <cell r="W431">
            <v>46087</v>
          </cell>
        </row>
        <row r="432">
          <cell r="A432" t="str">
            <v>LIPTON RASPBERRY 445ML PET 24X_NF60</v>
          </cell>
          <cell r="B432">
            <v>320022595</v>
          </cell>
          <cell r="C432" t="str">
            <v>LIPTON RASPBERRY 445ML PET 24X_NF60</v>
          </cell>
          <cell r="D432">
            <v>10</v>
          </cell>
          <cell r="E432">
            <v>6</v>
          </cell>
          <cell r="F432">
            <v>60</v>
          </cell>
          <cell r="G432">
            <v>445</v>
          </cell>
          <cell r="H432">
            <v>24</v>
          </cell>
          <cell r="I432">
            <v>1.8809439943642128</v>
          </cell>
          <cell r="J432">
            <v>270</v>
          </cell>
          <cell r="K432" t="str">
            <v>PET NCB 445</v>
          </cell>
          <cell r="L432" t="str">
            <v>445 ml</v>
          </cell>
          <cell r="M432" t="str">
            <v>NCB PET</v>
          </cell>
          <cell r="N432" t="str">
            <v>Lipton</v>
          </cell>
          <cell r="V432" t="str">
            <v>07.03.2026</v>
          </cell>
          <cell r="W432">
            <v>46088</v>
          </cell>
        </row>
        <row r="433">
          <cell r="A433" t="str">
            <v>LIPTON RASPBERRY 320ML PET12X_182</v>
          </cell>
          <cell r="B433">
            <v>320022692</v>
          </cell>
          <cell r="C433" t="str">
            <v>LIPTON RASPBERRY 320ML PET12X_182</v>
          </cell>
          <cell r="D433">
            <v>26</v>
          </cell>
          <cell r="E433">
            <v>7</v>
          </cell>
          <cell r="F433">
            <v>182</v>
          </cell>
          <cell r="G433">
            <v>320</v>
          </cell>
          <cell r="H433">
            <v>12</v>
          </cell>
          <cell r="I433">
            <v>0.67629446988376185</v>
          </cell>
          <cell r="J433">
            <v>270</v>
          </cell>
          <cell r="K433" t="str">
            <v>PET NCB 320</v>
          </cell>
          <cell r="L433" t="str">
            <v>320ml</v>
          </cell>
          <cell r="M433" t="str">
            <v>NCB PET</v>
          </cell>
          <cell r="N433" t="str">
            <v>Lipton</v>
          </cell>
          <cell r="V433" t="str">
            <v>08.03.2026</v>
          </cell>
          <cell r="W433">
            <v>46089</v>
          </cell>
        </row>
        <row r="434">
          <cell r="A434" t="str">
            <v>PEPSI COLA MIDCAL 1.26LPET12X 25B_48 L&amp;P</v>
          </cell>
          <cell r="B434">
            <v>320022732</v>
          </cell>
          <cell r="C434" t="str">
            <v>PEPSI COLA MIDCAL 1.26LPET12X 25B_48 L&amp;P</v>
          </cell>
          <cell r="D434">
            <v>12</v>
          </cell>
          <cell r="E434">
            <v>4</v>
          </cell>
          <cell r="F434">
            <v>48</v>
          </cell>
          <cell r="G434">
            <v>1260</v>
          </cell>
          <cell r="H434">
            <v>12</v>
          </cell>
          <cell r="I434">
            <v>2.6629094751673126</v>
          </cell>
          <cell r="J434">
            <v>180</v>
          </cell>
          <cell r="K434" t="str">
            <v>PET 1250</v>
          </cell>
          <cell r="L434" t="str">
            <v>1260 ml</v>
          </cell>
          <cell r="M434" t="str">
            <v>CSD PET</v>
          </cell>
          <cell r="N434" t="str">
            <v>Pepsi Cola</v>
          </cell>
          <cell r="V434" t="str">
            <v>09.03.2026</v>
          </cell>
          <cell r="W434">
            <v>46090</v>
          </cell>
        </row>
        <row r="435">
          <cell r="A435" t="str">
            <v>MIRINDA GREEN CREAM LS 345ML PET 12X_192</v>
          </cell>
          <cell r="B435">
            <v>320022610</v>
          </cell>
          <cell r="C435" t="str">
            <v>MIRINDA GREEN CREAM LS 345ML PET 12X_192</v>
          </cell>
          <cell r="D435">
            <v>32</v>
          </cell>
          <cell r="E435">
            <v>6</v>
          </cell>
          <cell r="F435">
            <v>192</v>
          </cell>
          <cell r="G435">
            <v>345</v>
          </cell>
          <cell r="H435">
            <v>12</v>
          </cell>
          <cell r="I435">
            <v>0.72912997534343083</v>
          </cell>
          <cell r="J435">
            <v>120</v>
          </cell>
          <cell r="K435" t="str">
            <v>PET 350 P12</v>
          </cell>
          <cell r="L435" t="str">
            <v>345 ml</v>
          </cell>
          <cell r="M435" t="str">
            <v>CSD PET</v>
          </cell>
          <cell r="N435" t="str">
            <v>MRD Green Cream</v>
          </cell>
          <cell r="V435" t="str">
            <v>10.03.2026</v>
          </cell>
          <cell r="W435">
            <v>46091</v>
          </cell>
        </row>
        <row r="436">
          <cell r="A436" t="str">
            <v>MIRINDA STRWB LS 1L PET 12X 20B_70</v>
          </cell>
          <cell r="B436">
            <v>320022712</v>
          </cell>
          <cell r="C436" t="str">
            <v>MIRINDA STRWB LS 1L PET 12X 20B_70</v>
          </cell>
          <cell r="D436">
            <v>14</v>
          </cell>
          <cell r="E436">
            <v>5</v>
          </cell>
          <cell r="F436">
            <v>70</v>
          </cell>
          <cell r="G436">
            <v>1000</v>
          </cell>
          <cell r="H436">
            <v>12</v>
          </cell>
          <cell r="I436">
            <v>2.1134202183867559</v>
          </cell>
          <cell r="J436">
            <v>180</v>
          </cell>
          <cell r="K436" t="str">
            <v>PET 1000</v>
          </cell>
          <cell r="L436" t="str">
            <v>1000 ml</v>
          </cell>
          <cell r="M436" t="str">
            <v>CSD PET</v>
          </cell>
          <cell r="N436" t="str">
            <v>MRD Strawberry</v>
          </cell>
          <cell r="V436" t="str">
            <v>11.03.2026</v>
          </cell>
          <cell r="W436">
            <v>46092</v>
          </cell>
        </row>
        <row r="437">
          <cell r="A437" t="str">
            <v>MIRINDA ORANGE LS 1L PET 12X 20B_70</v>
          </cell>
          <cell r="B437">
            <v>320022713</v>
          </cell>
          <cell r="C437" t="str">
            <v>MIRINDA ORANGE LS 1L PET 12X 20B_70</v>
          </cell>
          <cell r="D437">
            <v>14</v>
          </cell>
          <cell r="E437">
            <v>5</v>
          </cell>
          <cell r="F437">
            <v>70</v>
          </cell>
          <cell r="G437">
            <v>1000</v>
          </cell>
          <cell r="H437">
            <v>12</v>
          </cell>
          <cell r="I437">
            <v>2.1134202183867559</v>
          </cell>
          <cell r="J437">
            <v>180</v>
          </cell>
          <cell r="K437" t="str">
            <v>PET 1000</v>
          </cell>
          <cell r="L437" t="str">
            <v>1000 ml</v>
          </cell>
          <cell r="M437" t="str">
            <v>CSD PET</v>
          </cell>
          <cell r="N437" t="str">
            <v>MRD Orange</v>
          </cell>
          <cell r="V437" t="str">
            <v>12.03.2026</v>
          </cell>
          <cell r="W437">
            <v>46093</v>
          </cell>
        </row>
        <row r="438">
          <cell r="A438" t="str">
            <v>MIRINDA ORANGE LS 1.45L PET 12X 25B_48</v>
          </cell>
          <cell r="B438">
            <v>320022714</v>
          </cell>
          <cell r="C438" t="str">
            <v>MIRINDA ORANGE LS 1.45L PET 12X 25B_48</v>
          </cell>
          <cell r="D438">
            <v>12</v>
          </cell>
          <cell r="E438">
            <v>4</v>
          </cell>
          <cell r="F438">
            <v>48</v>
          </cell>
          <cell r="G438">
            <v>1450</v>
          </cell>
          <cell r="H438">
            <v>12</v>
          </cell>
          <cell r="I438">
            <v>3.0644593166607961</v>
          </cell>
          <cell r="J438">
            <v>180</v>
          </cell>
          <cell r="K438" t="str">
            <v>PET 1500</v>
          </cell>
          <cell r="L438" t="str">
            <v>1450 ml</v>
          </cell>
          <cell r="M438" t="str">
            <v>CSD PET</v>
          </cell>
          <cell r="N438" t="str">
            <v>MRD Orange</v>
          </cell>
          <cell r="V438" t="str">
            <v>13.03.2026</v>
          </cell>
          <cell r="W438">
            <v>46094</v>
          </cell>
        </row>
        <row r="439">
          <cell r="A439" t="str">
            <v>MIRINDA STRWB LS 1.45L PET 12X 25B_48</v>
          </cell>
          <cell r="B439">
            <v>320022715</v>
          </cell>
          <cell r="C439" t="str">
            <v>MIRINDA STRWB LS 1.45L PET 12X 25B_48</v>
          </cell>
          <cell r="D439">
            <v>12</v>
          </cell>
          <cell r="E439">
            <v>4</v>
          </cell>
          <cell r="F439">
            <v>48</v>
          </cell>
          <cell r="G439">
            <v>1450</v>
          </cell>
          <cell r="H439">
            <v>12</v>
          </cell>
          <cell r="I439">
            <v>3.0644593166607961</v>
          </cell>
          <cell r="J439">
            <v>180</v>
          </cell>
          <cell r="K439" t="str">
            <v>PET 1500</v>
          </cell>
          <cell r="L439" t="str">
            <v>1450 ml</v>
          </cell>
          <cell r="M439" t="str">
            <v>CSD PET</v>
          </cell>
          <cell r="N439" t="str">
            <v>MRD Strawberry</v>
          </cell>
          <cell r="V439" t="str">
            <v>14.03.2026</v>
          </cell>
          <cell r="W439">
            <v>46095</v>
          </cell>
        </row>
        <row r="440">
          <cell r="A440" t="str">
            <v>MIRINDA GREEN CREAM LS 440ML PET 24X_72</v>
          </cell>
          <cell r="B440">
            <v>320022611</v>
          </cell>
          <cell r="C440" t="str">
            <v>MIRINDA GREEN CREAM LS 440ML PET 24X_72</v>
          </cell>
          <cell r="D440">
            <v>12</v>
          </cell>
          <cell r="E440">
            <v>6</v>
          </cell>
          <cell r="F440">
            <v>72</v>
          </cell>
          <cell r="G440">
            <v>450</v>
          </cell>
          <cell r="H440">
            <v>24</v>
          </cell>
          <cell r="I440">
            <v>1.9020781965480804</v>
          </cell>
          <cell r="J440">
            <v>180</v>
          </cell>
          <cell r="K440" t="str">
            <v>PET 450</v>
          </cell>
          <cell r="L440" t="str">
            <v>440 ml</v>
          </cell>
          <cell r="M440" t="str">
            <v>CSD PET</v>
          </cell>
          <cell r="N440" t="str">
            <v>MRD Green Cream</v>
          </cell>
          <cell r="V440" t="str">
            <v>15.03.2026</v>
          </cell>
          <cell r="W440">
            <v>46096</v>
          </cell>
        </row>
        <row r="441">
          <cell r="A441" t="str">
            <v>MIRINDA GREEN CREAM LS 1.45L PET 12X_48</v>
          </cell>
          <cell r="B441">
            <v>320022612</v>
          </cell>
          <cell r="C441" t="str">
            <v>MIRINDA GREEN CREAM LS 1.45L PET 12X_48</v>
          </cell>
          <cell r="D441">
            <v>12</v>
          </cell>
          <cell r="E441">
            <v>4</v>
          </cell>
          <cell r="F441">
            <v>48</v>
          </cell>
          <cell r="G441">
            <v>1450</v>
          </cell>
          <cell r="H441">
            <v>12</v>
          </cell>
          <cell r="I441">
            <v>3.0644593166607961</v>
          </cell>
          <cell r="J441">
            <v>180</v>
          </cell>
          <cell r="K441" t="str">
            <v>PET 1500</v>
          </cell>
          <cell r="L441" t="str">
            <v>1450 ml</v>
          </cell>
          <cell r="M441" t="str">
            <v>CSD PET</v>
          </cell>
          <cell r="N441" t="str">
            <v>MRD Green Cream</v>
          </cell>
          <cell r="V441" t="str">
            <v>16.03.2026</v>
          </cell>
          <cell r="W441">
            <v>46097</v>
          </cell>
        </row>
        <row r="442">
          <cell r="A442" t="str">
            <v>MIRINDA GR CREAM LS 245MLCAN 4XMP_64</v>
          </cell>
          <cell r="B442">
            <v>320022459</v>
          </cell>
          <cell r="C442" t="str">
            <v>MIRINDA GR CREAM LS 245MLCAN 4XMP 10B_64</v>
          </cell>
          <cell r="D442">
            <v>16</v>
          </cell>
          <cell r="E442">
            <v>4</v>
          </cell>
          <cell r="F442">
            <v>64</v>
          </cell>
          <cell r="G442">
            <v>245</v>
          </cell>
          <cell r="H442">
            <v>24</v>
          </cell>
          <cell r="I442">
            <v>1.0355759070095103</v>
          </cell>
          <cell r="J442">
            <v>270</v>
          </cell>
          <cell r="K442" t="str">
            <v>CAN 250</v>
          </cell>
          <cell r="L442" t="str">
            <v>245 ml</v>
          </cell>
          <cell r="M442" t="str">
            <v>CSD CAN</v>
          </cell>
          <cell r="N442" t="str">
            <v>MRD Green Cream</v>
          </cell>
          <cell r="V442" t="str">
            <v>17.03.2026</v>
          </cell>
          <cell r="W442">
            <v>46098</v>
          </cell>
        </row>
        <row r="443">
          <cell r="A443" t="str">
            <v>MIRINDA STRWB LS 345ML PET 12X_192</v>
          </cell>
          <cell r="B443">
            <v>320022614</v>
          </cell>
          <cell r="C443" t="str">
            <v>MIRINDA STRWB LS 345ML PET 12X_192</v>
          </cell>
          <cell r="D443">
            <v>32</v>
          </cell>
          <cell r="E443">
            <v>6</v>
          </cell>
          <cell r="F443">
            <v>192</v>
          </cell>
          <cell r="G443">
            <v>350</v>
          </cell>
          <cell r="H443">
            <v>12</v>
          </cell>
          <cell r="I443">
            <v>0.73969707643536453</v>
          </cell>
          <cell r="J443">
            <v>120</v>
          </cell>
          <cell r="K443" t="str">
            <v>PET 350 P12</v>
          </cell>
          <cell r="L443" t="str">
            <v>345ml</v>
          </cell>
          <cell r="M443" t="str">
            <v>CSD PET</v>
          </cell>
          <cell r="N443" t="str">
            <v>MRD Strawberry</v>
          </cell>
          <cell r="V443" t="str">
            <v>18.03.2026</v>
          </cell>
          <cell r="W443">
            <v>46099</v>
          </cell>
        </row>
        <row r="444">
          <cell r="A444" t="str">
            <v>MIRINDA STRWB LS 330ML PET 24X_91</v>
          </cell>
          <cell r="B444">
            <v>320022615</v>
          </cell>
          <cell r="C444" t="str">
            <v>MIRINDA STRWB LS 330ML PET 24X_91</v>
          </cell>
          <cell r="D444">
            <v>13</v>
          </cell>
          <cell r="E444">
            <v>7</v>
          </cell>
          <cell r="F444">
            <v>91</v>
          </cell>
          <cell r="G444">
            <v>350</v>
          </cell>
          <cell r="H444">
            <v>24</v>
          </cell>
          <cell r="I444">
            <v>1.4793941528707291</v>
          </cell>
          <cell r="J444">
            <v>120</v>
          </cell>
          <cell r="K444" t="str">
            <v>PET 350 P24</v>
          </cell>
          <cell r="L444" t="str">
            <v>330 ml</v>
          </cell>
          <cell r="M444" t="str">
            <v>CSD PET</v>
          </cell>
          <cell r="N444" t="str">
            <v>MRD Strawberry</v>
          </cell>
          <cell r="V444" t="str">
            <v>19.03.2026</v>
          </cell>
          <cell r="W444">
            <v>46100</v>
          </cell>
        </row>
        <row r="445">
          <cell r="A445" t="str">
            <v>MIRINDA STRWB LS 1.45L PET 12X_48</v>
          </cell>
          <cell r="B445">
            <v>320022616</v>
          </cell>
          <cell r="C445" t="str">
            <v>MIRINDA STRWB LS 1.45L PET 12X_48</v>
          </cell>
          <cell r="D445">
            <v>12</v>
          </cell>
          <cell r="E445">
            <v>4</v>
          </cell>
          <cell r="F445">
            <v>48</v>
          </cell>
          <cell r="G445">
            <v>1450</v>
          </cell>
          <cell r="H445">
            <v>12</v>
          </cell>
          <cell r="I445">
            <v>3.0644593166607961</v>
          </cell>
          <cell r="J445">
            <v>180</v>
          </cell>
          <cell r="K445" t="str">
            <v>PET 1500</v>
          </cell>
          <cell r="L445" t="str">
            <v>1450 ml</v>
          </cell>
          <cell r="M445" t="str">
            <v>CSD PET</v>
          </cell>
          <cell r="N445" t="str">
            <v>MRD Strawberry</v>
          </cell>
          <cell r="V445" t="str">
            <v>20.03.2026</v>
          </cell>
          <cell r="W445">
            <v>46101</v>
          </cell>
        </row>
        <row r="446">
          <cell r="A446" t="str">
            <v>GATORADE ORANGE NOSUGAR SMP350ML 12X_182</v>
          </cell>
          <cell r="B446">
            <v>320022731</v>
          </cell>
          <cell r="C446" t="str">
            <v>GATORADE ORANGE NOSUGAR SMP350ML 12X_182</v>
          </cell>
          <cell r="D446">
            <v>26</v>
          </cell>
          <cell r="E446">
            <v>7</v>
          </cell>
          <cell r="F446">
            <v>182</v>
          </cell>
          <cell r="G446">
            <v>350</v>
          </cell>
          <cell r="H446">
            <v>12</v>
          </cell>
          <cell r="I446">
            <v>0.73969707643536453</v>
          </cell>
          <cell r="J446">
            <v>270</v>
          </cell>
          <cell r="K446" t="str">
            <v>PET GTR 350 P12</v>
          </cell>
          <cell r="L446" t="str">
            <v>350ml</v>
          </cell>
          <cell r="M446" t="str">
            <v>NCB PET</v>
          </cell>
          <cell r="N446" t="str">
            <v>GATORADE</v>
          </cell>
          <cell r="V446" t="str">
            <v>21.03.2026</v>
          </cell>
          <cell r="W446">
            <v>46102</v>
          </cell>
        </row>
        <row r="447">
          <cell r="A447" t="str">
            <v>GATORADE NOSUGAR ORANGE 500ML PET12X_114</v>
          </cell>
          <cell r="B447">
            <v>320022688</v>
          </cell>
          <cell r="C447" t="str">
            <v>GATORADE NOSUGAR ORANGE 500ML PET12X_114</v>
          </cell>
          <cell r="D447">
            <v>19</v>
          </cell>
          <cell r="E447">
            <v>6</v>
          </cell>
          <cell r="F447">
            <v>114</v>
          </cell>
          <cell r="G447">
            <v>500</v>
          </cell>
          <cell r="H447">
            <v>12</v>
          </cell>
          <cell r="I447">
            <v>1.0567101091933779</v>
          </cell>
          <cell r="J447">
            <v>270</v>
          </cell>
          <cell r="K447" t="str">
            <v>PET GTR 500 P12</v>
          </cell>
          <cell r="L447" t="str">
            <v>500ml</v>
          </cell>
          <cell r="M447" t="str">
            <v>NCB PET</v>
          </cell>
          <cell r="N447" t="str">
            <v>GATORADE</v>
          </cell>
          <cell r="V447" t="str">
            <v>22.03.2026</v>
          </cell>
          <cell r="W447">
            <v>46103</v>
          </cell>
        </row>
        <row r="448">
          <cell r="A448" t="str">
            <v>GATORADE NOSUGAR ORANGE 350ML PET12X_182</v>
          </cell>
          <cell r="B448">
            <v>320022689</v>
          </cell>
          <cell r="C448" t="str">
            <v>GATORADE NOSUGAR ORANGE 350ML PET12X_182</v>
          </cell>
          <cell r="D448">
            <v>26</v>
          </cell>
          <cell r="E448">
            <v>7</v>
          </cell>
          <cell r="F448">
            <v>182</v>
          </cell>
          <cell r="G448">
            <v>350</v>
          </cell>
          <cell r="H448">
            <v>12</v>
          </cell>
          <cell r="I448">
            <v>0.73969707643536453</v>
          </cell>
          <cell r="J448">
            <v>270</v>
          </cell>
          <cell r="K448" t="str">
            <v>PET GTR 350 P12</v>
          </cell>
          <cell r="L448" t="str">
            <v>350ml</v>
          </cell>
          <cell r="M448" t="str">
            <v>NCB PET</v>
          </cell>
          <cell r="N448" t="str">
            <v>GATORADE</v>
          </cell>
          <cell r="V448" t="str">
            <v>23.03.2026</v>
          </cell>
          <cell r="W448">
            <v>46104</v>
          </cell>
        </row>
        <row r="449">
          <cell r="A449" t="str">
            <v>PEPSI NO SUGAR LIME 410ML PET 24X_72</v>
          </cell>
          <cell r="B449">
            <v>320022728</v>
          </cell>
          <cell r="C449" t="str">
            <v>PEPSI NO SUGAR LIME 410ML PET 24X_72</v>
          </cell>
          <cell r="D449">
            <v>12</v>
          </cell>
          <cell r="E449">
            <v>6</v>
          </cell>
          <cell r="F449">
            <v>72</v>
          </cell>
          <cell r="G449">
            <v>410</v>
          </cell>
          <cell r="H449">
            <v>24</v>
          </cell>
          <cell r="I449">
            <v>1.7330045790771398</v>
          </cell>
          <cell r="J449">
            <v>180</v>
          </cell>
          <cell r="K449" t="str">
            <v>PET 450</v>
          </cell>
          <cell r="L449" t="str">
            <v>410 ml</v>
          </cell>
          <cell r="M449" t="str">
            <v>CSD PET</v>
          </cell>
          <cell r="N449" t="str">
            <v>PEPSI NO SUGAR</v>
          </cell>
          <cell r="V449" t="str">
            <v>24.03.2026</v>
          </cell>
          <cell r="W449">
            <v>46105</v>
          </cell>
        </row>
        <row r="450">
          <cell r="A450" t="str">
            <v>PEPSI NO SUGAR LIME 345ML PET 12X_192</v>
          </cell>
          <cell r="B450">
            <v>320022743</v>
          </cell>
          <cell r="C450" t="str">
            <v>PEPSI NO SUGAR LIME 345ML PET 12X_192</v>
          </cell>
          <cell r="D450">
            <v>32</v>
          </cell>
          <cell r="E450">
            <v>6</v>
          </cell>
          <cell r="F450">
            <v>192</v>
          </cell>
          <cell r="G450">
            <v>345</v>
          </cell>
          <cell r="H450">
            <v>12</v>
          </cell>
          <cell r="I450">
            <v>0.72912997534343083</v>
          </cell>
          <cell r="J450">
            <v>120</v>
          </cell>
          <cell r="K450" t="str">
            <v>PET 350 P12</v>
          </cell>
          <cell r="L450" t="str">
            <v>345 ml</v>
          </cell>
          <cell r="M450" t="str">
            <v>CSD PET</v>
          </cell>
          <cell r="N450" t="str">
            <v>PEPSI NO SUGAR</v>
          </cell>
          <cell r="V450" t="str">
            <v>25.03.2026</v>
          </cell>
          <cell r="W450">
            <v>46106</v>
          </cell>
        </row>
        <row r="451">
          <cell r="A451" t="str">
            <v>PEPSI NO SUGAR LIME 325ML CAN 4X MP_104</v>
          </cell>
          <cell r="B451">
            <v>320022744</v>
          </cell>
          <cell r="C451" t="str">
            <v>PEPSI NO SUGAR LIME 325ML CAN 4X MP_104</v>
          </cell>
          <cell r="V451" t="str">
            <v>26.03.2026</v>
          </cell>
          <cell r="W451">
            <v>46107</v>
          </cell>
        </row>
        <row r="452">
          <cell r="A452" t="str">
            <v>PEPSI NO SUGAR LIME 550ML PET 24X_60</v>
          </cell>
          <cell r="B452">
            <v>320022752</v>
          </cell>
          <cell r="C452" t="str">
            <v>PEPSI NO SUGAR LIME 550ML PET 24X_60</v>
          </cell>
          <cell r="D452">
            <v>10</v>
          </cell>
          <cell r="E452">
            <v>6</v>
          </cell>
          <cell r="F452">
            <v>60</v>
          </cell>
          <cell r="G452">
            <v>550</v>
          </cell>
          <cell r="H452">
            <v>24</v>
          </cell>
          <cell r="I452">
            <v>2.3247622402254313</v>
          </cell>
          <cell r="J452">
            <v>180</v>
          </cell>
          <cell r="K452" t="str">
            <v>PET 550</v>
          </cell>
          <cell r="L452" t="str">
            <v>550 ml</v>
          </cell>
          <cell r="M452" t="str">
            <v>CSD PET</v>
          </cell>
          <cell r="N452" t="str">
            <v>PEPSI NO SUGAR</v>
          </cell>
          <cell r="V452" t="str">
            <v>27.03.2026</v>
          </cell>
          <cell r="W452">
            <v>46108</v>
          </cell>
        </row>
        <row r="453">
          <cell r="A453" t="str">
            <v>PEPSI NO SUGAR LIME 345+85ML PET12X _150</v>
          </cell>
          <cell r="B453">
            <v>320022753</v>
          </cell>
          <cell r="C453" t="str">
            <v>PEPSI NO SUGAR LIME 345+85ML PET12X _150</v>
          </cell>
          <cell r="D453">
            <v>30</v>
          </cell>
          <cell r="E453">
            <v>5</v>
          </cell>
          <cell r="F453">
            <v>150</v>
          </cell>
          <cell r="G453">
            <v>430</v>
          </cell>
          <cell r="H453">
            <v>12</v>
          </cell>
          <cell r="I453">
            <v>0.90877069390630505</v>
          </cell>
          <cell r="J453">
            <v>180</v>
          </cell>
          <cell r="K453" t="str">
            <v>PET 430</v>
          </cell>
          <cell r="L453" t="str">
            <v>430ml</v>
          </cell>
          <cell r="M453" t="str">
            <v>CSD PET</v>
          </cell>
          <cell r="N453" t="str">
            <v>PEPSI NO SUGAR</v>
          </cell>
          <cell r="V453" t="str">
            <v>28.03.2026</v>
          </cell>
          <cell r="W453">
            <v>46109</v>
          </cell>
        </row>
        <row r="454">
          <cell r="A454" t="str">
            <v>PEPSI NO SUGAR 345+85ML PET 12X _150</v>
          </cell>
          <cell r="B454">
            <v>320022754</v>
          </cell>
          <cell r="C454" t="str">
            <v>PEPSI NO SUGAR 345+85ML PET 12X _150</v>
          </cell>
          <cell r="D454">
            <v>30</v>
          </cell>
          <cell r="E454">
            <v>5</v>
          </cell>
          <cell r="F454">
            <v>150</v>
          </cell>
          <cell r="G454">
            <v>430</v>
          </cell>
          <cell r="H454">
            <v>12</v>
          </cell>
          <cell r="I454">
            <v>0.90877069390630505</v>
          </cell>
          <cell r="J454">
            <v>180</v>
          </cell>
          <cell r="K454" t="str">
            <v>PET 430</v>
          </cell>
          <cell r="L454" t="str">
            <v>430ml</v>
          </cell>
          <cell r="M454" t="str">
            <v>CSD PET</v>
          </cell>
          <cell r="N454" t="str">
            <v>PEPSI NO SUGAR</v>
          </cell>
          <cell r="V454" t="str">
            <v>29.03.2026</v>
          </cell>
          <cell r="W454">
            <v>46110</v>
          </cell>
        </row>
        <row r="455">
          <cell r="A455" t="str">
            <v>PEPSI NO SUGAR LIME 325MLCAN4X 5+1MP_104</v>
          </cell>
          <cell r="B455">
            <v>320022755</v>
          </cell>
          <cell r="C455" t="str">
            <v>PEPSI NO SUGAR LIME 325MLCAN4X 5+1MP_104</v>
          </cell>
          <cell r="D455">
            <v>13</v>
          </cell>
          <cell r="E455">
            <v>8</v>
          </cell>
          <cell r="F455">
            <v>104</v>
          </cell>
          <cell r="G455">
            <v>325</v>
          </cell>
          <cell r="H455">
            <v>24</v>
          </cell>
          <cell r="I455">
            <v>1.3737231419513913</v>
          </cell>
          <cell r="J455">
            <v>180</v>
          </cell>
          <cell r="K455" t="str">
            <v>CAN 330</v>
          </cell>
          <cell r="L455" t="str">
            <v>325 ml</v>
          </cell>
          <cell r="M455" t="str">
            <v>CSD CAN</v>
          </cell>
          <cell r="N455" t="str">
            <v>PEPSI NO SUGAR</v>
          </cell>
          <cell r="V455" t="str">
            <v>30.03.2026</v>
          </cell>
          <cell r="W455">
            <v>46111</v>
          </cell>
        </row>
        <row r="456">
          <cell r="A456" t="str">
            <v>PEPSI NO SUGAR 10L BIB 1X_48</v>
          </cell>
          <cell r="B456">
            <v>320022756</v>
          </cell>
          <cell r="C456" t="str">
            <v>PEPSI NO SUGAR 10L BIB 1X_48</v>
          </cell>
          <cell r="D456">
            <v>12</v>
          </cell>
          <cell r="E456">
            <v>4</v>
          </cell>
          <cell r="F456">
            <v>48</v>
          </cell>
          <cell r="G456">
            <v>10000</v>
          </cell>
          <cell r="H456">
            <v>6</v>
          </cell>
          <cell r="I456">
            <v>10.567101091933779</v>
          </cell>
          <cell r="J456">
            <v>120</v>
          </cell>
          <cell r="K456" t="str">
            <v>BIB 10L</v>
          </cell>
          <cell r="L456" t="str">
            <v>10 L</v>
          </cell>
          <cell r="M456" t="str">
            <v>CSD PMX</v>
          </cell>
          <cell r="N456" t="str">
            <v>PEPSI NO SUGAR</v>
          </cell>
          <cell r="V456" t="str">
            <v>31.03.2026</v>
          </cell>
          <cell r="W456">
            <v>46112</v>
          </cell>
        </row>
        <row r="457">
          <cell r="A457" t="str">
            <v>PEPSI NO SUGAR 240ML CAN 4X MP_64</v>
          </cell>
          <cell r="B457">
            <v>320022757</v>
          </cell>
          <cell r="C457" t="str">
            <v>PEPSI NO SUGAR 240ML CAN 4X MP_64</v>
          </cell>
          <cell r="D457">
            <v>16</v>
          </cell>
          <cell r="E457">
            <v>4</v>
          </cell>
          <cell r="F457">
            <v>64</v>
          </cell>
          <cell r="G457">
            <v>240</v>
          </cell>
          <cell r="H457">
            <v>24</v>
          </cell>
          <cell r="I457">
            <v>1.0144417048256429</v>
          </cell>
          <cell r="J457">
            <v>180</v>
          </cell>
          <cell r="K457" t="str">
            <v>CAN 250</v>
          </cell>
          <cell r="L457" t="str">
            <v>245 ml</v>
          </cell>
          <cell r="M457" t="str">
            <v>CSD CAN</v>
          </cell>
          <cell r="N457" t="str">
            <v>PEPSI NO SUGAR</v>
          </cell>
          <cell r="V457" t="str">
            <v>01.04.2026</v>
          </cell>
          <cell r="W457">
            <v>46113</v>
          </cell>
        </row>
        <row r="458">
          <cell r="A458" t="str">
            <v>PEPSI NO SUGAR 245ML CAN 4X MP_64</v>
          </cell>
          <cell r="B458">
            <v>320022758</v>
          </cell>
          <cell r="C458" t="str">
            <v>PEPSI NO SUGAR 245ML CAN 4X MP_64</v>
          </cell>
          <cell r="D458">
            <v>16</v>
          </cell>
          <cell r="E458">
            <v>4</v>
          </cell>
          <cell r="F458">
            <v>64</v>
          </cell>
          <cell r="G458">
            <v>245</v>
          </cell>
          <cell r="H458">
            <v>24</v>
          </cell>
          <cell r="I458">
            <v>1.0355759070095103</v>
          </cell>
          <cell r="J458">
            <v>180</v>
          </cell>
          <cell r="K458" t="str">
            <v>CAN 250</v>
          </cell>
          <cell r="L458" t="str">
            <v>245 ml</v>
          </cell>
          <cell r="M458" t="str">
            <v>CSD CAN</v>
          </cell>
          <cell r="N458" t="str">
            <v>PEPSI NO SUGAR</v>
          </cell>
          <cell r="V458" t="str">
            <v>02.04.2026</v>
          </cell>
          <cell r="W458">
            <v>46114</v>
          </cell>
        </row>
        <row r="459">
          <cell r="A459" t="str">
            <v>PEPSI NO SUGAR 245ML CAN 4X 5+1 MP_64</v>
          </cell>
          <cell r="B459">
            <v>320022759</v>
          </cell>
          <cell r="C459" t="str">
            <v>PEPSI NO SUGAR 245ML CAN 4X 5+1 MP_64</v>
          </cell>
          <cell r="D459">
            <v>16</v>
          </cell>
          <cell r="E459">
            <v>4</v>
          </cell>
          <cell r="F459">
            <v>64</v>
          </cell>
          <cell r="G459">
            <v>245</v>
          </cell>
          <cell r="H459">
            <v>24</v>
          </cell>
          <cell r="I459">
            <v>1.0355759070095103</v>
          </cell>
          <cell r="J459">
            <v>180</v>
          </cell>
          <cell r="K459" t="str">
            <v>CAN 250</v>
          </cell>
          <cell r="L459" t="str">
            <v>245 ml</v>
          </cell>
          <cell r="M459" t="str">
            <v>CSD CAN</v>
          </cell>
          <cell r="N459" t="str">
            <v>PEPSI NO SUGAR</v>
          </cell>
          <cell r="V459" t="str">
            <v>03.04.2026</v>
          </cell>
          <cell r="W459">
            <v>46115</v>
          </cell>
        </row>
        <row r="460">
          <cell r="A460" t="str">
            <v>PEPSI NO SUGAR 325ML CAN 4X MP_104</v>
          </cell>
          <cell r="B460">
            <v>320022760</v>
          </cell>
          <cell r="C460" t="str">
            <v>PEPSI NO SUGAR 325ML CAN 4X MP_104</v>
          </cell>
          <cell r="D460">
            <v>13</v>
          </cell>
          <cell r="E460">
            <v>8</v>
          </cell>
          <cell r="F460">
            <v>104</v>
          </cell>
          <cell r="G460">
            <v>325</v>
          </cell>
          <cell r="H460">
            <v>24</v>
          </cell>
          <cell r="I460">
            <v>1.3737231419513913</v>
          </cell>
          <cell r="J460">
            <v>180</v>
          </cell>
          <cell r="K460" t="str">
            <v>CAN 330</v>
          </cell>
          <cell r="L460" t="str">
            <v>325 ml</v>
          </cell>
          <cell r="M460" t="str">
            <v>CSD CAN</v>
          </cell>
          <cell r="N460" t="str">
            <v>PEPSI NO SUGAR</v>
          </cell>
          <cell r="V460" t="str">
            <v>04.04.2026</v>
          </cell>
          <cell r="W460">
            <v>46116</v>
          </cell>
        </row>
        <row r="461">
          <cell r="A461" t="str">
            <v>PEPSI NO SUGAR 330ML PET 24X_91</v>
          </cell>
          <cell r="B461">
            <v>320022761</v>
          </cell>
          <cell r="C461" t="str">
            <v>PEPSI NO SUGAR 330ML PET 24X_91</v>
          </cell>
          <cell r="D461">
            <v>13</v>
          </cell>
          <cell r="E461">
            <v>7</v>
          </cell>
          <cell r="F461">
            <v>91</v>
          </cell>
          <cell r="G461">
            <v>330</v>
          </cell>
          <cell r="H461">
            <v>24</v>
          </cell>
          <cell r="I461">
            <v>1.394857344135259</v>
          </cell>
          <cell r="J461">
            <v>120</v>
          </cell>
          <cell r="K461" t="str">
            <v>PET 350 P24</v>
          </cell>
          <cell r="L461" t="str">
            <v>330 ml</v>
          </cell>
          <cell r="M461" t="str">
            <v>CSD PET</v>
          </cell>
          <cell r="N461" t="str">
            <v>PEPSI NO SUGAR</v>
          </cell>
          <cell r="V461" t="str">
            <v>05.04.2026</v>
          </cell>
          <cell r="W461">
            <v>46117</v>
          </cell>
        </row>
        <row r="462">
          <cell r="A462" t="str">
            <v>PEPSI NO SUGAR 345ML PET 12X_192</v>
          </cell>
          <cell r="B462">
            <v>320022762</v>
          </cell>
          <cell r="C462" t="str">
            <v>PEPSI NO SUGAR 345ML PET 12X_192</v>
          </cell>
          <cell r="D462">
            <v>32</v>
          </cell>
          <cell r="E462">
            <v>6</v>
          </cell>
          <cell r="F462">
            <v>192</v>
          </cell>
          <cell r="G462">
            <v>345</v>
          </cell>
          <cell r="H462">
            <v>12</v>
          </cell>
          <cell r="I462">
            <v>0.72912997534343083</v>
          </cell>
          <cell r="J462">
            <v>120</v>
          </cell>
          <cell r="K462" t="str">
            <v>PET 350 P12</v>
          </cell>
          <cell r="L462" t="str">
            <v>345 ml</v>
          </cell>
          <cell r="M462" t="str">
            <v>CSD PET</v>
          </cell>
          <cell r="N462" t="str">
            <v>PEPSI NO SUGAR</v>
          </cell>
          <cell r="V462" t="str">
            <v>06.04.2026</v>
          </cell>
          <cell r="W462">
            <v>46118</v>
          </cell>
        </row>
        <row r="463">
          <cell r="A463" t="str">
            <v>PEPSI NO SUGAR 550ML PET 24X_60</v>
          </cell>
          <cell r="B463">
            <v>320022763</v>
          </cell>
          <cell r="C463" t="str">
            <v>PEPSI NO SUGAR 550ML PET 24X_60</v>
          </cell>
          <cell r="D463">
            <v>10</v>
          </cell>
          <cell r="E463">
            <v>6</v>
          </cell>
          <cell r="F463">
            <v>60</v>
          </cell>
          <cell r="G463">
            <v>550</v>
          </cell>
          <cell r="H463">
            <v>24</v>
          </cell>
          <cell r="I463">
            <v>2.3247622402254313</v>
          </cell>
          <cell r="J463">
            <v>180</v>
          </cell>
          <cell r="K463" t="str">
            <v>PET 550</v>
          </cell>
          <cell r="L463" t="str">
            <v>550 ml</v>
          </cell>
          <cell r="M463" t="str">
            <v>CSD PET</v>
          </cell>
          <cell r="N463" t="str">
            <v>PEPSI NO SUGAR</v>
          </cell>
          <cell r="V463" t="str">
            <v>07.04.2026</v>
          </cell>
          <cell r="W463">
            <v>46119</v>
          </cell>
        </row>
        <row r="464">
          <cell r="A464" t="str">
            <v>PEPSI NO SUGAR 1L PET 12X_70</v>
          </cell>
          <cell r="B464">
            <v>320022765</v>
          </cell>
          <cell r="C464" t="str">
            <v>PEPSI NO SUGAR 1L PET 12X_70</v>
          </cell>
          <cell r="D464">
            <v>14</v>
          </cell>
          <cell r="E464">
            <v>5</v>
          </cell>
          <cell r="F464">
            <v>70</v>
          </cell>
          <cell r="G464">
            <v>1000</v>
          </cell>
          <cell r="H464">
            <v>12</v>
          </cell>
          <cell r="I464">
            <v>2.1134202183867559</v>
          </cell>
          <cell r="J464">
            <v>180</v>
          </cell>
          <cell r="K464" t="str">
            <v>PET 1000</v>
          </cell>
          <cell r="L464" t="str">
            <v>1000 ml</v>
          </cell>
          <cell r="M464" t="str">
            <v>CSD PET</v>
          </cell>
          <cell r="N464" t="str">
            <v>PEPSI NO SUGAR</v>
          </cell>
          <cell r="V464" t="str">
            <v>08.04.2026</v>
          </cell>
          <cell r="W464">
            <v>46120</v>
          </cell>
        </row>
        <row r="465">
          <cell r="A465" t="str">
            <v>PEPSI NO SUGAR 1.45L PET 12X_48</v>
          </cell>
          <cell r="B465">
            <v>320022766</v>
          </cell>
          <cell r="C465" t="str">
            <v>PEPSI NO SUGAR 1.45L PET 12X_48</v>
          </cell>
          <cell r="D465">
            <v>12</v>
          </cell>
          <cell r="E465">
            <v>4</v>
          </cell>
          <cell r="F465">
            <v>48</v>
          </cell>
          <cell r="G465">
            <v>1450</v>
          </cell>
          <cell r="H465">
            <v>12</v>
          </cell>
          <cell r="I465">
            <v>3.0644593166607961</v>
          </cell>
          <cell r="J465">
            <v>180</v>
          </cell>
          <cell r="K465" t="str">
            <v>PET 1500</v>
          </cell>
          <cell r="L465" t="str">
            <v>1450 ml</v>
          </cell>
          <cell r="M465" t="str">
            <v>CSD PET</v>
          </cell>
          <cell r="N465" t="str">
            <v>PEPSI NO SUGAR</v>
          </cell>
          <cell r="V465" t="str">
            <v>09.04.2026</v>
          </cell>
          <cell r="W465">
            <v>46121</v>
          </cell>
        </row>
        <row r="466">
          <cell r="A466" t="str">
            <v>PEPSI COLA MID CAL 345ML PET 24X WH_102</v>
          </cell>
          <cell r="B466">
            <v>320022736</v>
          </cell>
          <cell r="C466" t="str">
            <v>PEPSI COLA MID CAL 345ML PET 24X WH_102</v>
          </cell>
          <cell r="D466">
            <v>17</v>
          </cell>
          <cell r="E466">
            <v>6</v>
          </cell>
          <cell r="F466">
            <v>102</v>
          </cell>
          <cell r="G466">
            <v>345</v>
          </cell>
          <cell r="H466">
            <v>24</v>
          </cell>
          <cell r="I466">
            <v>1.4582599506868617</v>
          </cell>
          <cell r="J466">
            <v>120</v>
          </cell>
          <cell r="K466" t="str">
            <v>PET 350 P24</v>
          </cell>
          <cell r="L466" t="str">
            <v>345 ml</v>
          </cell>
          <cell r="M466" t="str">
            <v>CSD PET</v>
          </cell>
          <cell r="N466" t="str">
            <v>Pepsi Cola</v>
          </cell>
          <cell r="V466" t="str">
            <v>10.04.2026</v>
          </cell>
          <cell r="W466">
            <v>46122</v>
          </cell>
        </row>
        <row r="467">
          <cell r="A467" t="str">
            <v>PEPSI COLA MID CAL 300ML PET 24X WH_119</v>
          </cell>
          <cell r="B467">
            <v>320022737</v>
          </cell>
          <cell r="C467" t="str">
            <v>PEPSI COLA MID CAL 300ML PET 24X WH_119</v>
          </cell>
          <cell r="D467">
            <v>17</v>
          </cell>
          <cell r="E467">
            <v>7</v>
          </cell>
          <cell r="F467">
            <v>119</v>
          </cell>
          <cell r="G467">
            <v>300</v>
          </cell>
          <cell r="H467">
            <v>24</v>
          </cell>
          <cell r="I467">
            <v>1.2680521310320536</v>
          </cell>
          <cell r="J467">
            <v>120</v>
          </cell>
          <cell r="K467" t="str">
            <v>PET 300 EMN P24</v>
          </cell>
          <cell r="L467" t="str">
            <v>300 ml</v>
          </cell>
          <cell r="M467" t="str">
            <v>CSD PET</v>
          </cell>
          <cell r="N467" t="str">
            <v>Pepsi Cola</v>
          </cell>
          <cell r="V467" t="str">
            <v>11.04.2026</v>
          </cell>
          <cell r="W467">
            <v>46123</v>
          </cell>
        </row>
        <row r="468">
          <cell r="A468" t="str">
            <v>LIPTON LEMON 10L BIB_New</v>
          </cell>
          <cell r="B468">
            <v>320022790</v>
          </cell>
          <cell r="C468" t="str">
            <v>LIPTON LEMON 10L BIB_New</v>
          </cell>
          <cell r="D468">
            <v>12</v>
          </cell>
          <cell r="E468">
            <v>4</v>
          </cell>
          <cell r="F468">
            <v>48</v>
          </cell>
          <cell r="G468">
            <v>10000</v>
          </cell>
          <cell r="H468">
            <v>5</v>
          </cell>
          <cell r="I468">
            <v>8.805917576611483</v>
          </cell>
          <cell r="J468">
            <v>180</v>
          </cell>
          <cell r="K468" t="str">
            <v>BIB NCB 10L</v>
          </cell>
          <cell r="L468" t="str">
            <v>10 L</v>
          </cell>
          <cell r="M468" t="str">
            <v>NCB PMX</v>
          </cell>
          <cell r="N468" t="str">
            <v>Lipton</v>
          </cell>
          <cell r="V468" t="str">
            <v>12.04.2026</v>
          </cell>
          <cell r="W468">
            <v>46124</v>
          </cell>
        </row>
        <row r="469">
          <cell r="A469" t="str">
            <v>7UP No Sugar 440ML PET 24X_72</v>
          </cell>
          <cell r="B469">
            <v>320022786</v>
          </cell>
          <cell r="C469" t="str">
            <v>7UP No Sugar 440ML PET 24X_72</v>
          </cell>
          <cell r="D469">
            <v>12</v>
          </cell>
          <cell r="E469">
            <v>6</v>
          </cell>
          <cell r="F469">
            <v>72</v>
          </cell>
          <cell r="G469">
            <v>440</v>
          </cell>
          <cell r="H469">
            <v>24</v>
          </cell>
          <cell r="I469">
            <v>1.8598097921803451</v>
          </cell>
          <cell r="J469">
            <v>180</v>
          </cell>
          <cell r="K469" t="str">
            <v>PET 450</v>
          </cell>
          <cell r="L469" t="str">
            <v>440 ml</v>
          </cell>
          <cell r="M469" t="str">
            <v>CSD PET</v>
          </cell>
          <cell r="N469" t="str">
            <v>7-Up</v>
          </cell>
          <cell r="V469" t="str">
            <v>13.04.2026</v>
          </cell>
          <cell r="W469">
            <v>46125</v>
          </cell>
        </row>
        <row r="470">
          <cell r="A470" t="str">
            <v>7UP No Sugar 1.45L PET 12X_48</v>
          </cell>
          <cell r="B470">
            <v>320022773</v>
          </cell>
          <cell r="C470" t="str">
            <v>7UP No Sugar 1.45L PET 12X_48</v>
          </cell>
          <cell r="D470">
            <v>12</v>
          </cell>
          <cell r="E470">
            <v>4</v>
          </cell>
          <cell r="F470">
            <v>48</v>
          </cell>
          <cell r="G470">
            <v>1450</v>
          </cell>
          <cell r="H470">
            <v>12</v>
          </cell>
          <cell r="I470">
            <v>3.0644593166607961</v>
          </cell>
          <cell r="J470">
            <v>180</v>
          </cell>
          <cell r="K470" t="str">
            <v>PET 1500</v>
          </cell>
          <cell r="L470" t="str">
            <v>1450 ml</v>
          </cell>
          <cell r="M470" t="str">
            <v>CSD PET</v>
          </cell>
          <cell r="N470" t="str">
            <v>7-Up</v>
          </cell>
          <cell r="V470" t="str">
            <v>14.04.2026</v>
          </cell>
          <cell r="W470">
            <v>46126</v>
          </cell>
        </row>
        <row r="471">
          <cell r="A471" t="str">
            <v>7UP No Sugar 10L BIB 1X_48</v>
          </cell>
          <cell r="B471">
            <v>320022789</v>
          </cell>
          <cell r="C471" t="str">
            <v>7UP No Sugar 10L BIB 1X_48</v>
          </cell>
          <cell r="D471">
            <v>12</v>
          </cell>
          <cell r="E471">
            <v>4</v>
          </cell>
          <cell r="F471">
            <v>48</v>
          </cell>
          <cell r="G471">
            <v>10000</v>
          </cell>
          <cell r="H471">
            <v>6</v>
          </cell>
          <cell r="I471">
            <v>10.567101091933779</v>
          </cell>
          <cell r="J471">
            <v>120</v>
          </cell>
          <cell r="K471" t="str">
            <v>BIB 10L</v>
          </cell>
          <cell r="L471" t="str">
            <v>10 L</v>
          </cell>
          <cell r="M471" t="str">
            <v>CSD PMX</v>
          </cell>
          <cell r="N471" t="str">
            <v>7-Up</v>
          </cell>
          <cell r="V471" t="str">
            <v>15.04.2026</v>
          </cell>
          <cell r="W471">
            <v>46127</v>
          </cell>
        </row>
        <row r="472">
          <cell r="A472" t="str">
            <v>7UP No Sugar FIBER 325ML CAN 4X MP_104</v>
          </cell>
          <cell r="B472">
            <v>320022787</v>
          </cell>
          <cell r="C472" t="str">
            <v>7UP No Sugar FIBER 325ML CAN 4X MP_104</v>
          </cell>
          <cell r="D472">
            <v>13</v>
          </cell>
          <cell r="E472">
            <v>8</v>
          </cell>
          <cell r="F472">
            <v>104</v>
          </cell>
          <cell r="G472">
            <v>325</v>
          </cell>
          <cell r="H472">
            <v>24</v>
          </cell>
          <cell r="I472">
            <v>1.3737231419513913</v>
          </cell>
          <cell r="J472">
            <v>180</v>
          </cell>
          <cell r="K472" t="str">
            <v>CAN 330</v>
          </cell>
          <cell r="L472" t="str">
            <v>325 ml</v>
          </cell>
          <cell r="M472" t="str">
            <v>CSD CAN</v>
          </cell>
          <cell r="N472" t="str">
            <v>7-Up</v>
          </cell>
          <cell r="V472" t="str">
            <v>16.04.2026</v>
          </cell>
          <cell r="W472">
            <v>46128</v>
          </cell>
        </row>
        <row r="473">
          <cell r="A473" t="str">
            <v>7UP NO SUGAR FIBER SMP 320ML PET 12X_192</v>
          </cell>
          <cell r="B473">
            <v>320022783</v>
          </cell>
          <cell r="C473" t="str">
            <v>7UP NO SUGAR FIBER SMP 320ML PET 12X_192</v>
          </cell>
          <cell r="D473">
            <v>32</v>
          </cell>
          <cell r="E473">
            <v>6</v>
          </cell>
          <cell r="F473">
            <v>192</v>
          </cell>
          <cell r="G473">
            <v>320</v>
          </cell>
          <cell r="H473">
            <v>12</v>
          </cell>
          <cell r="I473">
            <v>0.67629446988376185</v>
          </cell>
          <cell r="J473">
            <v>120</v>
          </cell>
          <cell r="K473" t="str">
            <v>PET 350 P12</v>
          </cell>
          <cell r="L473" t="str">
            <v>320 ml</v>
          </cell>
          <cell r="M473" t="str">
            <v>CSD PET</v>
          </cell>
          <cell r="N473" t="str">
            <v>7-Up</v>
          </cell>
          <cell r="V473" t="str">
            <v>17.04.2026</v>
          </cell>
          <cell r="W473">
            <v>46129</v>
          </cell>
        </row>
        <row r="474">
          <cell r="A474" t="str">
            <v>7UP No Sugar 325ML CAN 4X MP_104</v>
          </cell>
          <cell r="B474">
            <v>320022784</v>
          </cell>
          <cell r="C474" t="str">
            <v>7UP No Sugar 325ML CAN 4X MP_104</v>
          </cell>
          <cell r="D474">
            <v>13</v>
          </cell>
          <cell r="E474">
            <v>8</v>
          </cell>
          <cell r="F474">
            <v>104</v>
          </cell>
          <cell r="G474">
            <v>325</v>
          </cell>
          <cell r="H474">
            <v>24</v>
          </cell>
          <cell r="I474">
            <v>1.3737231419513913</v>
          </cell>
          <cell r="J474">
            <v>180</v>
          </cell>
          <cell r="K474" t="str">
            <v>CAN 330</v>
          </cell>
          <cell r="L474" t="str">
            <v>325 ml</v>
          </cell>
          <cell r="M474" t="str">
            <v>CSD CAN</v>
          </cell>
          <cell r="N474" t="str">
            <v>7-Up</v>
          </cell>
          <cell r="V474" t="str">
            <v>18.04.2026</v>
          </cell>
          <cell r="W474">
            <v>46130</v>
          </cell>
        </row>
        <row r="475">
          <cell r="A475" t="str">
            <v>7UP No Sugar 345ML PET 12X_192</v>
          </cell>
          <cell r="B475">
            <v>320022785</v>
          </cell>
          <cell r="C475" t="str">
            <v>7UP No Sugar 345ML PET 12X_192</v>
          </cell>
          <cell r="D475">
            <v>32</v>
          </cell>
          <cell r="E475">
            <v>6</v>
          </cell>
          <cell r="F475">
            <v>192</v>
          </cell>
          <cell r="G475">
            <v>345</v>
          </cell>
          <cell r="H475">
            <v>12</v>
          </cell>
          <cell r="I475">
            <v>0.72912997534343083</v>
          </cell>
          <cell r="J475">
            <v>120</v>
          </cell>
          <cell r="K475" t="str">
            <v>PET 350 P12</v>
          </cell>
          <cell r="L475" t="str">
            <v>345 ml</v>
          </cell>
          <cell r="M475" t="str">
            <v>CSD PET</v>
          </cell>
          <cell r="N475" t="str">
            <v>7-Up</v>
          </cell>
          <cell r="V475" t="str">
            <v>19.04.2026</v>
          </cell>
          <cell r="W475">
            <v>46131</v>
          </cell>
        </row>
        <row r="476">
          <cell r="A476" t="str">
            <v>7UP No Sugar FIBER 440ML PET 24X_72</v>
          </cell>
          <cell r="B476">
            <v>320022788</v>
          </cell>
          <cell r="C476" t="str">
            <v>7UP No Sugar FIBER 440ML PET 24X_72</v>
          </cell>
          <cell r="D476">
            <v>12</v>
          </cell>
          <cell r="E476">
            <v>6</v>
          </cell>
          <cell r="F476">
            <v>72</v>
          </cell>
          <cell r="G476">
            <v>440</v>
          </cell>
          <cell r="H476">
            <v>24</v>
          </cell>
          <cell r="I476">
            <v>1.8598097921803451</v>
          </cell>
          <cell r="J476">
            <v>180</v>
          </cell>
          <cell r="K476" t="str">
            <v>PET 450</v>
          </cell>
          <cell r="L476" t="str">
            <v>440 ml</v>
          </cell>
          <cell r="M476" t="str">
            <v>CSD PET</v>
          </cell>
          <cell r="N476" t="str">
            <v>7-Up</v>
          </cell>
          <cell r="V476" t="str">
            <v>20.04.2026</v>
          </cell>
          <cell r="W476">
            <v>46132</v>
          </cell>
        </row>
        <row r="477">
          <cell r="A477" t="str">
            <v>PEPSI NO SUGAR SMP 320ML PET 12X_192</v>
          </cell>
          <cell r="B477">
            <v>320022768</v>
          </cell>
          <cell r="C477" t="str">
            <v>PEPSI NO SUGAR SMP 320ML PET 12X_192</v>
          </cell>
          <cell r="D477">
            <v>32</v>
          </cell>
          <cell r="E477">
            <v>6</v>
          </cell>
          <cell r="F477">
            <v>192</v>
          </cell>
          <cell r="G477">
            <v>320</v>
          </cell>
          <cell r="H477">
            <v>12</v>
          </cell>
          <cell r="I477">
            <v>0.67629446988376185</v>
          </cell>
          <cell r="J477">
            <v>120</v>
          </cell>
          <cell r="K477" t="str">
            <v>PET 350 P12</v>
          </cell>
          <cell r="L477" t="str">
            <v>320 ml</v>
          </cell>
          <cell r="M477" t="str">
            <v>CSD PET</v>
          </cell>
          <cell r="N477" t="str">
            <v>7-Up</v>
          </cell>
          <cell r="V477" t="str">
            <v>21.04.2026</v>
          </cell>
          <cell r="W477">
            <v>46133</v>
          </cell>
        </row>
        <row r="478">
          <cell r="A478" t="str">
            <v>PEPSI NO SUGAR LIME SMP 320ML PET12X_192</v>
          </cell>
          <cell r="B478">
            <v>320022769</v>
          </cell>
          <cell r="C478" t="str">
            <v>PEPSI NO SUGAR LIME SMP 320ML PET12X_192</v>
          </cell>
          <cell r="D478">
            <v>32</v>
          </cell>
          <cell r="E478">
            <v>6</v>
          </cell>
          <cell r="F478">
            <v>192</v>
          </cell>
          <cell r="G478">
            <v>320</v>
          </cell>
          <cell r="H478">
            <v>12</v>
          </cell>
          <cell r="I478">
            <v>0.67629446988376185</v>
          </cell>
          <cell r="J478">
            <v>120</v>
          </cell>
          <cell r="K478" t="str">
            <v>PET 350 P12</v>
          </cell>
          <cell r="L478" t="str">
            <v>320 ml</v>
          </cell>
          <cell r="M478" t="str">
            <v>CSD PET</v>
          </cell>
          <cell r="N478" t="str">
            <v>7-Up</v>
          </cell>
          <cell r="V478" t="str">
            <v>22.04.2026</v>
          </cell>
          <cell r="W478">
            <v>46134</v>
          </cell>
        </row>
        <row r="479">
          <cell r="A479" t="str">
            <v>MIRINDA STRWB SMP 320ML PET 12X_192</v>
          </cell>
          <cell r="B479">
            <v>320022780</v>
          </cell>
          <cell r="C479" t="str">
            <v>MIRINDA STRWB SMP 320ML PET 12X_192</v>
          </cell>
          <cell r="D479">
            <v>32</v>
          </cell>
          <cell r="E479">
            <v>6</v>
          </cell>
          <cell r="F479">
            <v>192</v>
          </cell>
          <cell r="G479">
            <v>320</v>
          </cell>
          <cell r="H479">
            <v>12</v>
          </cell>
          <cell r="I479">
            <v>0.67629446988376185</v>
          </cell>
          <cell r="J479">
            <v>120</v>
          </cell>
          <cell r="K479" t="str">
            <v>PET 350 P12</v>
          </cell>
          <cell r="L479" t="str">
            <v>320 ml</v>
          </cell>
          <cell r="M479" t="str">
            <v>CSD PET</v>
          </cell>
          <cell r="N479" t="str">
            <v>7-Up</v>
          </cell>
          <cell r="V479" t="str">
            <v>23.04.2026</v>
          </cell>
          <cell r="W479">
            <v>46135</v>
          </cell>
        </row>
        <row r="480">
          <cell r="A480" t="str">
            <v>MIRINDA ORANGE SMP 320ML PET 12X_192</v>
          </cell>
          <cell r="B480">
            <v>320022781</v>
          </cell>
          <cell r="C480" t="str">
            <v>MIRINDA ORANGE SMP 320ML PET 12X_192</v>
          </cell>
          <cell r="D480">
            <v>32</v>
          </cell>
          <cell r="E480">
            <v>6</v>
          </cell>
          <cell r="F480">
            <v>192</v>
          </cell>
          <cell r="G480">
            <v>320</v>
          </cell>
          <cell r="H480">
            <v>12</v>
          </cell>
          <cell r="I480">
            <v>0.67629446988376185</v>
          </cell>
          <cell r="J480">
            <v>120</v>
          </cell>
          <cell r="K480" t="str">
            <v>PET 350 P12</v>
          </cell>
          <cell r="L480" t="str">
            <v>320 ml</v>
          </cell>
          <cell r="M480" t="str">
            <v>CSD PET</v>
          </cell>
          <cell r="N480" t="str">
            <v>7-Up</v>
          </cell>
          <cell r="V480" t="str">
            <v>24.04.2026</v>
          </cell>
          <cell r="W480">
            <v>46136</v>
          </cell>
        </row>
        <row r="481">
          <cell r="A481" t="str">
            <v>MIRINDA GREEN CREAM SMP 320ML PET12X_192</v>
          </cell>
          <cell r="B481">
            <v>320022782</v>
          </cell>
          <cell r="C481" t="str">
            <v>MIRINDA GREEN CREAM SMP 320ML PET12X_192</v>
          </cell>
          <cell r="D481">
            <v>32</v>
          </cell>
          <cell r="E481">
            <v>6</v>
          </cell>
          <cell r="F481">
            <v>192</v>
          </cell>
          <cell r="G481">
            <v>320</v>
          </cell>
          <cell r="H481">
            <v>12</v>
          </cell>
          <cell r="I481">
            <v>0.67629446988376185</v>
          </cell>
          <cell r="J481">
            <v>120</v>
          </cell>
          <cell r="K481" t="str">
            <v>PET 350 P12</v>
          </cell>
          <cell r="L481" t="str">
            <v>320 ml</v>
          </cell>
          <cell r="M481" t="str">
            <v>CSD PET</v>
          </cell>
          <cell r="N481" t="str">
            <v>7-Up</v>
          </cell>
          <cell r="V481" t="str">
            <v>25.04.2026</v>
          </cell>
          <cell r="W481">
            <v>46137</v>
          </cell>
        </row>
        <row r="482">
          <cell r="A482" t="str">
            <v>PEPSI COLA MID CAL 550ML PET 24X_66</v>
          </cell>
          <cell r="B482">
            <v>320022800</v>
          </cell>
          <cell r="C482" t="str">
            <v>PEPSI COLA MID CAL 550ML PET 24X_66</v>
          </cell>
          <cell r="D482">
            <v>11</v>
          </cell>
          <cell r="E482">
            <v>6</v>
          </cell>
          <cell r="F482">
            <v>66</v>
          </cell>
          <cell r="G482">
            <v>550</v>
          </cell>
          <cell r="H482">
            <v>24</v>
          </cell>
          <cell r="I482">
            <v>2.3247622402254313</v>
          </cell>
          <cell r="J482">
            <v>180</v>
          </cell>
          <cell r="K482" t="str">
            <v>PET 550</v>
          </cell>
          <cell r="L482" t="str">
            <v>550 ml</v>
          </cell>
          <cell r="M482" t="str">
            <v>CSD PET</v>
          </cell>
          <cell r="N482" t="str">
            <v>Pepsi Cola</v>
          </cell>
          <cell r="V482" t="str">
            <v>26.04.2026</v>
          </cell>
          <cell r="W482">
            <v>46138</v>
          </cell>
        </row>
        <row r="483">
          <cell r="A483" t="str">
            <v>TEA PLUS NO SUGAR 1L PET 6X_168</v>
          </cell>
          <cell r="B483">
            <v>320022801</v>
          </cell>
          <cell r="C483" t="str">
            <v>TEA PLUS NO SUGAR 1L PET 6X_168</v>
          </cell>
          <cell r="D483">
            <v>28</v>
          </cell>
          <cell r="E483">
            <v>6</v>
          </cell>
          <cell r="F483">
            <v>168</v>
          </cell>
          <cell r="G483">
            <v>1000</v>
          </cell>
          <cell r="H483">
            <v>6</v>
          </cell>
          <cell r="I483">
            <v>1.0567101091933779</v>
          </cell>
          <cell r="J483">
            <v>365</v>
          </cell>
          <cell r="K483" t="str">
            <v>PET TEA+ 1000</v>
          </cell>
          <cell r="L483" t="str">
            <v>1000 ml</v>
          </cell>
          <cell r="M483" t="str">
            <v>NCB PET</v>
          </cell>
          <cell r="N483" t="str">
            <v>TEA PLUS</v>
          </cell>
          <cell r="V483" t="str">
            <v>27.04.2026</v>
          </cell>
          <cell r="W483">
            <v>46139</v>
          </cell>
        </row>
        <row r="484">
          <cell r="A484" t="str">
            <v>GATORADE NO SUGAR STRWB 500ML PET12X_120</v>
          </cell>
          <cell r="B484">
            <v>320022802</v>
          </cell>
          <cell r="C484" t="str">
            <v>GATORADE NO SUGAR STRWB 500ML PET12X_120</v>
          </cell>
          <cell r="D484">
            <v>20</v>
          </cell>
          <cell r="E484">
            <v>6</v>
          </cell>
          <cell r="F484">
            <v>120</v>
          </cell>
          <cell r="G484">
            <v>500</v>
          </cell>
          <cell r="H484">
            <v>12</v>
          </cell>
          <cell r="I484">
            <v>1.0567101091933779</v>
          </cell>
          <cell r="J484">
            <v>270</v>
          </cell>
          <cell r="K484" t="str">
            <v>PET GTR 500 P12</v>
          </cell>
          <cell r="L484" t="str">
            <v>500ml</v>
          </cell>
          <cell r="M484" t="str">
            <v>NCB PET</v>
          </cell>
          <cell r="N484" t="str">
            <v>GATORADE</v>
          </cell>
          <cell r="V484" t="str">
            <v>28.04.2026</v>
          </cell>
          <cell r="W484">
            <v>46140</v>
          </cell>
        </row>
        <row r="485">
          <cell r="A485" t="str">
            <v>PEPSI NO SUGAR 550ML PET 24X_66</v>
          </cell>
          <cell r="B485">
            <v>320022803</v>
          </cell>
          <cell r="C485" t="str">
            <v>PEPSI NO SUGAR 550ML PET 24X_66</v>
          </cell>
          <cell r="D485">
            <v>11</v>
          </cell>
          <cell r="E485">
            <v>6</v>
          </cell>
          <cell r="F485">
            <v>66</v>
          </cell>
          <cell r="G485">
            <v>550</v>
          </cell>
          <cell r="H485">
            <v>24</v>
          </cell>
          <cell r="I485">
            <v>2.3247622402254313</v>
          </cell>
          <cell r="J485">
            <v>180</v>
          </cell>
          <cell r="K485" t="str">
            <v>PET 550</v>
          </cell>
          <cell r="L485" t="str">
            <v>550 ml</v>
          </cell>
          <cell r="M485" t="str">
            <v>CSD PET</v>
          </cell>
          <cell r="N485" t="str">
            <v>PEPSI NO SUGAR</v>
          </cell>
          <cell r="V485" t="str">
            <v>29.04.2026</v>
          </cell>
          <cell r="W485">
            <v>46141</v>
          </cell>
        </row>
        <row r="486">
          <cell r="A486" t="str">
            <v>MIRINDA ORANGE LS 10L BIB 1X</v>
          </cell>
          <cell r="B486">
            <v>320022804</v>
          </cell>
          <cell r="C486" t="str">
            <v>MIRINDA ORANGE LS 10L BIB 1X</v>
          </cell>
          <cell r="D486">
            <v>12</v>
          </cell>
          <cell r="E486">
            <v>4</v>
          </cell>
          <cell r="F486">
            <v>48</v>
          </cell>
          <cell r="G486">
            <v>10000</v>
          </cell>
          <cell r="H486">
            <v>6</v>
          </cell>
          <cell r="I486">
            <v>10.567101091933779</v>
          </cell>
          <cell r="J486">
            <v>180</v>
          </cell>
          <cell r="K486" t="str">
            <v>BIB 10L</v>
          </cell>
          <cell r="L486" t="str">
            <v>10 L</v>
          </cell>
          <cell r="M486" t="str">
            <v>CSD PMX</v>
          </cell>
          <cell r="N486" t="str">
            <v>MRD Orange</v>
          </cell>
          <cell r="V486" t="str">
            <v>30.04.2026</v>
          </cell>
          <cell r="W486">
            <v>46142</v>
          </cell>
        </row>
        <row r="487">
          <cell r="A487" t="str">
            <v>MIRINDA STRWB LS 10L BIB 1X</v>
          </cell>
          <cell r="B487">
            <v>320022805</v>
          </cell>
          <cell r="C487" t="str">
            <v>MIRINDA STRWB LS 10L BIB 1X</v>
          </cell>
          <cell r="D487">
            <v>12</v>
          </cell>
          <cell r="E487">
            <v>4</v>
          </cell>
          <cell r="F487">
            <v>48</v>
          </cell>
          <cell r="G487">
            <v>10000</v>
          </cell>
          <cell r="H487">
            <v>6</v>
          </cell>
          <cell r="I487">
            <v>10.567101091933779</v>
          </cell>
          <cell r="J487">
            <v>180</v>
          </cell>
          <cell r="K487" t="str">
            <v>BIB 10L</v>
          </cell>
          <cell r="L487" t="str">
            <v>10 L</v>
          </cell>
          <cell r="M487" t="str">
            <v>CSD PMX</v>
          </cell>
          <cell r="N487" t="str">
            <v>MRD Strawberry</v>
          </cell>
          <cell r="V487" t="str">
            <v>01.05.2026</v>
          </cell>
          <cell r="W487">
            <v>46143</v>
          </cell>
        </row>
        <row r="488">
          <cell r="A488" t="str">
            <v>MIRINDA STRWB LS 10L BIB 1X_SL</v>
          </cell>
          <cell r="B488">
            <v>320022806</v>
          </cell>
          <cell r="C488" t="str">
            <v>MIRINDA STRWB LS 10L BIB 1X_SL</v>
          </cell>
          <cell r="D488">
            <v>12</v>
          </cell>
          <cell r="E488">
            <v>4</v>
          </cell>
          <cell r="F488">
            <v>48</v>
          </cell>
          <cell r="G488">
            <v>10000</v>
          </cell>
          <cell r="H488">
            <v>6</v>
          </cell>
          <cell r="I488">
            <v>10.567101091933779</v>
          </cell>
          <cell r="J488">
            <v>180</v>
          </cell>
          <cell r="K488" t="str">
            <v>BIB 10L</v>
          </cell>
          <cell r="L488" t="str">
            <v>10 L</v>
          </cell>
          <cell r="M488" t="str">
            <v>CSD PMX</v>
          </cell>
          <cell r="N488" t="str">
            <v>MRD Strawberry</v>
          </cell>
          <cell r="V488" t="str">
            <v>02.05.2026</v>
          </cell>
          <cell r="W488">
            <v>46144</v>
          </cell>
        </row>
        <row r="489">
          <cell r="A489" t="str">
            <v>MIRINDA STRWB LS 245ML CAN 4X MP 10B_64</v>
          </cell>
          <cell r="B489">
            <v>320022460</v>
          </cell>
          <cell r="C489" t="str">
            <v>MIRINDA STRWB LS 245ML CAN 4X MP 10B_64</v>
          </cell>
          <cell r="D489">
            <v>16</v>
          </cell>
          <cell r="E489">
            <v>4</v>
          </cell>
          <cell r="F489">
            <v>64</v>
          </cell>
          <cell r="G489">
            <v>245</v>
          </cell>
          <cell r="H489">
            <v>24</v>
          </cell>
          <cell r="I489">
            <v>1.0355759070095103</v>
          </cell>
          <cell r="J489">
            <v>270</v>
          </cell>
          <cell r="K489" t="str">
            <v>CAN 250</v>
          </cell>
          <cell r="L489" t="str">
            <v>245 ml</v>
          </cell>
          <cell r="M489" t="str">
            <v>CSD CAN</v>
          </cell>
          <cell r="N489" t="str">
            <v>MRD Strawberry</v>
          </cell>
          <cell r="V489" t="str">
            <v>03.05.2026</v>
          </cell>
          <cell r="W489">
            <v>46145</v>
          </cell>
        </row>
        <row r="490">
          <cell r="A490" t="str">
            <v>MIRINDA STRWB LS 245ML CAN 4X MP_64</v>
          </cell>
          <cell r="B490">
            <v>320022408</v>
          </cell>
          <cell r="C490" t="str">
            <v>MIRINDA STRWB LS 245ML CAN 4X MP_64</v>
          </cell>
          <cell r="D490">
            <v>16</v>
          </cell>
          <cell r="E490">
            <v>4</v>
          </cell>
          <cell r="F490">
            <v>64</v>
          </cell>
          <cell r="G490">
            <v>245</v>
          </cell>
          <cell r="H490">
            <v>24</v>
          </cell>
          <cell r="I490">
            <v>1.0355759070095103</v>
          </cell>
          <cell r="J490">
            <v>270</v>
          </cell>
          <cell r="K490" t="str">
            <v>CAN 250</v>
          </cell>
          <cell r="L490" t="str">
            <v>245 ml</v>
          </cell>
          <cell r="M490" t="str">
            <v>CSD CAN</v>
          </cell>
          <cell r="N490" t="str">
            <v>MRD Strawberry</v>
          </cell>
          <cell r="V490" t="str">
            <v>04.05.2026</v>
          </cell>
          <cell r="W490">
            <v>46146</v>
          </cell>
        </row>
        <row r="491">
          <cell r="A491" t="str">
            <v>MIRINDA ORANGE LS 245ML CAN 4X MP 10B_64</v>
          </cell>
          <cell r="B491">
            <v>320022499</v>
          </cell>
          <cell r="C491" t="str">
            <v>MIRINDA ORANGE LS 245ML CAN 4X MP 10B_64</v>
          </cell>
          <cell r="D491">
            <v>16</v>
          </cell>
          <cell r="E491">
            <v>4</v>
          </cell>
          <cell r="F491">
            <v>64</v>
          </cell>
          <cell r="G491">
            <v>245</v>
          </cell>
          <cell r="H491">
            <v>24</v>
          </cell>
          <cell r="I491">
            <v>1.0355759070095103</v>
          </cell>
          <cell r="J491">
            <v>270</v>
          </cell>
          <cell r="K491" t="str">
            <v>CAN 250</v>
          </cell>
          <cell r="L491" t="str">
            <v>245 ml</v>
          </cell>
          <cell r="M491" t="str">
            <v>CSD CAN</v>
          </cell>
          <cell r="N491" t="str">
            <v>MRD Orange</v>
          </cell>
          <cell r="V491" t="str">
            <v>05.05.2026</v>
          </cell>
          <cell r="W491">
            <v>46147</v>
          </cell>
        </row>
        <row r="492">
          <cell r="A492" t="str">
            <v>MIRINDA ORANGE LS 245ML CAN 4X MP_64</v>
          </cell>
          <cell r="B492">
            <v>320022409</v>
          </cell>
          <cell r="C492" t="str">
            <v>MIRINDA ORANGE LS 245ML CAN 4X MP_64</v>
          </cell>
          <cell r="D492">
            <v>16</v>
          </cell>
          <cell r="E492">
            <v>4</v>
          </cell>
          <cell r="F492">
            <v>64</v>
          </cell>
          <cell r="G492">
            <v>245</v>
          </cell>
          <cell r="H492">
            <v>24</v>
          </cell>
          <cell r="I492">
            <v>1.0355759070095103</v>
          </cell>
          <cell r="J492">
            <v>270</v>
          </cell>
          <cell r="K492" t="str">
            <v>CAN 250</v>
          </cell>
          <cell r="L492" t="str">
            <v>245 ml</v>
          </cell>
          <cell r="M492" t="str">
            <v>CSD CAN</v>
          </cell>
          <cell r="N492" t="str">
            <v>MRD Orange</v>
          </cell>
          <cell r="V492" t="str">
            <v>06.05.2026</v>
          </cell>
          <cell r="W492">
            <v>46148</v>
          </cell>
        </row>
        <row r="493">
          <cell r="A493" t="str">
            <v>LIPTON YUZU 445ML PET 24X_NF60</v>
          </cell>
          <cell r="B493">
            <v>320022726</v>
          </cell>
          <cell r="C493" t="str">
            <v>LIPTON YUZU 445ML PET 24X_NF60</v>
          </cell>
          <cell r="D493">
            <v>10</v>
          </cell>
          <cell r="E493">
            <v>6</v>
          </cell>
          <cell r="F493">
            <v>60</v>
          </cell>
          <cell r="G493">
            <v>445</v>
          </cell>
          <cell r="H493">
            <v>24</v>
          </cell>
          <cell r="I493">
            <v>1.8809439943642128</v>
          </cell>
          <cell r="J493">
            <v>270</v>
          </cell>
          <cell r="K493" t="str">
            <v>PET NCB 445</v>
          </cell>
          <cell r="L493" t="str">
            <v>445 ml</v>
          </cell>
          <cell r="M493" t="str">
            <v>NCB PET</v>
          </cell>
          <cell r="N493" t="str">
            <v>Lipton</v>
          </cell>
          <cell r="V493" t="str">
            <v>07.05.2026</v>
          </cell>
          <cell r="W493">
            <v>46149</v>
          </cell>
        </row>
        <row r="494">
          <cell r="A494" t="str">
            <v>LIPTON YUZU 320ML PET12X_182</v>
          </cell>
          <cell r="B494">
            <v>320022727</v>
          </cell>
          <cell r="C494" t="str">
            <v>LIPTON YUZU 320ML PET12X_182</v>
          </cell>
          <cell r="D494">
            <v>26</v>
          </cell>
          <cell r="E494">
            <v>7</v>
          </cell>
          <cell r="F494">
            <v>182</v>
          </cell>
          <cell r="G494">
            <v>320</v>
          </cell>
          <cell r="H494">
            <v>12</v>
          </cell>
          <cell r="I494">
            <v>0.67629446988376185</v>
          </cell>
          <cell r="J494">
            <v>270</v>
          </cell>
          <cell r="K494" t="str">
            <v>PET NCB 320</v>
          </cell>
          <cell r="L494" t="str">
            <v>320ml</v>
          </cell>
          <cell r="M494" t="str">
            <v>NCB PET</v>
          </cell>
          <cell r="N494" t="str">
            <v>Lipton</v>
          </cell>
          <cell r="V494" t="str">
            <v>08.05.2026</v>
          </cell>
          <cell r="W494">
            <v>46150</v>
          </cell>
        </row>
        <row r="495">
          <cell r="A495" t="str">
            <v>MIRINDA ORANGE LS 345ML PET 12X_192</v>
          </cell>
          <cell r="B495">
            <v>320022606</v>
          </cell>
          <cell r="C495" t="str">
            <v>MIRINDA ORANGE LS 345ML PET 12X_192</v>
          </cell>
          <cell r="D495">
            <v>32</v>
          </cell>
          <cell r="E495">
            <v>6</v>
          </cell>
          <cell r="F495">
            <v>192</v>
          </cell>
          <cell r="G495">
            <v>345</v>
          </cell>
          <cell r="H495">
            <v>12</v>
          </cell>
          <cell r="I495">
            <v>0.72912997534343083</v>
          </cell>
          <cell r="J495">
            <v>120</v>
          </cell>
          <cell r="K495" t="str">
            <v>PET 350 P12</v>
          </cell>
          <cell r="L495" t="str">
            <v>345ml</v>
          </cell>
          <cell r="M495" t="str">
            <v>CSD PET</v>
          </cell>
          <cell r="N495" t="str">
            <v>MRD Orange</v>
          </cell>
          <cell r="V495" t="str">
            <v>09.05.2026</v>
          </cell>
          <cell r="W495">
            <v>46151</v>
          </cell>
        </row>
        <row r="496">
          <cell r="A496" t="str">
            <v>7UP NO SUGAR FIBER 430ML PET 12X NEW_144</v>
          </cell>
          <cell r="B496">
            <v>320022738</v>
          </cell>
          <cell r="C496" t="str">
            <v>7UP NO SUGAR FIBER 430ML PET 12X NEW_144</v>
          </cell>
          <cell r="D496">
            <v>24</v>
          </cell>
          <cell r="E496">
            <v>6</v>
          </cell>
          <cell r="F496">
            <v>144</v>
          </cell>
          <cell r="G496">
            <v>450</v>
          </cell>
          <cell r="H496">
            <v>12</v>
          </cell>
          <cell r="I496">
            <v>0.95103909827404021</v>
          </cell>
          <cell r="J496">
            <v>180</v>
          </cell>
          <cell r="K496" t="str">
            <v>PET 450</v>
          </cell>
          <cell r="L496" t="str">
            <v>440 ml</v>
          </cell>
          <cell r="M496" t="str">
            <v>CSD PET</v>
          </cell>
          <cell r="N496" t="str">
            <v>7-Up</v>
          </cell>
          <cell r="V496" t="str">
            <v>10.05.2026</v>
          </cell>
          <cell r="W496">
            <v>46152</v>
          </cell>
        </row>
        <row r="497">
          <cell r="A497" t="str">
            <v>MIRINDA ORANGE LS 1.45L PET 12X_48</v>
          </cell>
          <cell r="B497">
            <v>320022608</v>
          </cell>
          <cell r="C497" t="str">
            <v>MIRINDA ORANGE LS 1.45L PET 12X_48</v>
          </cell>
          <cell r="D497">
            <v>12</v>
          </cell>
          <cell r="E497">
            <v>4</v>
          </cell>
          <cell r="F497">
            <v>48</v>
          </cell>
          <cell r="G497">
            <v>1450</v>
          </cell>
          <cell r="H497">
            <v>12</v>
          </cell>
          <cell r="I497">
            <v>3.0644593166607961</v>
          </cell>
          <cell r="J497">
            <v>180</v>
          </cell>
          <cell r="K497" t="str">
            <v>PET 1500</v>
          </cell>
          <cell r="L497" t="str">
            <v>1450 ml</v>
          </cell>
          <cell r="M497" t="str">
            <v>CSD PET</v>
          </cell>
          <cell r="N497" t="str">
            <v>MRD Orange</v>
          </cell>
          <cell r="V497" t="str">
            <v>11.05.2026</v>
          </cell>
          <cell r="W497">
            <v>46153</v>
          </cell>
        </row>
        <row r="498">
          <cell r="A498" t="str">
            <v>PEPSI NO SUGAR LIME 550ML PET 24X_66</v>
          </cell>
          <cell r="B498">
            <v>320022816</v>
          </cell>
          <cell r="C498" t="str">
            <v>PEPSI NO SUGAR LIME 550ML PET 24X_66</v>
          </cell>
          <cell r="D498">
            <v>11</v>
          </cell>
          <cell r="E498">
            <v>6</v>
          </cell>
          <cell r="F498">
            <v>66</v>
          </cell>
          <cell r="G498">
            <v>550</v>
          </cell>
          <cell r="H498">
            <v>24</v>
          </cell>
          <cell r="I498">
            <v>2.3247622402254313</v>
          </cell>
          <cell r="J498">
            <v>180</v>
          </cell>
          <cell r="K498" t="str">
            <v>PET 550</v>
          </cell>
          <cell r="L498" t="str">
            <v>550 ml</v>
          </cell>
          <cell r="M498" t="str">
            <v>CSD PET</v>
          </cell>
          <cell r="N498" t="str">
            <v>PEPSI NO SUGAR</v>
          </cell>
          <cell r="V498" t="str">
            <v>12.05.2026</v>
          </cell>
          <cell r="W498">
            <v>46154</v>
          </cell>
        </row>
        <row r="499">
          <cell r="A499" t="str">
            <v>MIRINDA ORANGE LS 440ML PET 24X_72</v>
          </cell>
          <cell r="B499">
            <v>320022607</v>
          </cell>
          <cell r="C499" t="str">
            <v>MIRINDA ORANGE LS 440ML PET 24X_72</v>
          </cell>
          <cell r="D499">
            <v>12</v>
          </cell>
          <cell r="E499">
            <v>6</v>
          </cell>
          <cell r="F499">
            <v>72</v>
          </cell>
          <cell r="G499">
            <v>440</v>
          </cell>
          <cell r="H499">
            <v>24</v>
          </cell>
          <cell r="I499">
            <v>1.8598097921803451</v>
          </cell>
          <cell r="J499">
            <v>180</v>
          </cell>
          <cell r="K499" t="str">
            <v>PET 450</v>
          </cell>
          <cell r="L499" t="str">
            <v>440 ml</v>
          </cell>
          <cell r="M499" t="str">
            <v>CSD PET</v>
          </cell>
          <cell r="N499" t="str">
            <v>MRD Orange</v>
          </cell>
          <cell r="V499" t="str">
            <v>13.05.2026</v>
          </cell>
          <cell r="W499">
            <v>46155</v>
          </cell>
        </row>
        <row r="500">
          <cell r="A500" t="str">
            <v>PEPSI COLA MID CAL 430ML PET 24X 15B_80</v>
          </cell>
          <cell r="B500">
            <v>320022856</v>
          </cell>
          <cell r="C500" t="str">
            <v>PEPSI COLA MID CAL 430ML PET 24X 15B_80</v>
          </cell>
          <cell r="D500">
            <v>16</v>
          </cell>
          <cell r="E500">
            <v>5</v>
          </cell>
          <cell r="F500">
            <v>80</v>
          </cell>
          <cell r="G500">
            <v>430</v>
          </cell>
          <cell r="H500">
            <v>24</v>
          </cell>
          <cell r="I500">
            <v>1.8175413878126101</v>
          </cell>
          <cell r="J500">
            <v>180</v>
          </cell>
          <cell r="K500" t="str">
            <v>PET 430</v>
          </cell>
          <cell r="L500" t="str">
            <v>430ml</v>
          </cell>
          <cell r="M500" t="str">
            <v>CSD PET</v>
          </cell>
          <cell r="N500" t="str">
            <v>Pepsi Cola</v>
          </cell>
          <cell r="V500" t="str">
            <v>14.05.2026</v>
          </cell>
          <cell r="W500">
            <v>46156</v>
          </cell>
        </row>
        <row r="501">
          <cell r="A501" t="str">
            <v>AQUAFINA WATER 1.5L PET NEW_112</v>
          </cell>
          <cell r="B501">
            <v>320022840</v>
          </cell>
          <cell r="C501" t="str">
            <v>AQUAFINA WATER 1.5L PET NEW_112</v>
          </cell>
          <cell r="D501">
            <v>28</v>
          </cell>
          <cell r="E501">
            <v>4</v>
          </cell>
          <cell r="F501">
            <v>112</v>
          </cell>
          <cell r="G501">
            <v>1500</v>
          </cell>
          <cell r="H501">
            <v>6</v>
          </cell>
          <cell r="I501">
            <v>1.585065163790067</v>
          </cell>
          <cell r="J501">
            <v>730</v>
          </cell>
          <cell r="K501" t="str">
            <v>WATER 1500</v>
          </cell>
          <cell r="L501" t="str">
            <v>1500 ml</v>
          </cell>
          <cell r="M501" t="str">
            <v>WATER PET</v>
          </cell>
          <cell r="N501" t="str">
            <v>Water</v>
          </cell>
          <cell r="V501" t="str">
            <v>15.05.2026</v>
          </cell>
          <cell r="W501">
            <v>46157</v>
          </cell>
        </row>
        <row r="502">
          <cell r="A502" t="str">
            <v>AQUAFINA WATER 550ML PET NEW_144</v>
          </cell>
          <cell r="B502">
            <v>320022841</v>
          </cell>
          <cell r="C502" t="str">
            <v>AQUAFINA WATER 550ML PET NEW_144</v>
          </cell>
          <cell r="D502">
            <v>24</v>
          </cell>
          <cell r="E502">
            <v>6</v>
          </cell>
          <cell r="F502">
            <v>144</v>
          </cell>
          <cell r="G502">
            <v>550</v>
          </cell>
          <cell r="H502">
            <v>12</v>
          </cell>
          <cell r="I502">
            <v>1.1623811201127157</v>
          </cell>
          <cell r="J502">
            <v>730</v>
          </cell>
          <cell r="K502" t="str">
            <v>WATER 550</v>
          </cell>
          <cell r="L502" t="str">
            <v>550ml</v>
          </cell>
          <cell r="M502" t="str">
            <v>WATER PET</v>
          </cell>
          <cell r="N502" t="str">
            <v>Water</v>
          </cell>
          <cell r="V502" t="str">
            <v>16.05.2026</v>
          </cell>
          <cell r="W502">
            <v>46158</v>
          </cell>
        </row>
        <row r="503">
          <cell r="A503" t="str">
            <v>LIPTON LEMON LS 245ML CAN 4X MP_64</v>
          </cell>
          <cell r="B503">
            <v>320022617</v>
          </cell>
          <cell r="C503" t="str">
            <v>LIPTON LEMON LS 245ML CAN 4X MP_64</v>
          </cell>
          <cell r="D503">
            <v>16</v>
          </cell>
          <cell r="E503">
            <v>4</v>
          </cell>
          <cell r="F503">
            <v>64</v>
          </cell>
          <cell r="G503">
            <v>245</v>
          </cell>
          <cell r="H503">
            <v>24</v>
          </cell>
          <cell r="I503">
            <v>1.0355759070095103</v>
          </cell>
          <cell r="J503">
            <v>365</v>
          </cell>
          <cell r="K503" t="str">
            <v>CAN NCB 250</v>
          </cell>
          <cell r="L503" t="str">
            <v>245 ml</v>
          </cell>
          <cell r="M503" t="str">
            <v>NCB CAN</v>
          </cell>
          <cell r="N503" t="str">
            <v>Lipton</v>
          </cell>
          <cell r="V503" t="str">
            <v>17.05.2026</v>
          </cell>
          <cell r="W503">
            <v>46159</v>
          </cell>
        </row>
        <row r="504">
          <cell r="A504" t="str">
            <v>LIPTON LEMON LS 320ML PET 12X_182</v>
          </cell>
          <cell r="B504">
            <v>320022618</v>
          </cell>
          <cell r="C504" t="str">
            <v>LIPTON LEMON LS 320ML PET 12X_182</v>
          </cell>
          <cell r="D504">
            <v>26</v>
          </cell>
          <cell r="E504">
            <v>7</v>
          </cell>
          <cell r="F504">
            <v>182</v>
          </cell>
          <cell r="G504">
            <v>320</v>
          </cell>
          <cell r="H504">
            <v>12</v>
          </cell>
          <cell r="I504">
            <v>0.67629446988376185</v>
          </cell>
          <cell r="J504">
            <v>270</v>
          </cell>
          <cell r="K504" t="str">
            <v>PET NCB 320</v>
          </cell>
          <cell r="L504" t="str">
            <v>320ml</v>
          </cell>
          <cell r="M504" t="str">
            <v>NCB PET</v>
          </cell>
          <cell r="N504" t="str">
            <v>Lipton</v>
          </cell>
          <cell r="V504" t="str">
            <v>18.05.2026</v>
          </cell>
          <cell r="W504">
            <v>46160</v>
          </cell>
        </row>
        <row r="505">
          <cell r="A505" t="str">
            <v>LIPTON LEMON LS 445ML PET 24X_NF60</v>
          </cell>
          <cell r="B505">
            <v>320022619</v>
          </cell>
          <cell r="C505" t="str">
            <v>LIPTON LEMON LS 445ML PET 24X_NF60</v>
          </cell>
          <cell r="D505">
            <v>10</v>
          </cell>
          <cell r="E505">
            <v>6</v>
          </cell>
          <cell r="F505">
            <v>60</v>
          </cell>
          <cell r="G505">
            <v>445</v>
          </cell>
          <cell r="H505">
            <v>24</v>
          </cell>
          <cell r="I505">
            <v>1.8809439943642128</v>
          </cell>
          <cell r="J505">
            <v>270</v>
          </cell>
          <cell r="K505" t="str">
            <v>PET NCB 445</v>
          </cell>
          <cell r="L505" t="str">
            <v>445 ml</v>
          </cell>
          <cell r="M505" t="str">
            <v>NCB PET</v>
          </cell>
          <cell r="N505" t="str">
            <v>Lipton</v>
          </cell>
          <cell r="V505" t="str">
            <v>19.05.2026</v>
          </cell>
          <cell r="W505">
            <v>46161</v>
          </cell>
        </row>
        <row r="506">
          <cell r="A506" t="str">
            <v>LIPTON LEMON LS 950ML PET 12X_60</v>
          </cell>
          <cell r="B506">
            <v>320022620</v>
          </cell>
          <cell r="C506" t="str">
            <v>LIPTON LEMON LS 950ML PET 12X_60</v>
          </cell>
          <cell r="D506">
            <v>12</v>
          </cell>
          <cell r="E506">
            <v>5</v>
          </cell>
          <cell r="F506">
            <v>60</v>
          </cell>
          <cell r="G506">
            <v>950</v>
          </cell>
          <cell r="H506">
            <v>12</v>
          </cell>
          <cell r="I506">
            <v>2.0077492074674179</v>
          </cell>
          <cell r="J506">
            <v>270</v>
          </cell>
          <cell r="K506" t="str">
            <v>PET NCB 1000</v>
          </cell>
          <cell r="L506" t="str">
            <v>950ml</v>
          </cell>
          <cell r="M506" t="str">
            <v>NCB PET</v>
          </cell>
          <cell r="N506" t="str">
            <v>Lipton</v>
          </cell>
          <cell r="V506" t="str">
            <v>20.05.2026</v>
          </cell>
          <cell r="W506">
            <v>46162</v>
          </cell>
        </row>
        <row r="507">
          <cell r="A507" t="str">
            <v>LIPTON LEMON LS 445ML PET 12X_132</v>
          </cell>
          <cell r="B507">
            <v>320022818</v>
          </cell>
          <cell r="C507" t="str">
            <v>LIPTON LEMON LS 445ML PET 12X_132</v>
          </cell>
          <cell r="D507">
            <v>22</v>
          </cell>
          <cell r="E507">
            <v>6</v>
          </cell>
          <cell r="F507">
            <v>132</v>
          </cell>
          <cell r="G507">
            <v>445</v>
          </cell>
          <cell r="H507">
            <v>12</v>
          </cell>
          <cell r="I507">
            <v>0.94047199718210639</v>
          </cell>
          <cell r="J507">
            <v>270</v>
          </cell>
          <cell r="K507" t="str">
            <v>PET NCB 445</v>
          </cell>
          <cell r="L507" t="str">
            <v>445 ml</v>
          </cell>
          <cell r="M507" t="str">
            <v>NCB PET</v>
          </cell>
          <cell r="N507" t="str">
            <v>Lipton</v>
          </cell>
          <cell r="V507" t="str">
            <v>21.05.2026</v>
          </cell>
          <cell r="W507">
            <v>46163</v>
          </cell>
        </row>
        <row r="508">
          <cell r="A508" t="str">
            <v>MIRINDA BERRY SODA 345ML PET12X_192</v>
          </cell>
          <cell r="B508">
            <v>320022745</v>
          </cell>
          <cell r="C508" t="str">
            <v>MIRINDA BERRY SODA 345ML PET12X_192</v>
          </cell>
          <cell r="D508">
            <v>32</v>
          </cell>
          <cell r="E508">
            <v>6</v>
          </cell>
          <cell r="F508">
            <v>192</v>
          </cell>
          <cell r="G508">
            <v>345</v>
          </cell>
          <cell r="H508">
            <v>12</v>
          </cell>
          <cell r="I508">
            <v>0.72912997534343083</v>
          </cell>
          <cell r="J508">
            <v>120</v>
          </cell>
          <cell r="K508" t="str">
            <v>PET 350 P12</v>
          </cell>
          <cell r="L508" t="str">
            <v>345ml</v>
          </cell>
          <cell r="M508" t="str">
            <v>CSD PET</v>
          </cell>
          <cell r="N508" t="str">
            <v>MRD BERRY SODA</v>
          </cell>
          <cell r="V508" t="str">
            <v>22.05.2026</v>
          </cell>
          <cell r="W508">
            <v>46164</v>
          </cell>
        </row>
        <row r="509">
          <cell r="A509" t="str">
            <v>MIRINDA BERRY SODA 440ML PET24X_72</v>
          </cell>
          <cell r="B509">
            <v>320022746</v>
          </cell>
          <cell r="C509" t="str">
            <v>MIRINDA BERRY SODA 440ML PET24X_72</v>
          </cell>
          <cell r="D509">
            <v>12</v>
          </cell>
          <cell r="E509">
            <v>6</v>
          </cell>
          <cell r="F509">
            <v>72</v>
          </cell>
          <cell r="G509">
            <v>440</v>
          </cell>
          <cell r="H509">
            <v>24</v>
          </cell>
          <cell r="I509">
            <v>1.8598097921803451</v>
          </cell>
          <cell r="J509">
            <v>180</v>
          </cell>
          <cell r="K509" t="str">
            <v>PET 450</v>
          </cell>
          <cell r="L509" t="str">
            <v>440 ml</v>
          </cell>
          <cell r="M509" t="str">
            <v>CSD PET</v>
          </cell>
          <cell r="N509" t="str">
            <v>MRD BERRY SODA</v>
          </cell>
          <cell r="V509" t="str">
            <v>23.05.2026</v>
          </cell>
          <cell r="W509">
            <v>46165</v>
          </cell>
        </row>
        <row r="510">
          <cell r="A510" t="str">
            <v>TEA PLUS TASTY 280ML PET 24X_104_NEW</v>
          </cell>
          <cell r="B510">
            <v>320022851</v>
          </cell>
          <cell r="C510" t="str">
            <v>TEA PLUS TASTY 280ML PET 24X_104_NEW</v>
          </cell>
          <cell r="D510">
            <v>13</v>
          </cell>
          <cell r="E510">
            <v>8</v>
          </cell>
          <cell r="F510">
            <v>104</v>
          </cell>
          <cell r="G510">
            <v>280</v>
          </cell>
          <cell r="H510">
            <v>24</v>
          </cell>
          <cell r="I510">
            <v>1.1835153222965833</v>
          </cell>
          <cell r="J510">
            <v>365</v>
          </cell>
          <cell r="K510" t="str">
            <v>PET TEA+ 280</v>
          </cell>
          <cell r="L510" t="str">
            <v>280 ml</v>
          </cell>
          <cell r="M510" t="str">
            <v>NCB PET</v>
          </cell>
          <cell r="N510" t="str">
            <v>TEA PLUS</v>
          </cell>
          <cell r="V510" t="str">
            <v>24.05.2026</v>
          </cell>
          <cell r="W510">
            <v>46166</v>
          </cell>
        </row>
        <row r="511">
          <cell r="A511" t="str">
            <v>TEA PLUS NO SUGAR 280ML PET 24X_104_NEW</v>
          </cell>
          <cell r="B511">
            <v>320022852</v>
          </cell>
          <cell r="C511" t="str">
            <v>TEA PLUS NO SUGAR 280ML PET 24X_104_NEW</v>
          </cell>
          <cell r="D511">
            <v>13</v>
          </cell>
          <cell r="E511">
            <v>8</v>
          </cell>
          <cell r="F511">
            <v>104</v>
          </cell>
          <cell r="G511">
            <v>280</v>
          </cell>
          <cell r="H511">
            <v>24</v>
          </cell>
          <cell r="I511">
            <v>1.1835153222965833</v>
          </cell>
          <cell r="J511">
            <v>365</v>
          </cell>
          <cell r="K511" t="str">
            <v>PET TEA+ 280</v>
          </cell>
          <cell r="L511" t="str">
            <v>280 ml</v>
          </cell>
          <cell r="M511" t="str">
            <v>NCB PET</v>
          </cell>
          <cell r="N511" t="str">
            <v>TEA PLUS</v>
          </cell>
          <cell r="V511" t="str">
            <v>25.05.2026</v>
          </cell>
          <cell r="W511">
            <v>46167</v>
          </cell>
        </row>
        <row r="512">
          <cell r="A512" t="str">
            <v>TEA PLUS NO SUGAR 1L PET 6X_168_NEW</v>
          </cell>
          <cell r="B512">
            <v>320022853</v>
          </cell>
          <cell r="C512" t="str">
            <v>TEA PLUS NO SUGAR 1L PET 6X_168_NEW</v>
          </cell>
          <cell r="D512">
            <v>28</v>
          </cell>
          <cell r="E512">
            <v>6</v>
          </cell>
          <cell r="F512">
            <v>168</v>
          </cell>
          <cell r="G512">
            <v>1000</v>
          </cell>
          <cell r="H512">
            <v>6</v>
          </cell>
          <cell r="I512">
            <v>1.0567101091933779</v>
          </cell>
          <cell r="J512">
            <v>365</v>
          </cell>
          <cell r="K512" t="str">
            <v>PET TEA+ 1000</v>
          </cell>
          <cell r="L512" t="str">
            <v>1000 ml</v>
          </cell>
          <cell r="M512" t="str">
            <v>NCB PET</v>
          </cell>
          <cell r="N512" t="str">
            <v>TEA PLUS</v>
          </cell>
          <cell r="V512" t="str">
            <v>26.05.2026</v>
          </cell>
          <cell r="W512">
            <v>46168</v>
          </cell>
        </row>
        <row r="513">
          <cell r="A513" t="str">
            <v>TEA PLUS NO SUGAR 500ML PET24X_70_NEW FC</v>
          </cell>
          <cell r="B513">
            <v>320022854</v>
          </cell>
          <cell r="C513" t="str">
            <v>TEA PLUS NO SUGAR 500ML PET24X_70_NEW FC</v>
          </cell>
          <cell r="D513">
            <v>10</v>
          </cell>
          <cell r="E513">
            <v>7</v>
          </cell>
          <cell r="F513">
            <v>70</v>
          </cell>
          <cell r="G513">
            <v>500</v>
          </cell>
          <cell r="H513">
            <v>24</v>
          </cell>
          <cell r="I513">
            <v>2.1134202183867559</v>
          </cell>
          <cell r="J513">
            <v>365</v>
          </cell>
          <cell r="K513" t="str">
            <v>PET TEA+ 500</v>
          </cell>
          <cell r="L513" t="str">
            <v>500 ml</v>
          </cell>
          <cell r="M513" t="str">
            <v>NCB PET</v>
          </cell>
          <cell r="N513" t="str">
            <v>TEA PLUS</v>
          </cell>
          <cell r="V513" t="str">
            <v>27.05.2026</v>
          </cell>
          <cell r="W513">
            <v>46169</v>
          </cell>
        </row>
        <row r="514">
          <cell r="A514" t="str">
            <v>TEA PLUS TASTY 500ML PET 24X_70_NEW FC</v>
          </cell>
          <cell r="B514">
            <v>320022855</v>
          </cell>
          <cell r="C514" t="str">
            <v>TEA PLUS TASTY 500ML PET 24X_70_NEW FC</v>
          </cell>
          <cell r="D514">
            <v>10</v>
          </cell>
          <cell r="E514">
            <v>7</v>
          </cell>
          <cell r="F514">
            <v>70</v>
          </cell>
          <cell r="G514">
            <v>500</v>
          </cell>
          <cell r="H514">
            <v>24</v>
          </cell>
          <cell r="I514">
            <v>2.1134202183867559</v>
          </cell>
          <cell r="J514">
            <v>365</v>
          </cell>
          <cell r="K514" t="str">
            <v>PET TEA+ 500</v>
          </cell>
          <cell r="L514" t="str">
            <v>500 ml</v>
          </cell>
          <cell r="M514" t="str">
            <v>NCB PET</v>
          </cell>
          <cell r="N514" t="str">
            <v>TEA PLUS</v>
          </cell>
          <cell r="V514" t="str">
            <v>28.05.2026</v>
          </cell>
          <cell r="W514">
            <v>46170</v>
          </cell>
        </row>
        <row r="515">
          <cell r="A515" t="str">
            <v>TEA PLUS NO SUGAR 500ML PET24X_70_NEW</v>
          </cell>
          <cell r="B515">
            <v>320022819</v>
          </cell>
          <cell r="C515" t="str">
            <v>TEA PLUS NO SUGAR 500ML PET24X_70_NEW</v>
          </cell>
          <cell r="D515">
            <v>10</v>
          </cell>
          <cell r="E515">
            <v>7</v>
          </cell>
          <cell r="F515">
            <v>70</v>
          </cell>
          <cell r="G515">
            <v>500</v>
          </cell>
          <cell r="H515">
            <v>24</v>
          </cell>
          <cell r="I515">
            <v>2.1134202183867559</v>
          </cell>
          <cell r="J515">
            <v>365</v>
          </cell>
          <cell r="K515" t="str">
            <v>PET TEA+ 500</v>
          </cell>
          <cell r="L515" t="str">
            <v>500 ml</v>
          </cell>
          <cell r="M515" t="str">
            <v>NCB PET</v>
          </cell>
          <cell r="N515" t="str">
            <v>TEA PLUS</v>
          </cell>
          <cell r="V515" t="str">
            <v>29.05.2026</v>
          </cell>
          <cell r="W515">
            <v>46171</v>
          </cell>
        </row>
        <row r="516">
          <cell r="A516" t="str">
            <v>TEA PLUS TASTY 500ML PET 24X_70_NEW</v>
          </cell>
          <cell r="B516">
            <v>320022820</v>
          </cell>
          <cell r="C516" t="str">
            <v>TEA PLUS TASTY 500ML PET 24X_70_NEW</v>
          </cell>
          <cell r="D516">
            <v>10</v>
          </cell>
          <cell r="E516">
            <v>7</v>
          </cell>
          <cell r="F516">
            <v>70</v>
          </cell>
          <cell r="G516">
            <v>500</v>
          </cell>
          <cell r="H516">
            <v>24</v>
          </cell>
          <cell r="I516">
            <v>2.1134202183867559</v>
          </cell>
          <cell r="J516">
            <v>365</v>
          </cell>
          <cell r="K516" t="str">
            <v>PET TEA+ 500</v>
          </cell>
          <cell r="L516" t="str">
            <v>500 ml</v>
          </cell>
          <cell r="M516" t="str">
            <v>NCB PET</v>
          </cell>
          <cell r="N516" t="str">
            <v>TEA PLUS</v>
          </cell>
          <cell r="V516" t="str">
            <v>30.05.2026</v>
          </cell>
          <cell r="W516">
            <v>46172</v>
          </cell>
        </row>
        <row r="517">
          <cell r="A517" t="str">
            <v>TEA PLUS NO SUGAR490ML PET4XMP_70_NEW</v>
          </cell>
          <cell r="B517">
            <v>320022821</v>
          </cell>
          <cell r="C517" t="str">
            <v>TEA PLUS NO SUGAR490ML PET4XMP_70_NEW</v>
          </cell>
          <cell r="D517">
            <v>10</v>
          </cell>
          <cell r="E517">
            <v>7</v>
          </cell>
          <cell r="F517">
            <v>70</v>
          </cell>
          <cell r="G517">
            <v>490</v>
          </cell>
          <cell r="H517">
            <v>24</v>
          </cell>
          <cell r="I517">
            <v>2.0711518140190206</v>
          </cell>
          <cell r="J517">
            <v>365</v>
          </cell>
          <cell r="K517" t="str">
            <v>PET TEA+ 500</v>
          </cell>
          <cell r="L517" t="str">
            <v>490 ml</v>
          </cell>
          <cell r="M517" t="str">
            <v>NCB PET</v>
          </cell>
          <cell r="N517" t="str">
            <v>TEA PLUS</v>
          </cell>
          <cell r="V517" t="str">
            <v>31.05.2026</v>
          </cell>
          <cell r="W517">
            <v>46173</v>
          </cell>
        </row>
        <row r="518">
          <cell r="A518" t="str">
            <v>TEA PLUS TASTY 490ML PET 4X MP_70_NEW</v>
          </cell>
          <cell r="B518">
            <v>320022822</v>
          </cell>
          <cell r="C518" t="str">
            <v>TEA PLUS TASTY 490ML PET 4X MP_70_NEW</v>
          </cell>
          <cell r="D518">
            <v>10</v>
          </cell>
          <cell r="E518">
            <v>7</v>
          </cell>
          <cell r="F518">
            <v>70</v>
          </cell>
          <cell r="G518">
            <v>490</v>
          </cell>
          <cell r="H518">
            <v>24</v>
          </cell>
          <cell r="I518">
            <v>2.0711518140190206</v>
          </cell>
          <cell r="J518">
            <v>365</v>
          </cell>
          <cell r="K518" t="str">
            <v>PET TEA+ 500</v>
          </cell>
          <cell r="L518" t="str">
            <v>490 ml</v>
          </cell>
          <cell r="M518" t="str">
            <v>NCB PET</v>
          </cell>
          <cell r="N518" t="str">
            <v>TEA PLUS</v>
          </cell>
          <cell r="V518" t="str">
            <v>01.06.2026</v>
          </cell>
          <cell r="W518">
            <v>46174</v>
          </cell>
        </row>
        <row r="519">
          <cell r="A519" t="str">
            <v>MIRINDA ORANGE LS 1.45L PET12X NO POP_48</v>
          </cell>
          <cell r="B519">
            <v>320022845</v>
          </cell>
          <cell r="C519" t="str">
            <v>MIRINDA ORANGE LS 1.45L PET12X NO POP_48</v>
          </cell>
          <cell r="D519">
            <v>12</v>
          </cell>
          <cell r="E519">
            <v>4</v>
          </cell>
          <cell r="F519">
            <v>48</v>
          </cell>
          <cell r="G519">
            <v>1450</v>
          </cell>
          <cell r="H519">
            <v>12</v>
          </cell>
          <cell r="I519">
            <v>3.0644593166607961</v>
          </cell>
          <cell r="J519">
            <v>180</v>
          </cell>
          <cell r="K519" t="str">
            <v>PET 1500</v>
          </cell>
          <cell r="L519" t="str">
            <v>1450 ml</v>
          </cell>
          <cell r="M519" t="str">
            <v>CSD PET</v>
          </cell>
          <cell r="N519" t="str">
            <v>MRD Orange</v>
          </cell>
          <cell r="V519" t="str">
            <v>02.06.2026</v>
          </cell>
          <cell r="W519">
            <v>46175</v>
          </cell>
        </row>
        <row r="520">
          <cell r="A520" t="str">
            <v>MIRINDA STRWB LS 1.45L PET 12X NO POP_48</v>
          </cell>
          <cell r="B520">
            <v>320022846</v>
          </cell>
          <cell r="C520" t="str">
            <v>MIRINDA STRWB LS 1.45L PET 12X NO POP_48</v>
          </cell>
          <cell r="D520">
            <v>12</v>
          </cell>
          <cell r="E520">
            <v>4</v>
          </cell>
          <cell r="F520">
            <v>48</v>
          </cell>
          <cell r="G520">
            <v>1450</v>
          </cell>
          <cell r="H520">
            <v>12</v>
          </cell>
          <cell r="I520">
            <v>3.0644593166607961</v>
          </cell>
          <cell r="J520">
            <v>180</v>
          </cell>
          <cell r="K520" t="str">
            <v>PET 1500</v>
          </cell>
          <cell r="L520" t="str">
            <v>1450 ml</v>
          </cell>
          <cell r="M520" t="str">
            <v>CSD PET</v>
          </cell>
          <cell r="N520" t="str">
            <v>MRD Strawberry</v>
          </cell>
          <cell r="V520" t="str">
            <v>03.06.2026</v>
          </cell>
          <cell r="W520">
            <v>46176</v>
          </cell>
        </row>
        <row r="521">
          <cell r="A521" t="str">
            <v>MIRINDA ORANGE LS 1.45L PET 12X 27B_48</v>
          </cell>
          <cell r="B521">
            <v>320022847</v>
          </cell>
          <cell r="C521" t="str">
            <v>MIRINDA ORANGE LS 1.45L PET 12X 27B_48</v>
          </cell>
          <cell r="D521">
            <v>12</v>
          </cell>
          <cell r="E521">
            <v>4</v>
          </cell>
          <cell r="F521">
            <v>48</v>
          </cell>
          <cell r="G521">
            <v>1450</v>
          </cell>
          <cell r="H521">
            <v>12</v>
          </cell>
          <cell r="I521">
            <v>3.0644593166607961</v>
          </cell>
          <cell r="J521">
            <v>180</v>
          </cell>
          <cell r="K521" t="str">
            <v>PET 1500</v>
          </cell>
          <cell r="L521" t="str">
            <v>1450 ml</v>
          </cell>
          <cell r="M521" t="str">
            <v>CSD PET</v>
          </cell>
          <cell r="N521" t="str">
            <v>MRD Orange</v>
          </cell>
          <cell r="V521" t="str">
            <v>04.06.2026</v>
          </cell>
          <cell r="W521">
            <v>46177</v>
          </cell>
        </row>
        <row r="522">
          <cell r="A522" t="str">
            <v>MIRINDA STRWB LS 1.45L PET 12X 27B_48</v>
          </cell>
          <cell r="B522">
            <v>320022848</v>
          </cell>
          <cell r="C522" t="str">
            <v>MIRINDA STRWB LS 1.45L PET 12X 27B_48</v>
          </cell>
          <cell r="D522">
            <v>12</v>
          </cell>
          <cell r="E522">
            <v>4</v>
          </cell>
          <cell r="F522">
            <v>48</v>
          </cell>
          <cell r="G522">
            <v>1450</v>
          </cell>
          <cell r="H522">
            <v>12</v>
          </cell>
          <cell r="I522">
            <v>3.0644593166607961</v>
          </cell>
          <cell r="J522">
            <v>180</v>
          </cell>
          <cell r="K522" t="str">
            <v>PET 1500</v>
          </cell>
          <cell r="L522" t="str">
            <v>1450 ml</v>
          </cell>
          <cell r="M522" t="str">
            <v>CSD PET</v>
          </cell>
          <cell r="N522" t="str">
            <v>MRD Strawberry</v>
          </cell>
          <cell r="V522" t="str">
            <v>05.06.2026</v>
          </cell>
          <cell r="W522">
            <v>46178</v>
          </cell>
        </row>
        <row r="523">
          <cell r="A523" t="str">
            <v>PEPSI COLA MIDCAL 1.26L PET 12X STH_48</v>
          </cell>
          <cell r="B523">
            <v>320022849</v>
          </cell>
          <cell r="C523" t="str">
            <v>PEPSI COLA MIDCAL 1.26L PET 12X STH_48</v>
          </cell>
          <cell r="D523">
            <v>12</v>
          </cell>
          <cell r="E523">
            <v>4</v>
          </cell>
          <cell r="F523">
            <v>48</v>
          </cell>
          <cell r="G523">
            <v>1260</v>
          </cell>
          <cell r="H523">
            <v>12</v>
          </cell>
          <cell r="I523">
            <v>2.6629094751673126</v>
          </cell>
          <cell r="J523">
            <v>180</v>
          </cell>
          <cell r="K523" t="str">
            <v>PET 1250</v>
          </cell>
          <cell r="L523" t="str">
            <v>1260 ml</v>
          </cell>
          <cell r="M523" t="str">
            <v>CSD PET</v>
          </cell>
          <cell r="N523" t="str">
            <v>Pepsi Cola</v>
          </cell>
          <cell r="V523" t="str">
            <v>06.06.2026</v>
          </cell>
          <cell r="W523">
            <v>46179</v>
          </cell>
        </row>
        <row r="524">
          <cell r="A524" t="str">
            <v>PEPSI COLA MIDCAL 1.26L PET12X STH27B_48</v>
          </cell>
          <cell r="B524">
            <v>320022860</v>
          </cell>
          <cell r="C524" t="str">
            <v>PEPSI COLA MIDCAL 1.26L PET12X STH27B_48</v>
          </cell>
          <cell r="D524">
            <v>12</v>
          </cell>
          <cell r="E524">
            <v>4</v>
          </cell>
          <cell r="F524">
            <v>48</v>
          </cell>
          <cell r="G524">
            <v>1260</v>
          </cell>
          <cell r="H524">
            <v>12</v>
          </cell>
          <cell r="I524">
            <v>2.6629094751673126</v>
          </cell>
          <cell r="J524">
            <v>180</v>
          </cell>
          <cell r="K524" t="str">
            <v>PET 1250</v>
          </cell>
          <cell r="L524" t="str">
            <v>1260 ml</v>
          </cell>
          <cell r="M524" t="str">
            <v>CSD PET</v>
          </cell>
          <cell r="N524" t="str">
            <v>Pepsi Cola</v>
          </cell>
          <cell r="V524" t="str">
            <v>07.06.2026</v>
          </cell>
          <cell r="W524">
            <v>46180</v>
          </cell>
        </row>
        <row r="525">
          <cell r="A525" t="str">
            <v>PEPSI COLA MIDCAL 245MLCAN 4XMP Grab_144</v>
          </cell>
          <cell r="B525">
            <v>320022861</v>
          </cell>
          <cell r="C525" t="str">
            <v>PEPSI COLA MIDCAL 245MLCAN 4XMP Grab_144</v>
          </cell>
          <cell r="D525">
            <v>16</v>
          </cell>
          <cell r="E525">
            <v>9</v>
          </cell>
          <cell r="F525">
            <v>144</v>
          </cell>
          <cell r="G525">
            <v>245</v>
          </cell>
          <cell r="H525">
            <v>24</v>
          </cell>
          <cell r="I525">
            <v>1.0355759070095103</v>
          </cell>
          <cell r="J525">
            <v>270</v>
          </cell>
          <cell r="K525" t="str">
            <v>CAN 250</v>
          </cell>
          <cell r="L525" t="str">
            <v>245 ml</v>
          </cell>
          <cell r="M525" t="str">
            <v>CSD CAN</v>
          </cell>
          <cell r="N525" t="str">
            <v>Pepsi Cola</v>
          </cell>
          <cell r="V525" t="str">
            <v>08.06.2026</v>
          </cell>
          <cell r="W525">
            <v>46181</v>
          </cell>
        </row>
        <row r="526">
          <cell r="A526" t="str">
            <v>PEPSI COLA MIDCAL 325MLCAN4X MP Grab_104</v>
          </cell>
          <cell r="B526">
            <v>320022862</v>
          </cell>
          <cell r="C526" t="str">
            <v>PEPSI COLA MIDCAL 325MLCAN4X MP Grab_104</v>
          </cell>
          <cell r="D526">
            <v>13</v>
          </cell>
          <cell r="E526">
            <v>8</v>
          </cell>
          <cell r="F526">
            <v>104</v>
          </cell>
          <cell r="G526">
            <v>325</v>
          </cell>
          <cell r="H526">
            <v>24</v>
          </cell>
          <cell r="I526">
            <v>1.3737231419513913</v>
          </cell>
          <cell r="J526">
            <v>270</v>
          </cell>
          <cell r="K526" t="str">
            <v>CAN 330</v>
          </cell>
          <cell r="L526" t="str">
            <v>325 ml</v>
          </cell>
          <cell r="M526" t="str">
            <v>CSD CAN</v>
          </cell>
          <cell r="N526" t="str">
            <v>Pepsi Cola</v>
          </cell>
          <cell r="V526" t="str">
            <v>09.06.2026</v>
          </cell>
          <cell r="W526">
            <v>46182</v>
          </cell>
        </row>
        <row r="527">
          <cell r="A527" t="str">
            <v>PEPSI COLA MIDCAL 430MLPET12X NO POP_150</v>
          </cell>
          <cell r="B527">
            <v>320022836</v>
          </cell>
          <cell r="C527" t="str">
            <v>PEPSI COLA MIDCAL 430MLPET12X NO POP_150</v>
          </cell>
          <cell r="D527">
            <v>30</v>
          </cell>
          <cell r="E527">
            <v>5</v>
          </cell>
          <cell r="F527">
            <v>150</v>
          </cell>
          <cell r="G527">
            <v>430</v>
          </cell>
          <cell r="H527">
            <v>12</v>
          </cell>
          <cell r="I527">
            <v>0.90877069390630505</v>
          </cell>
          <cell r="J527">
            <v>180</v>
          </cell>
          <cell r="K527" t="str">
            <v>PET 430 P12</v>
          </cell>
          <cell r="L527" t="str">
            <v>430 ml</v>
          </cell>
          <cell r="M527" t="str">
            <v>CSD PET</v>
          </cell>
          <cell r="N527" t="str">
            <v>Pepsi Cola</v>
          </cell>
          <cell r="V527" t="str">
            <v>10.06.2026</v>
          </cell>
          <cell r="W527">
            <v>46183</v>
          </cell>
        </row>
        <row r="528">
          <cell r="A528" t="str">
            <v>PEPSI COLA MIDCAL 345MLPET24X NO POP_102</v>
          </cell>
          <cell r="B528">
            <v>320022835</v>
          </cell>
          <cell r="C528" t="str">
            <v>PEPSI COLA MIDCAL 345MLPET24X NO POP_102</v>
          </cell>
          <cell r="D528">
            <v>17</v>
          </cell>
          <cell r="E528">
            <v>6</v>
          </cell>
          <cell r="F528">
            <v>102</v>
          </cell>
          <cell r="G528">
            <v>345</v>
          </cell>
          <cell r="H528">
            <v>24</v>
          </cell>
          <cell r="I528">
            <v>1.4582599506868617</v>
          </cell>
          <cell r="J528">
            <v>120</v>
          </cell>
          <cell r="K528" t="str">
            <v>PET 350 P24</v>
          </cell>
          <cell r="L528" t="str">
            <v>345 ml</v>
          </cell>
          <cell r="M528" t="str">
            <v>CSD PET</v>
          </cell>
          <cell r="N528" t="str">
            <v>Pepsi Cola</v>
          </cell>
          <cell r="V528" t="str">
            <v>11.06.2026</v>
          </cell>
          <cell r="W528">
            <v>46184</v>
          </cell>
        </row>
        <row r="529">
          <cell r="A529" t="str">
            <v>7UP No Sugar 440ML PET NEW 24X_72</v>
          </cell>
          <cell r="B529">
            <v>320022837</v>
          </cell>
          <cell r="C529" t="str">
            <v>7UP No Sugar 440ML PET NEW 24X_72</v>
          </cell>
          <cell r="D529">
            <v>12</v>
          </cell>
          <cell r="E529">
            <v>6</v>
          </cell>
          <cell r="F529">
            <v>72</v>
          </cell>
          <cell r="G529">
            <v>440</v>
          </cell>
          <cell r="H529">
            <v>24</v>
          </cell>
          <cell r="I529">
            <v>1.8598097921803451</v>
          </cell>
          <cell r="J529">
            <v>180</v>
          </cell>
          <cell r="K529" t="str">
            <v>PET 450</v>
          </cell>
          <cell r="L529" t="str">
            <v>440 ml</v>
          </cell>
          <cell r="M529" t="str">
            <v>CSD PET</v>
          </cell>
          <cell r="N529" t="str">
            <v>7-Up</v>
          </cell>
          <cell r="V529" t="str">
            <v>12.06.2026</v>
          </cell>
          <cell r="W529">
            <v>46185</v>
          </cell>
        </row>
        <row r="530">
          <cell r="A530" t="str">
            <v>7UP No Sugar 345ML PET NEW 12X_192</v>
          </cell>
          <cell r="B530">
            <v>320022838</v>
          </cell>
          <cell r="C530" t="str">
            <v>7UP No Sugar 345ML PET NEW 12X_192</v>
          </cell>
          <cell r="D530">
            <v>32</v>
          </cell>
          <cell r="E530">
            <v>6</v>
          </cell>
          <cell r="F530">
            <v>192</v>
          </cell>
          <cell r="G530">
            <v>345</v>
          </cell>
          <cell r="H530">
            <v>12</v>
          </cell>
          <cell r="I530">
            <v>0.72912997534343083</v>
          </cell>
          <cell r="J530">
            <v>120</v>
          </cell>
          <cell r="K530" t="str">
            <v>PET 350 P12</v>
          </cell>
          <cell r="L530" t="str">
            <v>345 ml</v>
          </cell>
          <cell r="M530" t="str">
            <v>CSD PET</v>
          </cell>
          <cell r="N530" t="str">
            <v>7-Up</v>
          </cell>
          <cell r="V530" t="str">
            <v>13.06.2026</v>
          </cell>
          <cell r="W530">
            <v>46186</v>
          </cell>
        </row>
        <row r="531">
          <cell r="A531" t="str">
            <v>GATORADE BLUE BLAST 350ML 15B PET12X_182</v>
          </cell>
          <cell r="B531">
            <v>320022735</v>
          </cell>
          <cell r="C531" t="str">
            <v>GATORADE BLUE BLAST 350ML 15B PET12X_182</v>
          </cell>
          <cell r="D531">
            <v>26</v>
          </cell>
          <cell r="E531">
            <v>7</v>
          </cell>
          <cell r="F531">
            <v>182</v>
          </cell>
          <cell r="G531">
            <v>350</v>
          </cell>
          <cell r="H531">
            <v>12</v>
          </cell>
          <cell r="I531">
            <v>0.73969707643536453</v>
          </cell>
          <cell r="J531">
            <v>365</v>
          </cell>
          <cell r="K531" t="str">
            <v>PET GTR 350 P12</v>
          </cell>
          <cell r="L531" t="str">
            <v>350ml</v>
          </cell>
          <cell r="M531" t="str">
            <v>NCB PET</v>
          </cell>
          <cell r="N531" t="str">
            <v>GATORADE</v>
          </cell>
          <cell r="V531" t="str">
            <v>14.06.2026</v>
          </cell>
          <cell r="W531">
            <v>46187</v>
          </cell>
        </row>
        <row r="532">
          <cell r="A532" t="str">
            <v>7UP No Sugar 10L BIB NEW 1X_48</v>
          </cell>
          <cell r="B532">
            <v>320022844</v>
          </cell>
          <cell r="C532" t="str">
            <v>7UP No Sugar 10L BIB NEW 1X_48</v>
          </cell>
          <cell r="D532">
            <v>12</v>
          </cell>
          <cell r="E532">
            <v>4</v>
          </cell>
          <cell r="F532">
            <v>48</v>
          </cell>
          <cell r="G532">
            <v>10000</v>
          </cell>
          <cell r="H532">
            <v>6</v>
          </cell>
          <cell r="I532">
            <v>10.567101091933779</v>
          </cell>
          <cell r="J532">
            <v>120</v>
          </cell>
          <cell r="K532" t="str">
            <v>BIB 10L</v>
          </cell>
          <cell r="L532" t="str">
            <v>10 L</v>
          </cell>
          <cell r="M532" t="str">
            <v>CSD PMX</v>
          </cell>
          <cell r="N532" t="str">
            <v>7-Up</v>
          </cell>
          <cell r="V532" t="str">
            <v>15.06.2026</v>
          </cell>
          <cell r="W532">
            <v>46188</v>
          </cell>
        </row>
        <row r="533">
          <cell r="A533" t="str">
            <v>ROCKSTAR ORIGINAL 295ML PET 12X 20B_174</v>
          </cell>
          <cell r="B533">
            <v>320022814</v>
          </cell>
          <cell r="C533" t="str">
            <v>ROCKSTAR ORIGINAL 295ML PET 12X 20B_174</v>
          </cell>
          <cell r="D533">
            <v>29</v>
          </cell>
          <cell r="E533">
            <v>6</v>
          </cell>
          <cell r="F533">
            <v>174</v>
          </cell>
          <cell r="G533">
            <v>300</v>
          </cell>
          <cell r="H533">
            <v>12</v>
          </cell>
          <cell r="I533">
            <v>0.6340260655160268</v>
          </cell>
          <cell r="J533">
            <v>180</v>
          </cell>
          <cell r="K533" t="str">
            <v>PET MIXIT 300</v>
          </cell>
          <cell r="L533" t="str">
            <v>300 ml</v>
          </cell>
          <cell r="M533" t="str">
            <v>CSD PET</v>
          </cell>
          <cell r="N533" t="str">
            <v>ROCKSTAR</v>
          </cell>
          <cell r="V533" t="str">
            <v>16.06.2026</v>
          </cell>
          <cell r="W533">
            <v>46189</v>
          </cell>
        </row>
        <row r="534">
          <cell r="A534" t="str">
            <v>ROCKSTAR NO SUGAR 295ML PET 12X 20B_174</v>
          </cell>
          <cell r="B534">
            <v>320022815</v>
          </cell>
          <cell r="C534" t="str">
            <v>ROCKSTAR NO SUGAR 295ML PET 12X 20B_174</v>
          </cell>
          <cell r="D534">
            <v>29</v>
          </cell>
          <cell r="E534">
            <v>6</v>
          </cell>
          <cell r="F534">
            <v>174</v>
          </cell>
          <cell r="G534">
            <v>300</v>
          </cell>
          <cell r="H534">
            <v>12</v>
          </cell>
          <cell r="I534">
            <v>0.6340260655160268</v>
          </cell>
          <cell r="J534">
            <v>180</v>
          </cell>
          <cell r="K534" t="str">
            <v>PET MIXIT 300</v>
          </cell>
          <cell r="L534" t="str">
            <v>300 ml</v>
          </cell>
          <cell r="M534" t="str">
            <v>CSD PET</v>
          </cell>
          <cell r="N534" t="str">
            <v>ROCKSTAR</v>
          </cell>
          <cell r="V534" t="str">
            <v>17.06.2026</v>
          </cell>
          <cell r="W534">
            <v>46190</v>
          </cell>
        </row>
        <row r="535">
          <cell r="A535" t="str">
            <v>ROCKSTAR ORIGINAL 300ML PET 12X_174</v>
          </cell>
          <cell r="B535">
            <v>320022827</v>
          </cell>
          <cell r="C535" t="str">
            <v>ROCKSTAR ORIGINAL 300ML PET 12X_174</v>
          </cell>
          <cell r="D535">
            <v>29</v>
          </cell>
          <cell r="E535">
            <v>6</v>
          </cell>
          <cell r="F535">
            <v>174</v>
          </cell>
          <cell r="G535">
            <v>300</v>
          </cell>
          <cell r="H535">
            <v>12</v>
          </cell>
          <cell r="I535">
            <v>0.6340260655160268</v>
          </cell>
          <cell r="J535">
            <v>180</v>
          </cell>
          <cell r="K535" t="str">
            <v>PET MIXIT 300</v>
          </cell>
          <cell r="L535" t="str">
            <v>300 ml</v>
          </cell>
          <cell r="M535" t="str">
            <v>CSD PET</v>
          </cell>
          <cell r="N535" t="str">
            <v>ROCKSTAR</v>
          </cell>
          <cell r="V535" t="str">
            <v>18.06.2026</v>
          </cell>
          <cell r="W535">
            <v>46191</v>
          </cell>
        </row>
        <row r="536">
          <cell r="A536" t="str">
            <v>ROCKSTAR NO SUGAR 300ML PET 12X_174</v>
          </cell>
          <cell r="B536">
            <v>320022828</v>
          </cell>
          <cell r="C536" t="str">
            <v>ROCKSTAR NO SUGAR 300ML PET 12X_174</v>
          </cell>
          <cell r="D536">
            <v>29</v>
          </cell>
          <cell r="E536">
            <v>6</v>
          </cell>
          <cell r="F536">
            <v>174</v>
          </cell>
          <cell r="G536">
            <v>300</v>
          </cell>
          <cell r="H536">
            <v>12</v>
          </cell>
          <cell r="I536">
            <v>0.6340260655160268</v>
          </cell>
          <cell r="J536">
            <v>180</v>
          </cell>
          <cell r="K536" t="str">
            <v>PET MIXIT 300</v>
          </cell>
          <cell r="L536" t="str">
            <v>300 ml</v>
          </cell>
          <cell r="M536" t="str">
            <v>CSD PET</v>
          </cell>
          <cell r="N536" t="str">
            <v>ROCKSTAR</v>
          </cell>
          <cell r="V536" t="str">
            <v>19.06.2026</v>
          </cell>
          <cell r="W536">
            <v>46192</v>
          </cell>
        </row>
        <row r="537">
          <cell r="A537" t="str">
            <v>ROCKSTAR ORIGINAL 245ML CAN 4X MP_64</v>
          </cell>
          <cell r="B537">
            <v>320022825</v>
          </cell>
          <cell r="C537" t="str">
            <v>ROCKSTAR ORIGINAL 245ML CAN 4X MP_64</v>
          </cell>
          <cell r="D537">
            <v>16</v>
          </cell>
          <cell r="E537">
            <v>4</v>
          </cell>
          <cell r="F537">
            <v>64</v>
          </cell>
          <cell r="G537">
            <v>245</v>
          </cell>
          <cell r="H537">
            <v>24</v>
          </cell>
          <cell r="I537">
            <v>1.0355759070095103</v>
          </cell>
          <cell r="J537">
            <v>270</v>
          </cell>
          <cell r="K537" t="str">
            <v>CAN 250</v>
          </cell>
          <cell r="L537" t="str">
            <v>245 ml</v>
          </cell>
          <cell r="M537" t="str">
            <v>CSD CAN</v>
          </cell>
          <cell r="N537" t="str">
            <v>ROCKSTAR</v>
          </cell>
          <cell r="V537" t="str">
            <v>20.06.2026</v>
          </cell>
          <cell r="W537">
            <v>46193</v>
          </cell>
        </row>
        <row r="538">
          <cell r="A538" t="str">
            <v>ROCKSTAR NO SUGAR 245ML CAN 4X MP_64</v>
          </cell>
          <cell r="B538">
            <v>320022826</v>
          </cell>
          <cell r="C538" t="str">
            <v>ROCKSTAR NO SUGAR 245ML CAN 4X MP_64</v>
          </cell>
          <cell r="D538">
            <v>16</v>
          </cell>
          <cell r="E538">
            <v>4</v>
          </cell>
          <cell r="F538">
            <v>64</v>
          </cell>
          <cell r="G538">
            <v>245</v>
          </cell>
          <cell r="H538">
            <v>24</v>
          </cell>
          <cell r="I538">
            <v>1.0355759070095103</v>
          </cell>
          <cell r="J538">
            <v>270</v>
          </cell>
          <cell r="K538" t="str">
            <v>CAN 250</v>
          </cell>
          <cell r="L538" t="str">
            <v>245 ml</v>
          </cell>
          <cell r="M538" t="str">
            <v>CSD CAN</v>
          </cell>
          <cell r="N538" t="str">
            <v>ROCKSTAR</v>
          </cell>
          <cell r="V538" t="str">
            <v>21.06.2026</v>
          </cell>
          <cell r="W538">
            <v>46194</v>
          </cell>
        </row>
        <row r="539">
          <cell r="A539" t="str">
            <v>7UP No Sugar 1.45L PET NEW 12X_48</v>
          </cell>
          <cell r="B539">
            <v>320022843</v>
          </cell>
          <cell r="C539" t="str">
            <v>7UP No Sugar 1.45L PET NEW 12X_48</v>
          </cell>
          <cell r="D539">
            <v>12</v>
          </cell>
          <cell r="E539">
            <v>4</v>
          </cell>
          <cell r="F539">
            <v>48</v>
          </cell>
          <cell r="G539">
            <v>1450</v>
          </cell>
          <cell r="H539">
            <v>12</v>
          </cell>
          <cell r="I539">
            <v>3.0644593166607961</v>
          </cell>
          <cell r="J539">
            <v>180</v>
          </cell>
          <cell r="K539" t="str">
            <v>PET 1500</v>
          </cell>
          <cell r="L539" t="str">
            <v>1450 ml</v>
          </cell>
          <cell r="M539" t="str">
            <v>CSD PET</v>
          </cell>
          <cell r="N539" t="str">
            <v>7-Up</v>
          </cell>
          <cell r="V539" t="str">
            <v>22.06.2026</v>
          </cell>
          <cell r="W539">
            <v>46195</v>
          </cell>
        </row>
        <row r="540">
          <cell r="A540" t="str">
            <v>TEA PLUS TASTY 350ML PET 4X MP_84</v>
          </cell>
          <cell r="B540">
            <v>320022863</v>
          </cell>
          <cell r="C540" t="str">
            <v>TEA PLUS TASTY 350ML PET 4X MP_84</v>
          </cell>
          <cell r="D540">
            <v>12</v>
          </cell>
          <cell r="E540">
            <v>7</v>
          </cell>
          <cell r="F540">
            <v>84</v>
          </cell>
          <cell r="G540">
            <v>350</v>
          </cell>
          <cell r="H540">
            <v>24</v>
          </cell>
          <cell r="I540">
            <v>1.4793941528707291</v>
          </cell>
          <cell r="J540">
            <v>365</v>
          </cell>
          <cell r="K540" t="str">
            <v>PET TEA+ 350</v>
          </cell>
          <cell r="L540" t="str">
            <v>350 ml</v>
          </cell>
          <cell r="M540" t="str">
            <v>NCB PET</v>
          </cell>
          <cell r="N540" t="str">
            <v>TEA PLUS</v>
          </cell>
          <cell r="V540" t="str">
            <v>23.06.2026</v>
          </cell>
          <cell r="W540">
            <v>46196</v>
          </cell>
        </row>
        <row r="541">
          <cell r="A541" t="str">
            <v>PEPSI NO SUGAR LIME 10L BIB 1X_48</v>
          </cell>
          <cell r="B541">
            <v>320022834</v>
          </cell>
          <cell r="C541" t="str">
            <v>PEPSI NO SUGAR LIME 10L BIB 1X_48</v>
          </cell>
          <cell r="D541">
            <v>12</v>
          </cell>
          <cell r="E541">
            <v>4</v>
          </cell>
          <cell r="F541">
            <v>48</v>
          </cell>
          <cell r="G541">
            <v>10000</v>
          </cell>
          <cell r="H541">
            <v>6</v>
          </cell>
          <cell r="I541">
            <v>10.567101091933779</v>
          </cell>
          <cell r="J541">
            <v>120</v>
          </cell>
          <cell r="K541" t="str">
            <v>BIB 10L</v>
          </cell>
          <cell r="L541" t="str">
            <v>10 L</v>
          </cell>
          <cell r="M541" t="str">
            <v>CSD PMX</v>
          </cell>
          <cell r="N541" t="str">
            <v>PEPSI NO SUGAR</v>
          </cell>
          <cell r="V541" t="str">
            <v>24.06.2026</v>
          </cell>
          <cell r="W541">
            <v>46197</v>
          </cell>
        </row>
        <row r="542">
          <cell r="A542" t="str">
            <v>LIPTON LEMON ZERO 445ML PET24X_New60</v>
          </cell>
          <cell r="B542">
            <v>320022870</v>
          </cell>
          <cell r="C542" t="str">
            <v>LIPTON LEMON ZERO 445ML PET24X_New60</v>
          </cell>
          <cell r="D542">
            <v>10</v>
          </cell>
          <cell r="E542">
            <v>6</v>
          </cell>
          <cell r="F542">
            <v>60</v>
          </cell>
          <cell r="G542">
            <v>445</v>
          </cell>
          <cell r="H542">
            <v>24</v>
          </cell>
          <cell r="I542">
            <v>1.8809439943642128</v>
          </cell>
          <cell r="J542">
            <v>180</v>
          </cell>
          <cell r="K542" t="str">
            <v>PET NCB 445</v>
          </cell>
          <cell r="L542" t="str">
            <v>445 ml</v>
          </cell>
          <cell r="M542" t="str">
            <v>NCB PET</v>
          </cell>
          <cell r="N542" t="str">
            <v>Lipton</v>
          </cell>
          <cell r="V542" t="str">
            <v>25.06.2026</v>
          </cell>
          <cell r="W542">
            <v>46198</v>
          </cell>
        </row>
        <row r="543">
          <cell r="A543" t="str">
            <v>PEPSI COLA MID CAL 430ML PET 12X 16B_150</v>
          </cell>
          <cell r="B543">
            <v>320022850</v>
          </cell>
          <cell r="C543" t="str">
            <v>PEPSI COLA MID CAL 430ML PET 12X 16B_150</v>
          </cell>
          <cell r="D543">
            <v>30</v>
          </cell>
          <cell r="E543">
            <v>5</v>
          </cell>
          <cell r="F543">
            <v>150</v>
          </cell>
          <cell r="G543">
            <v>430</v>
          </cell>
          <cell r="H543">
            <v>12</v>
          </cell>
          <cell r="I543">
            <v>0.90877069390630505</v>
          </cell>
          <cell r="J543">
            <v>180</v>
          </cell>
          <cell r="K543" t="str">
            <v>PET 430 P12</v>
          </cell>
          <cell r="L543" t="str">
            <v>430 ml</v>
          </cell>
          <cell r="M543" t="str">
            <v>CSD PET</v>
          </cell>
          <cell r="N543" t="str">
            <v>Pepsi Cola</v>
          </cell>
          <cell r="V543" t="str">
            <v>26.06.2026</v>
          </cell>
          <cell r="W543">
            <v>46199</v>
          </cell>
        </row>
        <row r="544">
          <cell r="A544" t="str">
            <v>PEPSI COLA MID CAL 345ML PET 24X 13B_102</v>
          </cell>
          <cell r="B544">
            <v>320022839</v>
          </cell>
          <cell r="C544" t="str">
            <v>PEPSI COLA MID CAL 345ML PET 24X 13B_102</v>
          </cell>
          <cell r="D544">
            <v>17</v>
          </cell>
          <cell r="E544">
            <v>6</v>
          </cell>
          <cell r="F544">
            <v>102</v>
          </cell>
          <cell r="G544">
            <v>345</v>
          </cell>
          <cell r="H544">
            <v>24</v>
          </cell>
          <cell r="I544">
            <v>1.4582599506868617</v>
          </cell>
          <cell r="J544">
            <v>120</v>
          </cell>
          <cell r="K544" t="str">
            <v>PET 350 P24</v>
          </cell>
          <cell r="L544" t="str">
            <v>345 ml</v>
          </cell>
          <cell r="M544" t="str">
            <v>CSD PET</v>
          </cell>
          <cell r="N544" t="str">
            <v>Pepsi Cola</v>
          </cell>
          <cell r="V544" t="str">
            <v>27.06.2026</v>
          </cell>
          <cell r="W544">
            <v>46200</v>
          </cell>
        </row>
        <row r="545">
          <cell r="A545" t="str">
            <v>TEA PLUS NO SUGAR490ML PET4XMP_70_POP</v>
          </cell>
          <cell r="B545">
            <v>320022881</v>
          </cell>
          <cell r="C545" t="str">
            <v>TEA PLUS NO SUGAR490ML PET4XMP_70_POP</v>
          </cell>
          <cell r="D545">
            <v>10</v>
          </cell>
          <cell r="E545">
            <v>7</v>
          </cell>
          <cell r="F545">
            <v>70</v>
          </cell>
          <cell r="G545">
            <v>490</v>
          </cell>
          <cell r="H545">
            <v>24</v>
          </cell>
          <cell r="I545">
            <v>2.0711518140190206</v>
          </cell>
          <cell r="J545">
            <v>365</v>
          </cell>
          <cell r="K545" t="str">
            <v>PET TEA+ 500</v>
          </cell>
          <cell r="L545" t="str">
            <v>490 ml</v>
          </cell>
          <cell r="M545" t="str">
            <v>NCB PET</v>
          </cell>
          <cell r="N545" t="str">
            <v>TEA PLUS</v>
          </cell>
          <cell r="V545" t="str">
            <v>28.06.2026</v>
          </cell>
          <cell r="W545">
            <v>46201</v>
          </cell>
        </row>
        <row r="546">
          <cell r="A546" t="str">
            <v>TEA PLUS TASTY 490ML PET 4X MP_70_POP</v>
          </cell>
          <cell r="B546">
            <v>320022880</v>
          </cell>
          <cell r="C546" t="str">
            <v>TEA PLUS TASTY 490ML PET 4X MP_70_POP</v>
          </cell>
          <cell r="D546">
            <v>10</v>
          </cell>
          <cell r="E546">
            <v>7</v>
          </cell>
          <cell r="F546">
            <v>70</v>
          </cell>
          <cell r="G546">
            <v>490</v>
          </cell>
          <cell r="H546">
            <v>24</v>
          </cell>
          <cell r="I546">
            <v>2.0711518140190206</v>
          </cell>
          <cell r="J546">
            <v>365</v>
          </cell>
          <cell r="K546" t="str">
            <v>PET TEA+ 500</v>
          </cell>
          <cell r="L546" t="str">
            <v>490 ml</v>
          </cell>
          <cell r="M546" t="str">
            <v>NCB PET</v>
          </cell>
          <cell r="N546" t="str">
            <v>TEA PLUS</v>
          </cell>
          <cell r="V546" t="str">
            <v>29.06.2026</v>
          </cell>
          <cell r="W546">
            <v>46202</v>
          </cell>
        </row>
        <row r="547">
          <cell r="A547" t="str">
            <v>PEPSI COLA MID CAL 300ML PET 24X POP_119</v>
          </cell>
          <cell r="B547">
            <v>320022882</v>
          </cell>
          <cell r="C547" t="str">
            <v>PEPSI COLA MID CAL 300ML PET 24X POP_119</v>
          </cell>
          <cell r="D547">
            <v>17</v>
          </cell>
          <cell r="E547">
            <v>7</v>
          </cell>
          <cell r="F547">
            <v>119</v>
          </cell>
          <cell r="G547">
            <v>300</v>
          </cell>
          <cell r="H547">
            <v>24</v>
          </cell>
          <cell r="I547">
            <v>1.2680521310320536</v>
          </cell>
          <cell r="J547">
            <v>120</v>
          </cell>
          <cell r="K547" t="str">
            <v>PET 300 EMN P24</v>
          </cell>
          <cell r="L547" t="str">
            <v>300 ml</v>
          </cell>
          <cell r="M547" t="str">
            <v>CSD PET</v>
          </cell>
          <cell r="N547" t="str">
            <v>Pepsi Cola</v>
          </cell>
          <cell r="V547" t="str">
            <v>30.06.2026</v>
          </cell>
          <cell r="W547">
            <v>46203</v>
          </cell>
        </row>
        <row r="548">
          <cell r="A548" t="str">
            <v>PEPSI NO SUGAR RASPBERRY 10L BIB 1X_48</v>
          </cell>
          <cell r="B548">
            <v>320022877</v>
          </cell>
          <cell r="C548" t="str">
            <v>PEPSI NO SUGAR RASPBERRY 10L BIB 1X_48</v>
          </cell>
          <cell r="D548">
            <v>12</v>
          </cell>
          <cell r="E548">
            <v>4</v>
          </cell>
          <cell r="F548">
            <v>48</v>
          </cell>
          <cell r="G548">
            <v>10000</v>
          </cell>
          <cell r="H548">
            <v>6</v>
          </cell>
          <cell r="I548">
            <v>10.567101091933779</v>
          </cell>
          <cell r="J548">
            <v>120</v>
          </cell>
          <cell r="K548" t="str">
            <v>BIB 10L</v>
          </cell>
          <cell r="L548" t="str">
            <v>10 L</v>
          </cell>
          <cell r="M548" t="str">
            <v>CSD PMX</v>
          </cell>
          <cell r="N548" t="str">
            <v>PEPSI NO SUGAR</v>
          </cell>
          <cell r="V548" t="str">
            <v>01.07.2026</v>
          </cell>
          <cell r="W548">
            <v>46204</v>
          </cell>
        </row>
        <row r="549">
          <cell r="A549" t="str">
            <v>PEPSI NO SUGAR ORANGE 325ML CAN4X MP_104</v>
          </cell>
          <cell r="B549">
            <v>320022878</v>
          </cell>
          <cell r="C549" t="str">
            <v>PEPSI NO SUGAR ORANGE 325ML CAN4X MP_104</v>
          </cell>
          <cell r="D549">
            <v>13</v>
          </cell>
          <cell r="E549">
            <v>8</v>
          </cell>
          <cell r="F549">
            <v>104</v>
          </cell>
          <cell r="G549">
            <v>325</v>
          </cell>
          <cell r="H549">
            <v>24</v>
          </cell>
          <cell r="I549">
            <v>1.3737231419513913</v>
          </cell>
          <cell r="J549">
            <v>180</v>
          </cell>
          <cell r="K549" t="str">
            <v>CAN 330</v>
          </cell>
          <cell r="L549" t="str">
            <v>325 ml</v>
          </cell>
          <cell r="M549" t="str">
            <v>CSD CAN</v>
          </cell>
          <cell r="N549" t="str">
            <v>PEPSI NO SUGAR</v>
          </cell>
          <cell r="V549" t="str">
            <v>02.07.2026</v>
          </cell>
          <cell r="W549">
            <v>46205</v>
          </cell>
        </row>
        <row r="550">
          <cell r="A550" t="str">
            <v>PEPSI NO SUGAR ORANGE 345ML PET 12X_192</v>
          </cell>
          <cell r="B550">
            <v>320023085</v>
          </cell>
          <cell r="C550" t="str">
            <v>PEPSI NO SUGAR ORANGE 345ML PET 12X_192</v>
          </cell>
          <cell r="D550">
            <v>32</v>
          </cell>
          <cell r="E550">
            <v>6</v>
          </cell>
          <cell r="F550">
            <v>192</v>
          </cell>
          <cell r="G550">
            <v>345</v>
          </cell>
          <cell r="H550">
            <v>12</v>
          </cell>
          <cell r="I550">
            <v>0.72912997534343083</v>
          </cell>
          <cell r="J550">
            <v>120</v>
          </cell>
          <cell r="K550" t="str">
            <v>PET 350 P12</v>
          </cell>
          <cell r="L550" t="str">
            <v>345 ml</v>
          </cell>
          <cell r="M550" t="str">
            <v>CSD PET</v>
          </cell>
          <cell r="N550" t="str">
            <v>PEPSI NO SUGAR</v>
          </cell>
          <cell r="V550" t="str">
            <v>03.07.2026</v>
          </cell>
          <cell r="W550">
            <v>46206</v>
          </cell>
        </row>
        <row r="551">
          <cell r="A551" t="str">
            <v>PEPSI NO SUGAR ORANGE 550ML PET 24X_66</v>
          </cell>
          <cell r="B551">
            <v>320022890</v>
          </cell>
          <cell r="C551" t="str">
            <v>PEPSI NO SUGAR ORANGE 550ML PET 24X_66</v>
          </cell>
          <cell r="D551">
            <v>11</v>
          </cell>
          <cell r="E551">
            <v>6</v>
          </cell>
          <cell r="F551">
            <v>66</v>
          </cell>
          <cell r="G551">
            <v>550</v>
          </cell>
          <cell r="H551">
            <v>24</v>
          </cell>
          <cell r="I551">
            <v>2.3247622402254313</v>
          </cell>
          <cell r="J551">
            <v>180</v>
          </cell>
          <cell r="K551" t="str">
            <v>PET 550</v>
          </cell>
          <cell r="L551" t="str">
            <v>550 ml</v>
          </cell>
          <cell r="M551" t="str">
            <v>CSD PET</v>
          </cell>
          <cell r="N551" t="str">
            <v>PEPSI NO SUGAR</v>
          </cell>
          <cell r="V551" t="str">
            <v>04.07.2026</v>
          </cell>
          <cell r="W551">
            <v>46207</v>
          </cell>
        </row>
        <row r="552">
          <cell r="A552" t="str">
            <v>BOSS LATTE 220ML PET 24X_96_Sampling</v>
          </cell>
          <cell r="B552">
            <v>320022865</v>
          </cell>
          <cell r="C552" t="str">
            <v>BOSS LATTE 220ML PET 24X_96_Sampling</v>
          </cell>
          <cell r="D552">
            <v>12</v>
          </cell>
          <cell r="E552">
            <v>8</v>
          </cell>
          <cell r="F552">
            <v>96</v>
          </cell>
          <cell r="G552">
            <v>220</v>
          </cell>
          <cell r="H552">
            <v>24</v>
          </cell>
          <cell r="I552">
            <v>0.92990489609017257</v>
          </cell>
          <cell r="J552">
            <v>365</v>
          </cell>
          <cell r="K552" t="str">
            <v>PET COFF 250</v>
          </cell>
          <cell r="L552" t="str">
            <v>250 ml</v>
          </cell>
          <cell r="M552" t="str">
            <v>NCB PET</v>
          </cell>
          <cell r="N552" t="str">
            <v>BOSS COFFEE</v>
          </cell>
          <cell r="V552" t="str">
            <v>05.07.2026</v>
          </cell>
          <cell r="W552">
            <v>46208</v>
          </cell>
        </row>
        <row r="553">
          <cell r="A553" t="str">
            <v>LIPTON LEMON ZERO 445ML PET24X_New66</v>
          </cell>
          <cell r="B553">
            <v>320022866</v>
          </cell>
          <cell r="C553" t="str">
            <v>LIPTON LEMON ZERO 445ML PET24X_New66</v>
          </cell>
          <cell r="D553">
            <v>11</v>
          </cell>
          <cell r="E553">
            <v>6</v>
          </cell>
          <cell r="F553">
            <v>66</v>
          </cell>
          <cell r="G553">
            <v>445</v>
          </cell>
          <cell r="H553">
            <v>24</v>
          </cell>
          <cell r="I553">
            <v>1.8809439943642128</v>
          </cell>
          <cell r="J553">
            <v>180</v>
          </cell>
          <cell r="K553" t="str">
            <v>PET NCB 445</v>
          </cell>
          <cell r="L553" t="str">
            <v>445 ml</v>
          </cell>
          <cell r="M553" t="str">
            <v>NCB PET</v>
          </cell>
          <cell r="N553" t="str">
            <v>Lipton</v>
          </cell>
          <cell r="V553" t="str">
            <v>06.07.2026</v>
          </cell>
          <cell r="W553">
            <v>46209</v>
          </cell>
        </row>
        <row r="554">
          <cell r="A554" t="str">
            <v>LIPTON LEMON LS 445ML PET 24X_NF66</v>
          </cell>
          <cell r="B554">
            <v>320022867</v>
          </cell>
          <cell r="C554" t="str">
            <v>LIPTON LEMON LS 445ML PET 24X_NF66</v>
          </cell>
          <cell r="D554">
            <v>11</v>
          </cell>
          <cell r="E554">
            <v>6</v>
          </cell>
          <cell r="F554">
            <v>66</v>
          </cell>
          <cell r="G554">
            <v>445</v>
          </cell>
          <cell r="H554">
            <v>24</v>
          </cell>
          <cell r="I554">
            <v>1.8809439943642128</v>
          </cell>
          <cell r="J554">
            <v>270</v>
          </cell>
          <cell r="K554" t="str">
            <v>PET NCB 445</v>
          </cell>
          <cell r="L554" t="str">
            <v>445 ml</v>
          </cell>
          <cell r="M554" t="str">
            <v>NCB PET</v>
          </cell>
          <cell r="N554" t="str">
            <v>Lipton</v>
          </cell>
          <cell r="V554" t="str">
            <v>07.07.2026</v>
          </cell>
          <cell r="W554">
            <v>46210</v>
          </cell>
        </row>
        <row r="555">
          <cell r="A555" t="str">
            <v>LIPTON YUZU 445ML PET 24X_NF66</v>
          </cell>
          <cell r="B555">
            <v>320022868</v>
          </cell>
          <cell r="C555" t="str">
            <v>LIPTON YUZU 445ML PET 24X_NF66</v>
          </cell>
          <cell r="D555">
            <v>11</v>
          </cell>
          <cell r="E555">
            <v>6</v>
          </cell>
          <cell r="F555">
            <v>66</v>
          </cell>
          <cell r="G555">
            <v>445</v>
          </cell>
          <cell r="H555">
            <v>24</v>
          </cell>
          <cell r="I555">
            <v>1.8809439943642128</v>
          </cell>
          <cell r="J555">
            <v>270</v>
          </cell>
          <cell r="K555" t="str">
            <v>PET NCB 445</v>
          </cell>
          <cell r="L555" t="str">
            <v>445 ml</v>
          </cell>
          <cell r="M555" t="str">
            <v>NCB PET</v>
          </cell>
          <cell r="N555" t="str">
            <v>Lipton</v>
          </cell>
          <cell r="V555" t="str">
            <v>08.07.2026</v>
          </cell>
          <cell r="W555">
            <v>46211</v>
          </cell>
        </row>
        <row r="556">
          <cell r="A556" t="str">
            <v>LIPTON PEACH 445ML PET 24X_NF66</v>
          </cell>
          <cell r="B556">
            <v>320022869</v>
          </cell>
          <cell r="C556" t="str">
            <v>LIPTON PEACH 445ML PET 24X_NF66</v>
          </cell>
          <cell r="D556">
            <v>11</v>
          </cell>
          <cell r="E556">
            <v>6</v>
          </cell>
          <cell r="F556">
            <v>66</v>
          </cell>
          <cell r="G556">
            <v>445</v>
          </cell>
          <cell r="H556">
            <v>24</v>
          </cell>
          <cell r="I556">
            <v>1.8809439943642128</v>
          </cell>
          <cell r="J556">
            <v>270</v>
          </cell>
          <cell r="K556" t="str">
            <v>PET NCB 445</v>
          </cell>
          <cell r="L556" t="str">
            <v>445 ml</v>
          </cell>
          <cell r="M556" t="str">
            <v>NCB PET</v>
          </cell>
          <cell r="N556" t="str">
            <v>Lipton</v>
          </cell>
          <cell r="V556" t="str">
            <v>09.07.2026</v>
          </cell>
          <cell r="W556">
            <v>46212</v>
          </cell>
        </row>
        <row r="557">
          <cell r="A557" t="str">
            <v>TEA PLUS NO SUGAR 500ML PET24X_70_IRS</v>
          </cell>
          <cell r="B557">
            <v>320022891</v>
          </cell>
          <cell r="C557" t="str">
            <v>TEA PLUS NO SUGAR 500ML PET24X_70_IRS</v>
          </cell>
          <cell r="D557">
            <v>10</v>
          </cell>
          <cell r="E557">
            <v>7</v>
          </cell>
          <cell r="F557">
            <v>70</v>
          </cell>
          <cell r="G557">
            <v>500</v>
          </cell>
          <cell r="H557">
            <v>24</v>
          </cell>
          <cell r="I557">
            <v>2.1134202183867559</v>
          </cell>
          <cell r="J557">
            <v>365</v>
          </cell>
          <cell r="K557" t="str">
            <v>PET TEA+ 500</v>
          </cell>
          <cell r="L557" t="str">
            <v>500 ml</v>
          </cell>
          <cell r="M557" t="str">
            <v>NCB PET</v>
          </cell>
          <cell r="N557" t="str">
            <v>TEA PLUS</v>
          </cell>
          <cell r="V557" t="str">
            <v>10.07.2026</v>
          </cell>
          <cell r="W557">
            <v>46213</v>
          </cell>
        </row>
        <row r="558">
          <cell r="A558" t="str">
            <v>TEA PLUS TASTY 500ML PET 24X_70_IRS</v>
          </cell>
          <cell r="B558">
            <v>320022892</v>
          </cell>
          <cell r="C558" t="str">
            <v>TEA PLUS TASTY 500ML PET 24X_70_IRS</v>
          </cell>
          <cell r="D558">
            <v>10</v>
          </cell>
          <cell r="E558">
            <v>7</v>
          </cell>
          <cell r="F558">
            <v>70</v>
          </cell>
          <cell r="G558">
            <v>500</v>
          </cell>
          <cell r="H558">
            <v>24</v>
          </cell>
          <cell r="I558">
            <v>2.1134202183867559</v>
          </cell>
          <cell r="J558">
            <v>365</v>
          </cell>
          <cell r="K558" t="str">
            <v>PET TEA+ 500</v>
          </cell>
          <cell r="L558" t="str">
            <v>500 ml</v>
          </cell>
          <cell r="M558" t="str">
            <v>NCB PET</v>
          </cell>
          <cell r="N558" t="str">
            <v>TEA PLUS</v>
          </cell>
          <cell r="V558" t="str">
            <v>11.07.2026</v>
          </cell>
          <cell r="W558">
            <v>46214</v>
          </cell>
        </row>
        <row r="559">
          <cell r="A559" t="str">
            <v>TEA PLUS TASTY 490ML PET 4X MP_70_IRS</v>
          </cell>
          <cell r="B559">
            <v>320022893</v>
          </cell>
          <cell r="C559" t="str">
            <v>TEA PLUS TASTY 490ML PET 4X MP_70_IRS</v>
          </cell>
          <cell r="D559">
            <v>10</v>
          </cell>
          <cell r="E559">
            <v>7</v>
          </cell>
          <cell r="F559">
            <v>70</v>
          </cell>
          <cell r="G559">
            <v>490</v>
          </cell>
          <cell r="H559">
            <v>24</v>
          </cell>
          <cell r="I559">
            <v>2.0711518140190206</v>
          </cell>
          <cell r="J559">
            <v>365</v>
          </cell>
          <cell r="K559" t="str">
            <v>PET TEA+ 500</v>
          </cell>
          <cell r="L559" t="str">
            <v>490 ml</v>
          </cell>
          <cell r="M559" t="str">
            <v>NCB PET</v>
          </cell>
          <cell r="N559" t="str">
            <v>TEA PLUS</v>
          </cell>
          <cell r="V559" t="str">
            <v>12.07.2026</v>
          </cell>
          <cell r="W559">
            <v>46215</v>
          </cell>
        </row>
        <row r="560">
          <cell r="A560" t="str">
            <v>TEA PLUS NO SUGAR490ML PET4XMP_70_IRS</v>
          </cell>
          <cell r="B560">
            <v>320022894</v>
          </cell>
          <cell r="C560" t="str">
            <v>TEA PLUS NO SUGAR490ML PET4XMP_70_IRS</v>
          </cell>
          <cell r="D560">
            <v>10</v>
          </cell>
          <cell r="E560">
            <v>7</v>
          </cell>
          <cell r="F560">
            <v>70</v>
          </cell>
          <cell r="G560">
            <v>490</v>
          </cell>
          <cell r="H560">
            <v>24</v>
          </cell>
          <cell r="I560">
            <v>2.0711518140190206</v>
          </cell>
          <cell r="J560">
            <v>365</v>
          </cell>
          <cell r="K560" t="str">
            <v>PET TEA+ 500</v>
          </cell>
          <cell r="L560" t="str">
            <v>490 ml</v>
          </cell>
          <cell r="M560" t="str">
            <v>NCB PET</v>
          </cell>
          <cell r="N560" t="str">
            <v>TEA PLUS</v>
          </cell>
          <cell r="V560" t="str">
            <v>13.07.2026</v>
          </cell>
          <cell r="W560">
            <v>46216</v>
          </cell>
        </row>
        <row r="561">
          <cell r="A561" t="str">
            <v>TEA PLUS TASTY 350ML PET 4X MP_84_IRS</v>
          </cell>
          <cell r="B561">
            <v>320022895</v>
          </cell>
          <cell r="C561" t="str">
            <v>TEA PLUS TASTY 350ML PET 4X MP_84_IRS</v>
          </cell>
          <cell r="D561">
            <v>12</v>
          </cell>
          <cell r="E561">
            <v>7</v>
          </cell>
          <cell r="F561">
            <v>84</v>
          </cell>
          <cell r="G561">
            <v>350</v>
          </cell>
          <cell r="H561">
            <v>24</v>
          </cell>
          <cell r="I561">
            <v>1.4793941528707291</v>
          </cell>
          <cell r="J561">
            <v>365</v>
          </cell>
          <cell r="K561" t="str">
            <v>PET TEA+ 350</v>
          </cell>
          <cell r="L561" t="str">
            <v>350 ml</v>
          </cell>
          <cell r="M561" t="str">
            <v>NCB PET</v>
          </cell>
          <cell r="N561" t="str">
            <v>TEA PLUS</v>
          </cell>
          <cell r="V561" t="str">
            <v>14.07.2026</v>
          </cell>
          <cell r="W561">
            <v>46217</v>
          </cell>
        </row>
        <row r="562">
          <cell r="A562" t="str">
            <v>TEA PLUS NO SUGAR 1L PET 6X_168_IRS</v>
          </cell>
          <cell r="B562">
            <v>320022896</v>
          </cell>
          <cell r="C562" t="str">
            <v>TEA PLUS NO SUGAR 1L PET 6X_168_IRS</v>
          </cell>
          <cell r="D562">
            <v>28</v>
          </cell>
          <cell r="E562">
            <v>6</v>
          </cell>
          <cell r="F562">
            <v>168</v>
          </cell>
          <cell r="G562">
            <v>1000</v>
          </cell>
          <cell r="H562">
            <v>6</v>
          </cell>
          <cell r="I562">
            <v>1.0567101091933779</v>
          </cell>
          <cell r="J562">
            <v>365</v>
          </cell>
          <cell r="K562" t="str">
            <v>PET TEA+ 1000</v>
          </cell>
          <cell r="L562" t="str">
            <v>1000 ml</v>
          </cell>
          <cell r="M562" t="str">
            <v>NCB PET</v>
          </cell>
          <cell r="N562" t="str">
            <v>TEA PLUS</v>
          </cell>
          <cell r="V562" t="str">
            <v>15.07.2026</v>
          </cell>
          <cell r="W562">
            <v>46218</v>
          </cell>
        </row>
        <row r="563">
          <cell r="A563" t="str">
            <v>TEA PLUS TASTY 280ML PET 24X_104_IRS</v>
          </cell>
          <cell r="B563">
            <v>320022897</v>
          </cell>
          <cell r="C563" t="str">
            <v>TEA PLUS TASTY 280ML PET 24X_104_IRS</v>
          </cell>
          <cell r="D563">
            <v>13</v>
          </cell>
          <cell r="E563">
            <v>8</v>
          </cell>
          <cell r="F563">
            <v>104</v>
          </cell>
          <cell r="G563">
            <v>280</v>
          </cell>
          <cell r="H563">
            <v>24</v>
          </cell>
          <cell r="I563">
            <v>1.1835153222965833</v>
          </cell>
          <cell r="J563">
            <v>365</v>
          </cell>
          <cell r="K563" t="str">
            <v>PET TEA+ 280</v>
          </cell>
          <cell r="L563" t="str">
            <v>280 ml</v>
          </cell>
          <cell r="M563" t="str">
            <v>NCB PET</v>
          </cell>
          <cell r="N563" t="str">
            <v>TEA PLUS</v>
          </cell>
          <cell r="V563" t="str">
            <v>16.07.2026</v>
          </cell>
          <cell r="W563">
            <v>46219</v>
          </cell>
        </row>
        <row r="564">
          <cell r="A564" t="str">
            <v>TEA PLUS NO SUGAR 280ML PET 24X_104_IRS</v>
          </cell>
          <cell r="B564">
            <v>320022898</v>
          </cell>
          <cell r="C564" t="str">
            <v>TEA PLUS NO SUGAR 280ML PET 24X_104_IRS</v>
          </cell>
          <cell r="D564">
            <v>13</v>
          </cell>
          <cell r="E564">
            <v>8</v>
          </cell>
          <cell r="F564">
            <v>104</v>
          </cell>
          <cell r="G564">
            <v>280</v>
          </cell>
          <cell r="H564">
            <v>24</v>
          </cell>
          <cell r="I564">
            <v>1.1835153222965833</v>
          </cell>
          <cell r="J564">
            <v>365</v>
          </cell>
          <cell r="K564" t="str">
            <v>PET TEA+ 280</v>
          </cell>
          <cell r="L564" t="str">
            <v>280 ml</v>
          </cell>
          <cell r="M564" t="str">
            <v>NCB PET</v>
          </cell>
          <cell r="N564" t="str">
            <v>TEA PLUS</v>
          </cell>
          <cell r="V564" t="str">
            <v>17.07.2026</v>
          </cell>
          <cell r="W564">
            <v>46220</v>
          </cell>
        </row>
        <row r="565">
          <cell r="A565" t="str">
            <v>TEA PLUS NO SUGAR 500ML PET24X_70_IRS FC</v>
          </cell>
          <cell r="B565">
            <v>320022899</v>
          </cell>
          <cell r="C565" t="str">
            <v>TEA PLUS NO SUGAR 500ML PET24X_70_IRS FC</v>
          </cell>
          <cell r="D565">
            <v>10</v>
          </cell>
          <cell r="E565">
            <v>7</v>
          </cell>
          <cell r="F565">
            <v>70</v>
          </cell>
          <cell r="G565">
            <v>500</v>
          </cell>
          <cell r="H565">
            <v>24</v>
          </cell>
          <cell r="I565">
            <v>2.1134202183867559</v>
          </cell>
          <cell r="J565">
            <v>365</v>
          </cell>
          <cell r="K565" t="str">
            <v>PET TEA+ 500</v>
          </cell>
          <cell r="L565" t="str">
            <v>500 ml</v>
          </cell>
          <cell r="M565" t="str">
            <v>NCB PET</v>
          </cell>
          <cell r="N565" t="str">
            <v>TEA PLUS</v>
          </cell>
          <cell r="V565" t="str">
            <v>18.07.2026</v>
          </cell>
          <cell r="W565">
            <v>46221</v>
          </cell>
        </row>
        <row r="566">
          <cell r="A566" t="str">
            <v>TEA PLUS TASTY 500ML PET 24X_70_IRS FC</v>
          </cell>
          <cell r="B566">
            <v>320022900</v>
          </cell>
          <cell r="C566" t="str">
            <v>TEA PLUS TASTY 500ML PET 24X_70_IRS FC</v>
          </cell>
          <cell r="D566">
            <v>10</v>
          </cell>
          <cell r="E566">
            <v>7</v>
          </cell>
          <cell r="F566">
            <v>70</v>
          </cell>
          <cell r="G566">
            <v>500</v>
          </cell>
          <cell r="H566">
            <v>24</v>
          </cell>
          <cell r="I566">
            <v>2.1134202183867559</v>
          </cell>
          <cell r="J566">
            <v>365</v>
          </cell>
          <cell r="K566" t="str">
            <v>PET TEA+ 500</v>
          </cell>
          <cell r="L566" t="str">
            <v>500 ml</v>
          </cell>
          <cell r="M566" t="str">
            <v>NCB PET</v>
          </cell>
          <cell r="N566" t="str">
            <v>TEA PLUS</v>
          </cell>
          <cell r="V566" t="str">
            <v>19.07.2026</v>
          </cell>
          <cell r="W566">
            <v>46222</v>
          </cell>
        </row>
        <row r="567">
          <cell r="A567" t="str">
            <v>BOSS LATTE 250ML PET 24X_96_EXP</v>
          </cell>
          <cell r="B567">
            <v>320022901</v>
          </cell>
          <cell r="C567" t="str">
            <v>BOSS LATTE 250ML PET 24X_96_EXP</v>
          </cell>
          <cell r="D567">
            <v>12</v>
          </cell>
          <cell r="E567">
            <v>8</v>
          </cell>
          <cell r="F567">
            <v>96</v>
          </cell>
          <cell r="G567">
            <v>250</v>
          </cell>
          <cell r="H567">
            <v>24</v>
          </cell>
          <cell r="I567">
            <v>1.0567101091933779</v>
          </cell>
          <cell r="J567">
            <v>365</v>
          </cell>
          <cell r="K567" t="str">
            <v>PET COFF 250</v>
          </cell>
          <cell r="L567" t="str">
            <v>250 ml</v>
          </cell>
          <cell r="M567" t="str">
            <v>NCB PET</v>
          </cell>
          <cell r="N567" t="str">
            <v>BOSS COFFEE</v>
          </cell>
          <cell r="V567" t="str">
            <v>20.07.2026</v>
          </cell>
          <cell r="W567">
            <v>46223</v>
          </cell>
        </row>
        <row r="568">
          <cell r="A568" t="str">
            <v>BOSS BLACK NO SUGAR 250ML PET 24X_96_EXP</v>
          </cell>
          <cell r="B568">
            <v>320022902</v>
          </cell>
          <cell r="C568" t="str">
            <v>BOSS BLACK NO SUGAR 250ML PET 24X_96_EXP</v>
          </cell>
          <cell r="D568">
            <v>12</v>
          </cell>
          <cell r="E568">
            <v>8</v>
          </cell>
          <cell r="F568">
            <v>96</v>
          </cell>
          <cell r="G568">
            <v>250</v>
          </cell>
          <cell r="H568">
            <v>24</v>
          </cell>
          <cell r="I568">
            <v>1.0567101091933779</v>
          </cell>
          <cell r="J568">
            <v>365</v>
          </cell>
          <cell r="K568" t="str">
            <v>PET COFF 250</v>
          </cell>
          <cell r="L568" t="str">
            <v>250 ml</v>
          </cell>
          <cell r="M568" t="str">
            <v>NCB PET</v>
          </cell>
          <cell r="N568" t="str">
            <v>BOSS COFFEE</v>
          </cell>
          <cell r="V568" t="str">
            <v>21.07.2026</v>
          </cell>
          <cell r="W568">
            <v>46224</v>
          </cell>
        </row>
        <row r="569">
          <cell r="A569" t="str">
            <v>LIPTON GRAPEFRUIT 445ML PET 24X_NF66</v>
          </cell>
          <cell r="B569">
            <v>320022741</v>
          </cell>
          <cell r="C569" t="str">
            <v>LIPTON GRAPEFRUIT 445ML PET 24X_NF66</v>
          </cell>
          <cell r="D569">
            <v>11</v>
          </cell>
          <cell r="E569">
            <v>6</v>
          </cell>
          <cell r="F569">
            <v>66</v>
          </cell>
          <cell r="G569">
            <v>445</v>
          </cell>
          <cell r="H569">
            <v>24</v>
          </cell>
          <cell r="I569">
            <v>1.8809439943642128</v>
          </cell>
          <cell r="J569">
            <v>270</v>
          </cell>
          <cell r="K569" t="str">
            <v>PET NCB 445</v>
          </cell>
          <cell r="L569" t="str">
            <v>445 ml</v>
          </cell>
          <cell r="M569" t="str">
            <v>NCB PET</v>
          </cell>
          <cell r="N569" t="str">
            <v>Lipton</v>
          </cell>
          <cell r="V569" t="str">
            <v>22.07.2026</v>
          </cell>
          <cell r="W569">
            <v>46225</v>
          </cell>
        </row>
        <row r="570">
          <cell r="A570" t="str">
            <v>MIRINDA LYCHEE 345ML PET12X_192</v>
          </cell>
          <cell r="B570">
            <v>320022747</v>
          </cell>
          <cell r="C570" t="str">
            <v>MIRINDA LYCHEE 345ML PET12X_192</v>
          </cell>
          <cell r="D570">
            <v>32</v>
          </cell>
          <cell r="E570">
            <v>6</v>
          </cell>
          <cell r="F570">
            <v>192</v>
          </cell>
          <cell r="G570">
            <v>345</v>
          </cell>
          <cell r="H570">
            <v>12</v>
          </cell>
          <cell r="I570">
            <v>0.72912997534343083</v>
          </cell>
          <cell r="J570">
            <v>120</v>
          </cell>
          <cell r="K570" t="str">
            <v>PET 350 P12</v>
          </cell>
          <cell r="L570" t="str">
            <v>345ml</v>
          </cell>
          <cell r="M570" t="str">
            <v>CSD PET</v>
          </cell>
          <cell r="N570" t="str">
            <v>MRD LYCHEE</v>
          </cell>
          <cell r="V570" t="str">
            <v>23.07.2026</v>
          </cell>
          <cell r="W570">
            <v>46226</v>
          </cell>
        </row>
        <row r="571">
          <cell r="A571" t="str">
            <v>MIRINDA LYCHEE 440ML PET24X_72</v>
          </cell>
          <cell r="B571">
            <v>320022748</v>
          </cell>
          <cell r="C571" t="str">
            <v>MIRINDA LYCHEE 440ML PET24X_72</v>
          </cell>
          <cell r="D571">
            <v>12</v>
          </cell>
          <cell r="E571">
            <v>6</v>
          </cell>
          <cell r="F571">
            <v>72</v>
          </cell>
          <cell r="G571">
            <v>440</v>
          </cell>
          <cell r="H571">
            <v>24</v>
          </cell>
          <cell r="I571">
            <v>1.8598097921803451</v>
          </cell>
          <cell r="J571">
            <v>180</v>
          </cell>
          <cell r="K571" t="str">
            <v>PET 450</v>
          </cell>
          <cell r="L571" t="str">
            <v>440 ml</v>
          </cell>
          <cell r="M571" t="str">
            <v>CSD PET</v>
          </cell>
          <cell r="N571" t="str">
            <v>MRD LYCHEE</v>
          </cell>
          <cell r="V571" t="str">
            <v>24.07.2026</v>
          </cell>
          <cell r="W571">
            <v>46227</v>
          </cell>
        </row>
        <row r="572">
          <cell r="A572" t="str">
            <v>MIRINDA ORANGE LS 345ML PET 12X POP_192</v>
          </cell>
          <cell r="B572">
            <v>320022903</v>
          </cell>
          <cell r="C572" t="str">
            <v>MIRINDA ORANGE LS 345ML PET 12X POP_192</v>
          </cell>
          <cell r="D572">
            <v>32</v>
          </cell>
          <cell r="E572">
            <v>6</v>
          </cell>
          <cell r="F572">
            <v>192</v>
          </cell>
          <cell r="G572">
            <v>345</v>
          </cell>
          <cell r="H572">
            <v>12</v>
          </cell>
          <cell r="I572">
            <v>0.72912997534343083</v>
          </cell>
          <cell r="J572">
            <v>120</v>
          </cell>
          <cell r="K572" t="str">
            <v>PET 350 P12</v>
          </cell>
          <cell r="L572" t="str">
            <v>345ml</v>
          </cell>
          <cell r="M572" t="str">
            <v>CSD PET</v>
          </cell>
          <cell r="N572" t="str">
            <v>MRD Orange</v>
          </cell>
          <cell r="V572" t="str">
            <v>25.07.2026</v>
          </cell>
          <cell r="W572">
            <v>46228</v>
          </cell>
        </row>
        <row r="573">
          <cell r="A573" t="str">
            <v>MIRINDA GREEN LS 345ML PET 12X POP_192</v>
          </cell>
          <cell r="B573">
            <v>320022904</v>
          </cell>
          <cell r="C573" t="str">
            <v>MIRINDA GREEN LS 345ML PET 12X POP_192</v>
          </cell>
          <cell r="D573">
            <v>32</v>
          </cell>
          <cell r="E573">
            <v>6</v>
          </cell>
          <cell r="F573">
            <v>192</v>
          </cell>
          <cell r="G573">
            <v>345</v>
          </cell>
          <cell r="H573">
            <v>12</v>
          </cell>
          <cell r="I573">
            <v>0.72912997534343083</v>
          </cell>
          <cell r="J573">
            <v>120</v>
          </cell>
          <cell r="K573" t="str">
            <v>PET 350 P12</v>
          </cell>
          <cell r="L573" t="str">
            <v>345ml</v>
          </cell>
          <cell r="M573" t="str">
            <v>CSD PET</v>
          </cell>
          <cell r="N573" t="str">
            <v>MRD Green Cream</v>
          </cell>
          <cell r="V573" t="str">
            <v>26.07.2026</v>
          </cell>
          <cell r="W573">
            <v>46229</v>
          </cell>
        </row>
        <row r="574">
          <cell r="A574" t="str">
            <v>MIRINDA STRWB LS 345ML PET 12X POP_192</v>
          </cell>
          <cell r="B574">
            <v>320022905</v>
          </cell>
          <cell r="C574" t="str">
            <v>MIRINDA STRWB LS 345ML PET 12X POP_192</v>
          </cell>
          <cell r="D574">
            <v>32</v>
          </cell>
          <cell r="E574">
            <v>6</v>
          </cell>
          <cell r="F574">
            <v>192</v>
          </cell>
          <cell r="G574">
            <v>345</v>
          </cell>
          <cell r="H574">
            <v>12</v>
          </cell>
          <cell r="I574">
            <v>0.72912997534343083</v>
          </cell>
          <cell r="J574">
            <v>120</v>
          </cell>
          <cell r="K574" t="str">
            <v>PET 350 P12</v>
          </cell>
          <cell r="L574" t="str">
            <v>345ml</v>
          </cell>
          <cell r="M574" t="str">
            <v>CSD PET</v>
          </cell>
          <cell r="N574" t="str">
            <v>MRD Strawberry</v>
          </cell>
          <cell r="V574" t="str">
            <v>27.07.2026</v>
          </cell>
          <cell r="W574">
            <v>46230</v>
          </cell>
        </row>
        <row r="575">
          <cell r="A575" t="str">
            <v>7UP NO SUGAR 345ML PET 12X POP_192</v>
          </cell>
          <cell r="B575">
            <v>320022906</v>
          </cell>
          <cell r="C575" t="str">
            <v>7UP NO SUGAR 345ML PET 12X POP_192</v>
          </cell>
          <cell r="D575">
            <v>32</v>
          </cell>
          <cell r="E575">
            <v>6</v>
          </cell>
          <cell r="F575">
            <v>192</v>
          </cell>
          <cell r="G575">
            <v>345</v>
          </cell>
          <cell r="H575">
            <v>12</v>
          </cell>
          <cell r="I575">
            <v>0.72912997534343083</v>
          </cell>
          <cell r="J575">
            <v>120</v>
          </cell>
          <cell r="K575" t="str">
            <v>PET 350 P12</v>
          </cell>
          <cell r="L575" t="str">
            <v>345ml</v>
          </cell>
          <cell r="M575" t="str">
            <v>CSD PET</v>
          </cell>
          <cell r="N575" t="str">
            <v>7-Up</v>
          </cell>
          <cell r="V575" t="str">
            <v>28.07.2026</v>
          </cell>
          <cell r="W575">
            <v>46231</v>
          </cell>
        </row>
        <row r="576">
          <cell r="A576" t="str">
            <v>TEA PLUS HONEY LEMON 320ML PET 4X MP_84</v>
          </cell>
          <cell r="B576">
            <v>320022887</v>
          </cell>
          <cell r="C576" t="str">
            <v>TEA PLUS HONEY LEMON 320ML PET 4X MP_84</v>
          </cell>
          <cell r="D576">
            <v>12</v>
          </cell>
          <cell r="E576">
            <v>7</v>
          </cell>
          <cell r="F576">
            <v>84</v>
          </cell>
          <cell r="G576">
            <v>320</v>
          </cell>
          <cell r="H576">
            <v>24</v>
          </cell>
          <cell r="I576">
            <v>1.3525889397675237</v>
          </cell>
          <cell r="J576">
            <v>365</v>
          </cell>
          <cell r="K576" t="str">
            <v>PET TEA+ 320</v>
          </cell>
          <cell r="L576" t="str">
            <v>320 ml</v>
          </cell>
          <cell r="M576" t="str">
            <v>NCB PET</v>
          </cell>
          <cell r="N576" t="str">
            <v>TEA PLUS</v>
          </cell>
          <cell r="V576" t="str">
            <v>29.07.2026</v>
          </cell>
          <cell r="W576">
            <v>46232</v>
          </cell>
        </row>
        <row r="577">
          <cell r="A577" t="str">
            <v>TEA PLUS HONEY LEMON 500ML PET 24X_70</v>
          </cell>
          <cell r="B577">
            <v>320022888</v>
          </cell>
          <cell r="C577" t="str">
            <v>TEA PLUS HONEY LEMON 500ML PET 24X_70</v>
          </cell>
          <cell r="D577">
            <v>10</v>
          </cell>
          <cell r="E577">
            <v>7</v>
          </cell>
          <cell r="F577">
            <v>70</v>
          </cell>
          <cell r="G577">
            <v>500</v>
          </cell>
          <cell r="H577">
            <v>24</v>
          </cell>
          <cell r="I577">
            <v>2.1134202183867559</v>
          </cell>
          <cell r="J577">
            <v>365</v>
          </cell>
          <cell r="K577" t="str">
            <v>PET TEA+ 500</v>
          </cell>
          <cell r="L577" t="str">
            <v>500 ml</v>
          </cell>
          <cell r="M577" t="str">
            <v>NCB PET</v>
          </cell>
          <cell r="N577" t="str">
            <v>TEA PLUS</v>
          </cell>
          <cell r="V577" t="str">
            <v>30.07.2026</v>
          </cell>
          <cell r="W577">
            <v>46233</v>
          </cell>
        </row>
        <row r="578">
          <cell r="A578" t="str">
            <v>MIRINDA STRWB 430ML PET 12X_150</v>
          </cell>
          <cell r="B578">
            <v>320022889</v>
          </cell>
          <cell r="C578" t="str">
            <v>MIRINDA STRWB 430ML PET 12X_150</v>
          </cell>
          <cell r="D578">
            <v>30</v>
          </cell>
          <cell r="E578">
            <v>5</v>
          </cell>
          <cell r="F578">
            <v>150</v>
          </cell>
          <cell r="G578">
            <v>430</v>
          </cell>
          <cell r="H578">
            <v>12</v>
          </cell>
          <cell r="I578">
            <v>0.90877069390630505</v>
          </cell>
          <cell r="J578">
            <v>180</v>
          </cell>
          <cell r="K578" t="str">
            <v>PET 430 P12</v>
          </cell>
          <cell r="L578" t="str">
            <v>430ml</v>
          </cell>
          <cell r="M578" t="str">
            <v>CSD PET</v>
          </cell>
          <cell r="N578" t="str">
            <v>MRD Strawberry</v>
          </cell>
          <cell r="V578" t="str">
            <v>31.07.2026</v>
          </cell>
          <cell r="W578">
            <v>46234</v>
          </cell>
        </row>
        <row r="579">
          <cell r="A579" t="str">
            <v>MIRINDA GREEN 430ML PET 12X_150</v>
          </cell>
          <cell r="B579">
            <v>320022910</v>
          </cell>
          <cell r="C579" t="str">
            <v>MIRINDA GREEN 430ML PET 12X_150</v>
          </cell>
          <cell r="D579">
            <v>30</v>
          </cell>
          <cell r="E579">
            <v>5</v>
          </cell>
          <cell r="F579">
            <v>150</v>
          </cell>
          <cell r="G579">
            <v>430</v>
          </cell>
          <cell r="H579">
            <v>12</v>
          </cell>
          <cell r="I579">
            <v>0.90877069390630505</v>
          </cell>
          <cell r="J579">
            <v>180</v>
          </cell>
          <cell r="K579" t="str">
            <v>PET 430 P12</v>
          </cell>
          <cell r="L579" t="str">
            <v>430ml</v>
          </cell>
          <cell r="M579" t="str">
            <v>CSD PET</v>
          </cell>
          <cell r="N579" t="str">
            <v>MRD Green Cream</v>
          </cell>
          <cell r="V579" t="str">
            <v>01.08.2026</v>
          </cell>
          <cell r="W579">
            <v>46235</v>
          </cell>
        </row>
        <row r="580">
          <cell r="A580" t="str">
            <v>TEA PLUS HONEY LEMON 490ML PET4X MP_70</v>
          </cell>
          <cell r="B580">
            <v>320022911</v>
          </cell>
          <cell r="C580" t="str">
            <v>TEA PLUS HONEY LEMON 490ML PET4X MP_70</v>
          </cell>
          <cell r="D580">
            <v>10</v>
          </cell>
          <cell r="E580">
            <v>7</v>
          </cell>
          <cell r="F580">
            <v>70</v>
          </cell>
          <cell r="G580">
            <v>490</v>
          </cell>
          <cell r="H580">
            <v>24</v>
          </cell>
          <cell r="I580">
            <v>2.0711518140190206</v>
          </cell>
          <cell r="J580">
            <v>365</v>
          </cell>
          <cell r="K580" t="str">
            <v>PET TEA+ 500</v>
          </cell>
          <cell r="L580" t="str">
            <v>490 ml</v>
          </cell>
          <cell r="M580" t="str">
            <v>NCB PET</v>
          </cell>
          <cell r="N580" t="str">
            <v>TEA PLUS</v>
          </cell>
          <cell r="V580" t="str">
            <v>02.08.2026</v>
          </cell>
          <cell r="W580">
            <v>46236</v>
          </cell>
        </row>
        <row r="581">
          <cell r="A581" t="str">
            <v>TEA HONEY LEMON 280ML PET 24X_104</v>
          </cell>
          <cell r="B581">
            <v>320022912</v>
          </cell>
          <cell r="C581" t="str">
            <v>TEA HONEY LEMON 280ML PET 24X_104</v>
          </cell>
          <cell r="D581">
            <v>13</v>
          </cell>
          <cell r="E581">
            <v>8</v>
          </cell>
          <cell r="F581">
            <v>104</v>
          </cell>
          <cell r="G581">
            <v>280</v>
          </cell>
          <cell r="H581">
            <v>24</v>
          </cell>
          <cell r="I581">
            <v>1.1835153222965833</v>
          </cell>
          <cell r="J581">
            <v>365</v>
          </cell>
          <cell r="K581" t="str">
            <v>PET TEA+ 280</v>
          </cell>
          <cell r="L581" t="str">
            <v>280 ml</v>
          </cell>
          <cell r="M581" t="str">
            <v>NCB PET</v>
          </cell>
          <cell r="N581" t="str">
            <v>TEA PLUS</v>
          </cell>
          <cell r="V581" t="str">
            <v>03.08.2026</v>
          </cell>
          <cell r="W581">
            <v>46237</v>
          </cell>
        </row>
        <row r="582">
          <cell r="A582" t="str">
            <v>LIPTON PEACH 245ML CAN  4X MP_144</v>
          </cell>
          <cell r="B582">
            <v>320022913</v>
          </cell>
          <cell r="C582" t="str">
            <v>LIPTON PEACH 245ML CAN  4X MP_144</v>
          </cell>
          <cell r="D582">
            <v>16</v>
          </cell>
          <cell r="E582">
            <v>9</v>
          </cell>
          <cell r="F582">
            <v>144</v>
          </cell>
          <cell r="G582">
            <v>245</v>
          </cell>
          <cell r="H582">
            <v>24</v>
          </cell>
          <cell r="I582">
            <v>1.0355759070095103</v>
          </cell>
          <cell r="J582">
            <v>365</v>
          </cell>
          <cell r="K582" t="str">
            <v>CAN NCB 250</v>
          </cell>
          <cell r="L582" t="str">
            <v>245 ml</v>
          </cell>
          <cell r="M582" t="str">
            <v>NCB CAN</v>
          </cell>
          <cell r="N582" t="str">
            <v>Lipton</v>
          </cell>
          <cell r="V582" t="str">
            <v>04.08.2026</v>
          </cell>
          <cell r="W582">
            <v>46238</v>
          </cell>
        </row>
        <row r="583">
          <cell r="A583" t="str">
            <v>LIPTON LEMON LS 245ML CAN  4X MP_144</v>
          </cell>
          <cell r="B583">
            <v>320022914</v>
          </cell>
          <cell r="C583" t="str">
            <v>LIPTON LEMON LS 245ML CAN  4X MP_144</v>
          </cell>
          <cell r="D583">
            <v>16</v>
          </cell>
          <cell r="E583">
            <v>9</v>
          </cell>
          <cell r="F583">
            <v>144</v>
          </cell>
          <cell r="G583">
            <v>245</v>
          </cell>
          <cell r="H583">
            <v>24</v>
          </cell>
          <cell r="I583">
            <v>1.0355759070095103</v>
          </cell>
          <cell r="J583">
            <v>365</v>
          </cell>
          <cell r="K583" t="str">
            <v>CAN NCB 250</v>
          </cell>
          <cell r="L583" t="str">
            <v>245 ml</v>
          </cell>
          <cell r="M583" t="str">
            <v>NCB CAN</v>
          </cell>
          <cell r="N583" t="str">
            <v>Lipton</v>
          </cell>
          <cell r="V583" t="str">
            <v>05.08.2026</v>
          </cell>
          <cell r="W583">
            <v>46239</v>
          </cell>
        </row>
        <row r="584">
          <cell r="A584" t="str">
            <v>PEPSI NO SUGAR 245ML CAN 4X MP_144</v>
          </cell>
          <cell r="B584">
            <v>320022915</v>
          </cell>
          <cell r="C584" t="str">
            <v>PEPSI NO SUGAR 245ML CAN 4X MP_144</v>
          </cell>
          <cell r="D584">
            <v>16</v>
          </cell>
          <cell r="E584">
            <v>9</v>
          </cell>
          <cell r="F584">
            <v>144</v>
          </cell>
          <cell r="G584">
            <v>245</v>
          </cell>
          <cell r="H584">
            <v>24</v>
          </cell>
          <cell r="I584">
            <v>1.0355759070095103</v>
          </cell>
          <cell r="J584">
            <v>180</v>
          </cell>
          <cell r="K584" t="str">
            <v>CAN 250</v>
          </cell>
          <cell r="L584" t="str">
            <v>245 ml</v>
          </cell>
          <cell r="M584" t="str">
            <v>CSD CAN</v>
          </cell>
          <cell r="N584" t="str">
            <v>PEPSI NO SUGAR</v>
          </cell>
          <cell r="V584" t="str">
            <v>06.08.2026</v>
          </cell>
          <cell r="W584">
            <v>46240</v>
          </cell>
        </row>
        <row r="585">
          <cell r="A585" t="str">
            <v>MIRINDA ORANGE LS 245ML CAN 4X MP_144</v>
          </cell>
          <cell r="B585">
            <v>320022916</v>
          </cell>
          <cell r="C585" t="str">
            <v>MIRINDA ORANGE LS 245ML CAN 4X MP_144</v>
          </cell>
          <cell r="D585">
            <v>16</v>
          </cell>
          <cell r="E585">
            <v>9</v>
          </cell>
          <cell r="F585">
            <v>144</v>
          </cell>
          <cell r="G585">
            <v>245</v>
          </cell>
          <cell r="H585">
            <v>24</v>
          </cell>
          <cell r="I585">
            <v>1.0355759070095103</v>
          </cell>
          <cell r="J585">
            <v>270</v>
          </cell>
          <cell r="K585" t="str">
            <v>CAN 250</v>
          </cell>
          <cell r="L585" t="str">
            <v>245 ml</v>
          </cell>
          <cell r="M585" t="str">
            <v>CSD CAN</v>
          </cell>
          <cell r="N585" t="str">
            <v>MRD Orange</v>
          </cell>
          <cell r="V585" t="str">
            <v>07.08.2026</v>
          </cell>
          <cell r="W585">
            <v>46241</v>
          </cell>
        </row>
        <row r="586">
          <cell r="A586" t="str">
            <v>MIRINDA STRWB LS 245ML CAN 4X MP_144</v>
          </cell>
          <cell r="B586">
            <v>320022917</v>
          </cell>
          <cell r="C586" t="str">
            <v>MIRINDA STRWB LS 245ML CAN 4X MP_144</v>
          </cell>
          <cell r="D586">
            <v>16</v>
          </cell>
          <cell r="E586">
            <v>9</v>
          </cell>
          <cell r="F586">
            <v>144</v>
          </cell>
          <cell r="G586">
            <v>245</v>
          </cell>
          <cell r="H586">
            <v>24</v>
          </cell>
          <cell r="I586">
            <v>1.0355759070095103</v>
          </cell>
          <cell r="J586">
            <v>270</v>
          </cell>
          <cell r="K586" t="str">
            <v>CAN 250</v>
          </cell>
          <cell r="L586" t="str">
            <v>245 ml</v>
          </cell>
          <cell r="M586" t="str">
            <v>CSD CAN</v>
          </cell>
          <cell r="N586" t="str">
            <v>MRD Strawberry</v>
          </cell>
          <cell r="V586" t="str">
            <v>08.08.2026</v>
          </cell>
          <cell r="W586">
            <v>46242</v>
          </cell>
        </row>
        <row r="587">
          <cell r="A587" t="str">
            <v>MIRINDA GR CREAM LS 245MLCAN 4XMP_144</v>
          </cell>
          <cell r="B587">
            <v>320022918</v>
          </cell>
          <cell r="C587" t="str">
            <v>MIRINDA GR CREAM LS 245MLCAN 4XMP_144</v>
          </cell>
          <cell r="D587">
            <v>16</v>
          </cell>
          <cell r="E587">
            <v>9</v>
          </cell>
          <cell r="F587">
            <v>144</v>
          </cell>
          <cell r="G587">
            <v>245</v>
          </cell>
          <cell r="H587">
            <v>24</v>
          </cell>
          <cell r="I587">
            <v>1.0355759070095103</v>
          </cell>
          <cell r="J587">
            <v>270</v>
          </cell>
          <cell r="K587" t="str">
            <v>CAN 250</v>
          </cell>
          <cell r="L587" t="str">
            <v>245 ml</v>
          </cell>
          <cell r="M587" t="str">
            <v>CSD CAN</v>
          </cell>
          <cell r="N587" t="str">
            <v>MRD Green Cream</v>
          </cell>
          <cell r="V587" t="str">
            <v>09.08.2026</v>
          </cell>
          <cell r="W587">
            <v>46243</v>
          </cell>
        </row>
        <row r="588">
          <cell r="A588" t="str">
            <v>PEPSI NO SUGAR 240ML CAN 4X MP_144</v>
          </cell>
          <cell r="B588">
            <v>320022919</v>
          </cell>
          <cell r="C588" t="str">
            <v>PEPSI NO SUGAR 240ML CAN 4X MP_144</v>
          </cell>
          <cell r="D588">
            <v>16</v>
          </cell>
          <cell r="E588">
            <v>9</v>
          </cell>
          <cell r="F588">
            <v>144</v>
          </cell>
          <cell r="G588">
            <v>240</v>
          </cell>
          <cell r="H588">
            <v>24</v>
          </cell>
          <cell r="I588">
            <v>1.0144417048256429</v>
          </cell>
          <cell r="J588">
            <v>180</v>
          </cell>
          <cell r="K588" t="str">
            <v>CAN 250</v>
          </cell>
          <cell r="L588" t="str">
            <v>245 ml</v>
          </cell>
          <cell r="M588" t="str">
            <v>CSD CAN</v>
          </cell>
          <cell r="N588" t="str">
            <v>PEPSI NO SUGAR</v>
          </cell>
          <cell r="V588" t="str">
            <v>10.08.2026</v>
          </cell>
          <cell r="W588">
            <v>46244</v>
          </cell>
        </row>
        <row r="589">
          <cell r="A589" t="str">
            <v>ROCKSTAR ORIGINAL 245ML CAN 4X MP_144</v>
          </cell>
          <cell r="B589">
            <v>320022920</v>
          </cell>
          <cell r="C589" t="str">
            <v>ROCKSTAR ORIGINAL 245ML CAN 4X MP_144</v>
          </cell>
          <cell r="D589">
            <v>16</v>
          </cell>
          <cell r="E589">
            <v>9</v>
          </cell>
          <cell r="F589">
            <v>144</v>
          </cell>
          <cell r="G589">
            <v>245</v>
          </cell>
          <cell r="H589">
            <v>24</v>
          </cell>
          <cell r="I589">
            <v>1.0355759070095103</v>
          </cell>
          <cell r="J589">
            <v>270</v>
          </cell>
          <cell r="K589" t="str">
            <v>CAN 250</v>
          </cell>
          <cell r="L589" t="str">
            <v>245 ml</v>
          </cell>
          <cell r="M589" t="str">
            <v>CSD CAN</v>
          </cell>
          <cell r="N589" t="str">
            <v>ROCKSTAR</v>
          </cell>
          <cell r="V589" t="str">
            <v>11.08.2026</v>
          </cell>
          <cell r="W589">
            <v>46245</v>
          </cell>
        </row>
        <row r="590">
          <cell r="A590" t="str">
            <v>ROCKSTAR NO SUGAR 245ML CAN 4X MP_144</v>
          </cell>
          <cell r="B590">
            <v>320022921</v>
          </cell>
          <cell r="C590" t="str">
            <v>ROCKSTAR NO SUGAR 245ML CAN 4X MP_144</v>
          </cell>
          <cell r="D590">
            <v>16</v>
          </cell>
          <cell r="E590">
            <v>9</v>
          </cell>
          <cell r="F590">
            <v>144</v>
          </cell>
          <cell r="G590">
            <v>245</v>
          </cell>
          <cell r="H590">
            <v>24</v>
          </cell>
          <cell r="I590">
            <v>1.0355759070095103</v>
          </cell>
          <cell r="J590">
            <v>270</v>
          </cell>
          <cell r="K590" t="str">
            <v>CAN 250</v>
          </cell>
          <cell r="L590" t="str">
            <v>245 ml</v>
          </cell>
          <cell r="M590" t="str">
            <v>CSD CAN</v>
          </cell>
          <cell r="N590" t="str">
            <v>ROCKSTAR</v>
          </cell>
          <cell r="V590" t="str">
            <v>12.08.2026</v>
          </cell>
          <cell r="W590">
            <v>46246</v>
          </cell>
        </row>
        <row r="591">
          <cell r="A591" t="str">
            <v>PEPSI COLA MID CAL 550ML PET 24X_66_rPET</v>
          </cell>
          <cell r="B591">
            <v>320022908</v>
          </cell>
          <cell r="C591" t="str">
            <v>PEPSI COLA MID CAL 550ML PET 24X_66_rPET</v>
          </cell>
          <cell r="D591">
            <v>11</v>
          </cell>
          <cell r="E591">
            <v>6</v>
          </cell>
          <cell r="F591">
            <v>66</v>
          </cell>
          <cell r="G591">
            <v>550</v>
          </cell>
          <cell r="H591">
            <v>24</v>
          </cell>
          <cell r="I591">
            <v>2.3247622402254313</v>
          </cell>
          <cell r="J591">
            <v>180</v>
          </cell>
          <cell r="K591" t="str">
            <v>PET 550</v>
          </cell>
          <cell r="L591" t="str">
            <v>550 ml</v>
          </cell>
          <cell r="M591" t="str">
            <v>CSD PET</v>
          </cell>
          <cell r="N591" t="str">
            <v>Pepsi Cola</v>
          </cell>
          <cell r="V591" t="str">
            <v>13.08.2026</v>
          </cell>
          <cell r="W591">
            <v>46247</v>
          </cell>
        </row>
        <row r="592">
          <cell r="A592" t="str">
            <v>PEPSI NO SUGAR 550ML PET 24X_66_rPET</v>
          </cell>
          <cell r="B592">
            <v>320022909</v>
          </cell>
          <cell r="C592" t="str">
            <v>PEPSI NO SUGAR 550ML PET 24X_66_rPET</v>
          </cell>
          <cell r="D592">
            <v>11</v>
          </cell>
          <cell r="E592">
            <v>6</v>
          </cell>
          <cell r="F592">
            <v>66</v>
          </cell>
          <cell r="G592">
            <v>550</v>
          </cell>
          <cell r="H592">
            <v>24</v>
          </cell>
          <cell r="I592">
            <v>2.3247622402254313</v>
          </cell>
          <cell r="J592">
            <v>180</v>
          </cell>
          <cell r="K592" t="str">
            <v>PET 550</v>
          </cell>
          <cell r="L592" t="str">
            <v>550 ml</v>
          </cell>
          <cell r="M592" t="str">
            <v>CSD PET</v>
          </cell>
          <cell r="N592" t="str">
            <v>PEPSI NO SUGAR</v>
          </cell>
          <cell r="V592" t="str">
            <v>14.08.2026</v>
          </cell>
          <cell r="W592">
            <v>46248</v>
          </cell>
        </row>
        <row r="593">
          <cell r="A593" t="str">
            <v>BOSS NO SUGAR 250ML PET24X_96_2.0EXP</v>
          </cell>
          <cell r="B593">
            <v>320022940</v>
          </cell>
          <cell r="C593" t="str">
            <v>BOSS NO SUGAR 250ML PET24X_96_2.0EXP</v>
          </cell>
          <cell r="D593">
            <v>12</v>
          </cell>
          <cell r="E593">
            <v>8</v>
          </cell>
          <cell r="F593">
            <v>96</v>
          </cell>
          <cell r="G593">
            <v>250</v>
          </cell>
          <cell r="H593">
            <v>24</v>
          </cell>
          <cell r="I593">
            <v>1.0567101091933779</v>
          </cell>
          <cell r="J593">
            <v>365</v>
          </cell>
          <cell r="K593" t="str">
            <v>PET COFF 250</v>
          </cell>
          <cell r="L593" t="str">
            <v>250 ml</v>
          </cell>
          <cell r="M593" t="str">
            <v>NCB PET</v>
          </cell>
          <cell r="N593" t="str">
            <v>BOSS COFFEE</v>
          </cell>
          <cell r="V593" t="str">
            <v>15.08.2026</v>
          </cell>
          <cell r="W593">
            <v>46249</v>
          </cell>
        </row>
        <row r="594">
          <cell r="A594" t="str">
            <v>BOSS LATTE 250ML PET 24X_96_2.0EXP</v>
          </cell>
          <cell r="B594">
            <v>320022941</v>
          </cell>
          <cell r="C594" t="str">
            <v>BOSS LATTE 250ML PET 24X_96_2.0EXP</v>
          </cell>
          <cell r="D594">
            <v>12</v>
          </cell>
          <cell r="E594">
            <v>8</v>
          </cell>
          <cell r="F594">
            <v>96</v>
          </cell>
          <cell r="G594">
            <v>250</v>
          </cell>
          <cell r="H594">
            <v>24</v>
          </cell>
          <cell r="I594">
            <v>1.0567101091933779</v>
          </cell>
          <cell r="J594">
            <v>365</v>
          </cell>
          <cell r="K594" t="str">
            <v>PET COFF 250</v>
          </cell>
          <cell r="L594" t="str">
            <v>250 ml</v>
          </cell>
          <cell r="M594" t="str">
            <v>NCB PET</v>
          </cell>
          <cell r="N594" t="str">
            <v>BOSS COFFEE</v>
          </cell>
          <cell r="V594" t="str">
            <v>16.08.2026</v>
          </cell>
          <cell r="W594">
            <v>46250</v>
          </cell>
        </row>
        <row r="595">
          <cell r="A595" t="str">
            <v>PEPSI NO SUGAR LIME 550ML PET24X_66_rPET</v>
          </cell>
          <cell r="B595">
            <v>320022942</v>
          </cell>
          <cell r="C595" t="str">
            <v>PEPSI NO SUGAR LIME 550ML PET24X_66_rPET</v>
          </cell>
          <cell r="D595">
            <v>11</v>
          </cell>
          <cell r="E595">
            <v>6</v>
          </cell>
          <cell r="F595">
            <v>66</v>
          </cell>
          <cell r="G595">
            <v>550</v>
          </cell>
          <cell r="H595">
            <v>24</v>
          </cell>
          <cell r="I595">
            <v>2.3247622402254313</v>
          </cell>
          <cell r="J595">
            <v>180</v>
          </cell>
          <cell r="K595" t="str">
            <v>PET 550</v>
          </cell>
          <cell r="L595" t="str">
            <v>550 ml</v>
          </cell>
          <cell r="M595" t="str">
            <v>CSD PET</v>
          </cell>
          <cell r="N595" t="str">
            <v>PEPSI NO SUGAR</v>
          </cell>
          <cell r="V595" t="str">
            <v>17.08.2026</v>
          </cell>
          <cell r="W595">
            <v>46251</v>
          </cell>
        </row>
        <row r="596">
          <cell r="A596" t="str">
            <v>PEPSI NO SUGAR 430ML PET POP 12X_150</v>
          </cell>
          <cell r="B596">
            <v>320022943</v>
          </cell>
          <cell r="C596" t="str">
            <v>PEPSI NO SUGAR 430ML PET POP 12X_150</v>
          </cell>
          <cell r="D596">
            <v>30</v>
          </cell>
          <cell r="E596">
            <v>5</v>
          </cell>
          <cell r="F596">
            <v>150</v>
          </cell>
          <cell r="G596">
            <v>430</v>
          </cell>
          <cell r="H596">
            <v>12</v>
          </cell>
          <cell r="I596">
            <v>0.90877069390630505</v>
          </cell>
          <cell r="J596">
            <v>180</v>
          </cell>
          <cell r="K596" t="str">
            <v>PET 430 P12</v>
          </cell>
          <cell r="L596" t="str">
            <v>430ml</v>
          </cell>
          <cell r="M596" t="str">
            <v>CSD PET</v>
          </cell>
          <cell r="N596" t="str">
            <v>PEPSI NO SUGAR</v>
          </cell>
          <cell r="V596" t="str">
            <v>18.08.2026</v>
          </cell>
          <cell r="W596">
            <v>46252</v>
          </cell>
        </row>
        <row r="597">
          <cell r="A597" t="str">
            <v>PEPSI COLA MID CAL 550ML PET 12X _126</v>
          </cell>
          <cell r="B597">
            <v>320022944</v>
          </cell>
          <cell r="C597" t="str">
            <v>PEPSI COLA MID CAL 550ML PET 12X _126</v>
          </cell>
          <cell r="D597">
            <v>21</v>
          </cell>
          <cell r="E597">
            <v>6</v>
          </cell>
          <cell r="F597">
            <v>126</v>
          </cell>
          <cell r="G597">
            <v>550</v>
          </cell>
          <cell r="H597">
            <v>12</v>
          </cell>
          <cell r="I597">
            <v>1.1623811201127157</v>
          </cell>
          <cell r="J597">
            <v>180</v>
          </cell>
          <cell r="K597" t="str">
            <v>PET 550</v>
          </cell>
          <cell r="L597" t="str">
            <v>550 ml</v>
          </cell>
          <cell r="M597" t="str">
            <v>CSD PET</v>
          </cell>
          <cell r="N597" t="str">
            <v>Pepsi Cola</v>
          </cell>
          <cell r="V597" t="str">
            <v>19.08.2026</v>
          </cell>
          <cell r="W597">
            <v>46253</v>
          </cell>
        </row>
        <row r="598">
          <cell r="A598" t="str">
            <v>PEPSI COLA MID CAL 545MLPET24X NO POP_66</v>
          </cell>
          <cell r="B598">
            <v>320022939</v>
          </cell>
          <cell r="C598" t="str">
            <v>PEPSI COLA MID CAL 545MLPET24X NO POP_66</v>
          </cell>
          <cell r="D598">
            <v>11</v>
          </cell>
          <cell r="E598">
            <v>6</v>
          </cell>
          <cell r="F598">
            <v>66</v>
          </cell>
          <cell r="G598">
            <v>545</v>
          </cell>
          <cell r="H598">
            <v>24</v>
          </cell>
          <cell r="I598">
            <v>2.3036280380415639</v>
          </cell>
          <cell r="J598">
            <v>180</v>
          </cell>
          <cell r="K598" t="str">
            <v>PET 550</v>
          </cell>
          <cell r="L598" t="str">
            <v>545 ml</v>
          </cell>
          <cell r="M598" t="str">
            <v>CSD PET</v>
          </cell>
          <cell r="N598" t="str">
            <v>Pepsi Cola</v>
          </cell>
          <cell r="V598" t="str">
            <v>20.08.2026</v>
          </cell>
          <cell r="W598">
            <v>46254</v>
          </cell>
        </row>
        <row r="599">
          <cell r="A599" t="str">
            <v>LIPTON LEMON LS 10L BIB</v>
          </cell>
          <cell r="B599">
            <v>320022817</v>
          </cell>
          <cell r="C599" t="str">
            <v>LIPTON LEMON LS 10L BIB</v>
          </cell>
          <cell r="D599">
            <v>12</v>
          </cell>
          <cell r="E599">
            <v>4</v>
          </cell>
          <cell r="F599">
            <v>48</v>
          </cell>
          <cell r="G599">
            <v>10000</v>
          </cell>
          <cell r="H599">
            <v>6</v>
          </cell>
          <cell r="I599">
            <v>10.567101091933779</v>
          </cell>
          <cell r="J599">
            <v>180</v>
          </cell>
          <cell r="K599" t="str">
            <v>BIB NCB 10L</v>
          </cell>
          <cell r="L599" t="str">
            <v>10 L</v>
          </cell>
          <cell r="M599" t="str">
            <v>NCB PMX</v>
          </cell>
          <cell r="N599" t="str">
            <v>Lipton</v>
          </cell>
          <cell r="V599" t="str">
            <v>21.08.2026</v>
          </cell>
          <cell r="W599">
            <v>46255</v>
          </cell>
        </row>
        <row r="600">
          <cell r="A600" t="str">
            <v>MIRINDA ORANGE 430ML PET POP 12X_150</v>
          </cell>
          <cell r="B600">
            <v>320022907</v>
          </cell>
          <cell r="C600" t="str">
            <v>MIRINDA ORANGE 430ML PET POP 12X_150</v>
          </cell>
          <cell r="D600">
            <v>30</v>
          </cell>
          <cell r="E600">
            <v>5</v>
          </cell>
          <cell r="F600">
            <v>150</v>
          </cell>
          <cell r="G600">
            <v>430</v>
          </cell>
          <cell r="H600">
            <v>12</v>
          </cell>
          <cell r="I600">
            <v>0.90877069390630505</v>
          </cell>
          <cell r="J600">
            <v>180</v>
          </cell>
          <cell r="K600" t="str">
            <v>PET 430 P12</v>
          </cell>
          <cell r="L600" t="str">
            <v>430ml</v>
          </cell>
          <cell r="M600" t="str">
            <v>CSD PET</v>
          </cell>
          <cell r="N600" t="str">
            <v>MRD Orange</v>
          </cell>
          <cell r="V600" t="str">
            <v>22.08.2026</v>
          </cell>
          <cell r="W600">
            <v>46256</v>
          </cell>
        </row>
        <row r="601">
          <cell r="A601" t="str">
            <v>PEPSI COLA MID CAL 545ML PET 12X 16B_132</v>
          </cell>
          <cell r="B601">
            <v>320022938</v>
          </cell>
          <cell r="C601" t="str">
            <v>PEPSI COLA MID CAL 545ML PET 12X 16B_132</v>
          </cell>
          <cell r="D601">
            <v>22</v>
          </cell>
          <cell r="E601">
            <v>6</v>
          </cell>
          <cell r="F601">
            <v>132</v>
          </cell>
          <cell r="G601">
            <v>545</v>
          </cell>
          <cell r="H601">
            <v>12</v>
          </cell>
          <cell r="I601">
            <v>1.151814019020782</v>
          </cell>
          <cell r="J601">
            <v>180</v>
          </cell>
          <cell r="K601" t="str">
            <v>PET 550</v>
          </cell>
          <cell r="L601" t="str">
            <v>545 ml</v>
          </cell>
          <cell r="M601" t="str">
            <v>CSD PET</v>
          </cell>
          <cell r="N601" t="str">
            <v>Pepsi Cola</v>
          </cell>
          <cell r="V601" t="str">
            <v>23.08.2026</v>
          </cell>
          <cell r="W601">
            <v>46257</v>
          </cell>
        </row>
        <row r="602">
          <cell r="A602" t="str">
            <v>PEPSI NO SUGAR SMP 235ML CAN 24X_144</v>
          </cell>
          <cell r="B602">
            <v>320022958</v>
          </cell>
          <cell r="C602" t="str">
            <v>PEPSI NO SUGAR SMP 235ML CAN 24X_144</v>
          </cell>
          <cell r="D602">
            <v>16</v>
          </cell>
          <cell r="E602">
            <v>9</v>
          </cell>
          <cell r="F602">
            <v>144</v>
          </cell>
          <cell r="G602">
            <v>235</v>
          </cell>
          <cell r="H602">
            <v>24</v>
          </cell>
          <cell r="I602">
            <v>0.99330750264177525</v>
          </cell>
          <cell r="J602">
            <v>180</v>
          </cell>
          <cell r="K602" t="str">
            <v>CAN 250</v>
          </cell>
          <cell r="L602" t="str">
            <v>235 ml</v>
          </cell>
          <cell r="M602" t="str">
            <v>CSD CAN</v>
          </cell>
          <cell r="N602" t="str">
            <v>PEPSI NO SUGAR</v>
          </cell>
          <cell r="V602" t="str">
            <v>24.08.2026</v>
          </cell>
          <cell r="W602">
            <v>46258</v>
          </cell>
        </row>
        <row r="603">
          <cell r="A603" t="str">
            <v>BOSS BLACK NO SUGAR 230ML PET 4X_96_New</v>
          </cell>
          <cell r="B603">
            <v>320022926</v>
          </cell>
          <cell r="C603" t="str">
            <v>BOSS BLACK NO SUGAR 230ML PET 4X_96_New</v>
          </cell>
          <cell r="D603">
            <v>12</v>
          </cell>
          <cell r="E603">
            <v>8</v>
          </cell>
          <cell r="F603">
            <v>96</v>
          </cell>
          <cell r="G603">
            <v>230</v>
          </cell>
          <cell r="H603">
            <v>24</v>
          </cell>
          <cell r="I603">
            <v>0.97217330045790773</v>
          </cell>
          <cell r="J603">
            <v>365</v>
          </cell>
          <cell r="K603" t="str">
            <v>PET COFF 230</v>
          </cell>
          <cell r="L603" t="str">
            <v>230 ml</v>
          </cell>
          <cell r="M603" t="str">
            <v>NCB PET</v>
          </cell>
          <cell r="N603" t="str">
            <v>BOSS COFFEE</v>
          </cell>
          <cell r="V603" t="str">
            <v>25.08.2026</v>
          </cell>
          <cell r="W603">
            <v>46259</v>
          </cell>
        </row>
        <row r="604">
          <cell r="A604" t="str">
            <v>BOSS BLACK NO SUGAR 250ML PET 24X_96_New</v>
          </cell>
          <cell r="B604">
            <v>320022927</v>
          </cell>
          <cell r="C604" t="str">
            <v>BOSS BLACK NO SUGAR 250ML PET 24X_96_New</v>
          </cell>
          <cell r="D604">
            <v>12</v>
          </cell>
          <cell r="E604">
            <v>8</v>
          </cell>
          <cell r="F604">
            <v>96</v>
          </cell>
          <cell r="G604">
            <v>250</v>
          </cell>
          <cell r="H604">
            <v>24</v>
          </cell>
          <cell r="I604">
            <v>1.0567101091933779</v>
          </cell>
          <cell r="J604">
            <v>365</v>
          </cell>
          <cell r="K604" t="str">
            <v>PET COFF 250</v>
          </cell>
          <cell r="L604" t="str">
            <v>250 ml</v>
          </cell>
          <cell r="M604" t="str">
            <v>NCB PET</v>
          </cell>
          <cell r="N604" t="str">
            <v>BOSS COFFEE</v>
          </cell>
          <cell r="V604" t="str">
            <v>26.08.2026</v>
          </cell>
          <cell r="W604">
            <v>46260</v>
          </cell>
        </row>
        <row r="605">
          <cell r="A605" t="str">
            <v>BOSS AMERICANO 230ML PET 4X_96_New</v>
          </cell>
          <cell r="B605">
            <v>320022925</v>
          </cell>
          <cell r="C605" t="str">
            <v>BOSS AMERICANO 230ML PET 4X_96_New</v>
          </cell>
          <cell r="D605">
            <v>12</v>
          </cell>
          <cell r="E605">
            <v>8</v>
          </cell>
          <cell r="F605">
            <v>96</v>
          </cell>
          <cell r="G605">
            <v>230</v>
          </cell>
          <cell r="H605">
            <v>24</v>
          </cell>
          <cell r="I605">
            <v>0.97217330045790773</v>
          </cell>
          <cell r="J605">
            <v>365</v>
          </cell>
          <cell r="K605" t="str">
            <v>PET COFF 230</v>
          </cell>
          <cell r="L605" t="str">
            <v>230 ml</v>
          </cell>
          <cell r="M605" t="str">
            <v>NCB PET</v>
          </cell>
          <cell r="N605" t="str">
            <v>BOSS COFFEE</v>
          </cell>
          <cell r="V605" t="str">
            <v>27.08.2026</v>
          </cell>
          <cell r="W605">
            <v>46261</v>
          </cell>
        </row>
        <row r="606">
          <cell r="A606" t="str">
            <v>BOSS AMERICANO 250ML PET 24X_96_New</v>
          </cell>
          <cell r="B606">
            <v>320022924</v>
          </cell>
          <cell r="C606" t="str">
            <v>BOSS AMERICANO 250ML PET 24X_96_New</v>
          </cell>
          <cell r="D606">
            <v>12</v>
          </cell>
          <cell r="E606">
            <v>8</v>
          </cell>
          <cell r="F606">
            <v>96</v>
          </cell>
          <cell r="G606">
            <v>250</v>
          </cell>
          <cell r="H606">
            <v>24</v>
          </cell>
          <cell r="I606">
            <v>1.0567101091933779</v>
          </cell>
          <cell r="J606">
            <v>365</v>
          </cell>
          <cell r="K606" t="str">
            <v>PET COFF 250</v>
          </cell>
          <cell r="L606" t="str">
            <v>250 ml</v>
          </cell>
          <cell r="M606" t="str">
            <v>NCB PET</v>
          </cell>
          <cell r="N606" t="str">
            <v>BOSS COFFEE</v>
          </cell>
          <cell r="V606" t="str">
            <v>28.08.2026</v>
          </cell>
          <cell r="W606">
            <v>46262</v>
          </cell>
        </row>
        <row r="607">
          <cell r="A607" t="str">
            <v>BOSS LATTE 230ML PET 4X_96_New</v>
          </cell>
          <cell r="B607">
            <v>320022928</v>
          </cell>
          <cell r="C607" t="str">
            <v>BOSS LATTE 230ML PET 4X_96_New</v>
          </cell>
          <cell r="D607">
            <v>12</v>
          </cell>
          <cell r="E607">
            <v>8</v>
          </cell>
          <cell r="F607">
            <v>96</v>
          </cell>
          <cell r="G607">
            <v>230</v>
          </cell>
          <cell r="H607">
            <v>24</v>
          </cell>
          <cell r="I607">
            <v>0.97217330045790773</v>
          </cell>
          <cell r="J607">
            <v>365</v>
          </cell>
          <cell r="K607" t="str">
            <v>PET COFF 230</v>
          </cell>
          <cell r="L607" t="str">
            <v>230 ml</v>
          </cell>
          <cell r="M607" t="str">
            <v>NCB PET</v>
          </cell>
          <cell r="N607" t="str">
            <v>BOSS COFFEE</v>
          </cell>
          <cell r="V607" t="str">
            <v>29.08.2026</v>
          </cell>
          <cell r="W607">
            <v>46263</v>
          </cell>
        </row>
        <row r="608">
          <cell r="A608" t="str">
            <v>BOSS LATTE 250ML PET 24X_96_New</v>
          </cell>
          <cell r="B608">
            <v>320022929</v>
          </cell>
          <cell r="C608" t="str">
            <v>BOSS LATTE 250ML PET 24X_96_New</v>
          </cell>
          <cell r="D608">
            <v>12</v>
          </cell>
          <cell r="E608">
            <v>8</v>
          </cell>
          <cell r="F608">
            <v>96</v>
          </cell>
          <cell r="G608">
            <v>250</v>
          </cell>
          <cell r="H608">
            <v>24</v>
          </cell>
          <cell r="I608">
            <v>1.0567101091933779</v>
          </cell>
          <cell r="J608">
            <v>365</v>
          </cell>
          <cell r="K608" t="str">
            <v>PET COFF 250</v>
          </cell>
          <cell r="L608" t="str">
            <v>250 ml</v>
          </cell>
          <cell r="M608" t="str">
            <v>NCB PET</v>
          </cell>
          <cell r="N608" t="str">
            <v>BOSS COFFEE</v>
          </cell>
          <cell r="V608" t="str">
            <v>30.08.2026</v>
          </cell>
          <cell r="W608">
            <v>46264</v>
          </cell>
        </row>
        <row r="609">
          <cell r="A609" t="str">
            <v>MIRINDA ORANGE LS 345ML PET 12X 10B_192</v>
          </cell>
          <cell r="B609">
            <v>320022964</v>
          </cell>
          <cell r="C609" t="str">
            <v>MIRINDA ORANGE LS 345ML PET 12X 10B_192</v>
          </cell>
          <cell r="D609">
            <v>32</v>
          </cell>
          <cell r="E609">
            <v>6</v>
          </cell>
          <cell r="F609">
            <v>192</v>
          </cell>
          <cell r="G609">
            <v>345</v>
          </cell>
          <cell r="H609">
            <v>12</v>
          </cell>
          <cell r="I609">
            <v>0.72912997534343083</v>
          </cell>
          <cell r="J609">
            <v>120</v>
          </cell>
          <cell r="K609" t="str">
            <v>PET 350 P12</v>
          </cell>
          <cell r="L609" t="str">
            <v>345ml</v>
          </cell>
          <cell r="M609" t="str">
            <v>CSD PET</v>
          </cell>
          <cell r="N609" t="str">
            <v>MRD Orange</v>
          </cell>
          <cell r="V609" t="str">
            <v>31.08.2026</v>
          </cell>
          <cell r="W609">
            <v>46265</v>
          </cell>
        </row>
        <row r="610">
          <cell r="A610" t="str">
            <v>7UP NO SUGAR 345ML PET 12X 10B_192</v>
          </cell>
          <cell r="B610">
            <v>320022967</v>
          </cell>
          <cell r="C610" t="str">
            <v>7UP NO SUGAR 345ML PET 12X 10B_192</v>
          </cell>
          <cell r="D610">
            <v>32</v>
          </cell>
          <cell r="E610">
            <v>6</v>
          </cell>
          <cell r="F610">
            <v>192</v>
          </cell>
          <cell r="G610">
            <v>345</v>
          </cell>
          <cell r="H610">
            <v>12</v>
          </cell>
          <cell r="I610">
            <v>0.72912997534343083</v>
          </cell>
          <cell r="J610">
            <v>120</v>
          </cell>
          <cell r="K610" t="str">
            <v>PET 350 P12</v>
          </cell>
          <cell r="L610" t="str">
            <v>345ml</v>
          </cell>
          <cell r="M610" t="str">
            <v>CSD PET</v>
          </cell>
          <cell r="N610" t="str">
            <v>7-Up</v>
          </cell>
          <cell r="V610" t="str">
            <v>01.09.2026</v>
          </cell>
          <cell r="W610">
            <v>46266</v>
          </cell>
        </row>
        <row r="611">
          <cell r="A611" t="str">
            <v>MIRINDA GREEN LS 345ML PET 12X 10B_192</v>
          </cell>
          <cell r="B611">
            <v>320022965</v>
          </cell>
          <cell r="C611" t="str">
            <v>MIRINDA GREEN LS 345ML PET 12X 10B_192</v>
          </cell>
          <cell r="D611">
            <v>32</v>
          </cell>
          <cell r="E611">
            <v>6</v>
          </cell>
          <cell r="F611">
            <v>192</v>
          </cell>
          <cell r="G611">
            <v>345</v>
          </cell>
          <cell r="H611">
            <v>12</v>
          </cell>
          <cell r="I611">
            <v>0.72912997534343083</v>
          </cell>
          <cell r="J611">
            <v>120</v>
          </cell>
          <cell r="K611" t="str">
            <v>PET 350 P12</v>
          </cell>
          <cell r="L611" t="str">
            <v>345ml</v>
          </cell>
          <cell r="M611" t="str">
            <v>CSD PET</v>
          </cell>
          <cell r="N611" t="str">
            <v>MRD Green Cream</v>
          </cell>
          <cell r="V611" t="str">
            <v>02.09.2026</v>
          </cell>
          <cell r="W611">
            <v>46267</v>
          </cell>
        </row>
        <row r="612">
          <cell r="A612" t="str">
            <v>MIRINDA STRWB LS 345ML PET 12X 10B_192</v>
          </cell>
          <cell r="B612">
            <v>320022966</v>
          </cell>
          <cell r="C612" t="str">
            <v>MIRINDA STRWB LS 345ML PET 12X 10B_192</v>
          </cell>
          <cell r="D612">
            <v>32</v>
          </cell>
          <cell r="E612">
            <v>6</v>
          </cell>
          <cell r="F612">
            <v>192</v>
          </cell>
          <cell r="G612">
            <v>345</v>
          </cell>
          <cell r="H612">
            <v>12</v>
          </cell>
          <cell r="I612">
            <v>0.72912997534343083</v>
          </cell>
          <cell r="J612">
            <v>120</v>
          </cell>
          <cell r="K612" t="str">
            <v>PET 350 P12</v>
          </cell>
          <cell r="L612" t="str">
            <v>345ml</v>
          </cell>
          <cell r="M612" t="str">
            <v>CSD PET</v>
          </cell>
          <cell r="N612" t="str">
            <v>MRD Strawberry</v>
          </cell>
          <cell r="V612" t="str">
            <v>03.09.2026</v>
          </cell>
          <cell r="W612">
            <v>46268</v>
          </cell>
        </row>
        <row r="613">
          <cell r="A613" t="str">
            <v>TEA PLUS NO SUGAR490ML 4XMP_70_RPET</v>
          </cell>
          <cell r="B613">
            <v>320022953</v>
          </cell>
          <cell r="C613" t="str">
            <v>TEA PLUS NO SUGAR490ML 4XMP_70_RPET</v>
          </cell>
          <cell r="D613">
            <v>10</v>
          </cell>
          <cell r="E613">
            <v>7</v>
          </cell>
          <cell r="F613">
            <v>70</v>
          </cell>
          <cell r="G613">
            <v>490</v>
          </cell>
          <cell r="H613">
            <v>24</v>
          </cell>
          <cell r="I613">
            <v>2.0711518140190206</v>
          </cell>
          <cell r="J613">
            <v>365</v>
          </cell>
          <cell r="K613" t="str">
            <v>PET TEA+ 500</v>
          </cell>
          <cell r="L613" t="str">
            <v>490 ml</v>
          </cell>
          <cell r="M613" t="str">
            <v>NCB PET</v>
          </cell>
          <cell r="N613" t="str">
            <v>TEA PLUS</v>
          </cell>
          <cell r="V613" t="str">
            <v>04.09.2026</v>
          </cell>
          <cell r="W613">
            <v>46269</v>
          </cell>
        </row>
        <row r="614">
          <cell r="A614" t="str">
            <v>TEA PLUS NO SUGAR 500ML 24X_70_RPET</v>
          </cell>
          <cell r="B614">
            <v>320022950</v>
          </cell>
          <cell r="C614" t="str">
            <v>TEA PLUS NO SUGAR 500ML 24X_70_RPET</v>
          </cell>
          <cell r="D614">
            <v>10</v>
          </cell>
          <cell r="E614">
            <v>7</v>
          </cell>
          <cell r="F614">
            <v>70</v>
          </cell>
          <cell r="G614">
            <v>500</v>
          </cell>
          <cell r="H614">
            <v>24</v>
          </cell>
          <cell r="I614">
            <v>2.1134202183867559</v>
          </cell>
          <cell r="J614">
            <v>365</v>
          </cell>
          <cell r="K614" t="str">
            <v>PET TEA+ 500</v>
          </cell>
          <cell r="L614" t="str">
            <v>500 ml</v>
          </cell>
          <cell r="M614" t="str">
            <v>NCB PET</v>
          </cell>
          <cell r="N614" t="str">
            <v>TEA PLUS</v>
          </cell>
          <cell r="V614" t="str">
            <v>05.09.2026</v>
          </cell>
          <cell r="W614">
            <v>46270</v>
          </cell>
        </row>
        <row r="615">
          <cell r="A615" t="str">
            <v>TEA PLUS TASTY 490ML 4X MP_70_RPET</v>
          </cell>
          <cell r="B615">
            <v>320022952</v>
          </cell>
          <cell r="C615" t="str">
            <v>TEA PLUS TASTY 490ML 4X MP_70_RPET</v>
          </cell>
          <cell r="D615">
            <v>10</v>
          </cell>
          <cell r="E615">
            <v>7</v>
          </cell>
          <cell r="F615">
            <v>70</v>
          </cell>
          <cell r="G615">
            <v>490</v>
          </cell>
          <cell r="H615">
            <v>24</v>
          </cell>
          <cell r="I615">
            <v>2.0711518140190206</v>
          </cell>
          <cell r="J615">
            <v>365</v>
          </cell>
          <cell r="K615" t="str">
            <v>PET TEA+ 500</v>
          </cell>
          <cell r="L615" t="str">
            <v>490 ml</v>
          </cell>
          <cell r="M615" t="str">
            <v>NCB PET</v>
          </cell>
          <cell r="N615" t="str">
            <v>TEA PLUS</v>
          </cell>
          <cell r="V615" t="str">
            <v>06.09.2026</v>
          </cell>
          <cell r="W615">
            <v>46271</v>
          </cell>
        </row>
        <row r="616">
          <cell r="A616" t="str">
            <v>TEA PLUS HONEY LEMON 490ML 4X MP_70_RPET</v>
          </cell>
          <cell r="B616">
            <v>320022956</v>
          </cell>
          <cell r="C616" t="str">
            <v>TEA PLUS HONEY LEMON 490ML 4X MP_70_RPET</v>
          </cell>
          <cell r="D616">
            <v>10</v>
          </cell>
          <cell r="E616">
            <v>7</v>
          </cell>
          <cell r="F616">
            <v>70</v>
          </cell>
          <cell r="G616">
            <v>490</v>
          </cell>
          <cell r="H616">
            <v>24</v>
          </cell>
          <cell r="I616">
            <v>2.0711518140190206</v>
          </cell>
          <cell r="J616">
            <v>365</v>
          </cell>
          <cell r="K616" t="str">
            <v>PET TEA+ 500</v>
          </cell>
          <cell r="L616" t="str">
            <v>490 ml</v>
          </cell>
          <cell r="M616" t="str">
            <v>NCB PET</v>
          </cell>
          <cell r="N616" t="str">
            <v>TEA PLUS</v>
          </cell>
          <cell r="V616" t="str">
            <v>07.09.2026</v>
          </cell>
          <cell r="W616">
            <v>46272</v>
          </cell>
        </row>
        <row r="617">
          <cell r="A617" t="str">
            <v>TEA PLUS HONEY LEMON 500ML 24X_70_RPET</v>
          </cell>
          <cell r="B617">
            <v>320022955</v>
          </cell>
          <cell r="C617" t="str">
            <v>TEA PLUS HONEY LEMON 500ML 24X_70_RPET</v>
          </cell>
          <cell r="D617">
            <v>10</v>
          </cell>
          <cell r="E617">
            <v>7</v>
          </cell>
          <cell r="F617">
            <v>70</v>
          </cell>
          <cell r="G617">
            <v>490</v>
          </cell>
          <cell r="H617">
            <v>24</v>
          </cell>
          <cell r="I617">
            <v>2.0711518140190206</v>
          </cell>
          <cell r="J617">
            <v>365</v>
          </cell>
          <cell r="K617" t="str">
            <v>PET TEA+ 500</v>
          </cell>
          <cell r="L617" t="str">
            <v>490 ml</v>
          </cell>
          <cell r="M617" t="str">
            <v>NCB PET</v>
          </cell>
          <cell r="N617" t="str">
            <v>TEA PLUS</v>
          </cell>
          <cell r="V617" t="str">
            <v>08.09.2026</v>
          </cell>
          <cell r="W617">
            <v>46273</v>
          </cell>
        </row>
        <row r="618">
          <cell r="A618" t="str">
            <v>TEA PLUS TASTY 500ML 24X_70_RPET</v>
          </cell>
          <cell r="B618">
            <v>320022951</v>
          </cell>
          <cell r="C618" t="str">
            <v>TEA PLUS TASTY 500ML 24X_70_RPET</v>
          </cell>
          <cell r="D618">
            <v>10</v>
          </cell>
          <cell r="E618">
            <v>7</v>
          </cell>
          <cell r="F618">
            <v>70</v>
          </cell>
          <cell r="G618">
            <v>500</v>
          </cell>
          <cell r="H618">
            <v>24</v>
          </cell>
          <cell r="I618">
            <v>2.1134202183867559</v>
          </cell>
          <cell r="J618">
            <v>365</v>
          </cell>
          <cell r="K618" t="str">
            <v>PET TEA+ 500</v>
          </cell>
          <cell r="L618" t="str">
            <v>500 ml</v>
          </cell>
          <cell r="M618" t="str">
            <v>NCB PET</v>
          </cell>
          <cell r="N618" t="str">
            <v>TEA PLUS</v>
          </cell>
          <cell r="V618" t="str">
            <v>09.09.2026</v>
          </cell>
          <cell r="W618">
            <v>46274</v>
          </cell>
        </row>
        <row r="619">
          <cell r="A619" t="str">
            <v>BOSS CARAMEL 230ML PET 4X_96</v>
          </cell>
          <cell r="B619">
            <v>320022960</v>
          </cell>
          <cell r="C619" t="str">
            <v>BOSS CARAMEL 230ML PET 4X_96</v>
          </cell>
          <cell r="D619">
            <v>12</v>
          </cell>
          <cell r="E619">
            <v>8</v>
          </cell>
          <cell r="F619">
            <v>96</v>
          </cell>
          <cell r="G619">
            <v>230</v>
          </cell>
          <cell r="H619">
            <v>24</v>
          </cell>
          <cell r="I619">
            <v>0.97217330045790773</v>
          </cell>
          <cell r="J619">
            <v>365</v>
          </cell>
          <cell r="K619" t="str">
            <v>PET COFF 230</v>
          </cell>
          <cell r="L619" t="str">
            <v>230 ml</v>
          </cell>
          <cell r="M619" t="str">
            <v>NCB PET</v>
          </cell>
          <cell r="N619" t="str">
            <v>BOSS COFFEE</v>
          </cell>
          <cell r="V619" t="str">
            <v>10.09.2026</v>
          </cell>
          <cell r="W619">
            <v>46275</v>
          </cell>
        </row>
        <row r="620">
          <cell r="A620" t="str">
            <v>BOSS CARAMEL 250ML PET 24X_96</v>
          </cell>
          <cell r="B620">
            <v>320022959</v>
          </cell>
          <cell r="C620" t="str">
            <v>BOSS CARAMEL 250ML PET 24X_96</v>
          </cell>
          <cell r="D620">
            <v>12</v>
          </cell>
          <cell r="E620">
            <v>8</v>
          </cell>
          <cell r="F620">
            <v>96</v>
          </cell>
          <cell r="G620">
            <v>250</v>
          </cell>
          <cell r="H620">
            <v>24</v>
          </cell>
          <cell r="I620">
            <v>1.0567101091933779</v>
          </cell>
          <cell r="J620">
            <v>365</v>
          </cell>
          <cell r="K620" t="str">
            <v>PET COFF 250</v>
          </cell>
          <cell r="L620" t="str">
            <v>250 ml</v>
          </cell>
          <cell r="M620" t="str">
            <v>NCB PET</v>
          </cell>
          <cell r="N620" t="str">
            <v>BOSS COFFEE</v>
          </cell>
          <cell r="V620" t="str">
            <v>11.09.2026</v>
          </cell>
          <cell r="W620">
            <v>46276</v>
          </cell>
        </row>
        <row r="621">
          <cell r="A621" t="str">
            <v>PEPSI COLA MIDCAL240MLCAN4XMP STH10B_144</v>
          </cell>
          <cell r="B621">
            <v>320022969</v>
          </cell>
          <cell r="C621" t="str">
            <v>PEPSI COLA MIDCAL240MLCAN4XMP STH10B_144</v>
          </cell>
          <cell r="D621">
            <v>16</v>
          </cell>
          <cell r="E621">
            <v>9</v>
          </cell>
          <cell r="F621">
            <v>144</v>
          </cell>
          <cell r="G621">
            <v>240</v>
          </cell>
          <cell r="H621">
            <v>24</v>
          </cell>
          <cell r="I621">
            <v>1.0144417048256429</v>
          </cell>
          <cell r="J621">
            <v>270</v>
          </cell>
          <cell r="K621" t="str">
            <v>CAN 250</v>
          </cell>
          <cell r="L621" t="str">
            <v>245 ml</v>
          </cell>
          <cell r="M621" t="str">
            <v>CSD CAN</v>
          </cell>
          <cell r="N621" t="str">
            <v>Pepsi Cola</v>
          </cell>
          <cell r="V621" t="str">
            <v>12.09.2026</v>
          </cell>
          <cell r="W621">
            <v>46277</v>
          </cell>
        </row>
        <row r="622">
          <cell r="A622" t="str">
            <v>PEPSI NO SUGAR 345ML PET 12X10B_192</v>
          </cell>
          <cell r="B622">
            <v>320022972</v>
          </cell>
          <cell r="C622" t="str">
            <v>PEPSI NO SUGAR 345ML PET 12X10B_192</v>
          </cell>
          <cell r="D622">
            <v>32</v>
          </cell>
          <cell r="E622">
            <v>6</v>
          </cell>
          <cell r="F622">
            <v>192</v>
          </cell>
          <cell r="G622">
            <v>345</v>
          </cell>
          <cell r="H622">
            <v>12</v>
          </cell>
          <cell r="I622">
            <v>0.72912997534343083</v>
          </cell>
          <cell r="J622">
            <v>120</v>
          </cell>
          <cell r="K622" t="str">
            <v>PET 350 P12</v>
          </cell>
          <cell r="L622" t="str">
            <v>345 ml</v>
          </cell>
          <cell r="M622" t="str">
            <v>CSD PET</v>
          </cell>
          <cell r="N622" t="str">
            <v>PEPSI NO SUGAR</v>
          </cell>
          <cell r="V622" t="str">
            <v>13.09.2026</v>
          </cell>
          <cell r="W622">
            <v>46278</v>
          </cell>
        </row>
        <row r="623">
          <cell r="A623" t="str">
            <v>TEA PLUS GREEN OOLONG 500ML rPET24X_70</v>
          </cell>
          <cell r="B623">
            <v>320022961</v>
          </cell>
          <cell r="C623" t="str">
            <v>TEA PLUS GREEN OOLONG 500ML rPET24X_70</v>
          </cell>
          <cell r="D623">
            <v>10</v>
          </cell>
          <cell r="E623">
            <v>7</v>
          </cell>
          <cell r="F623">
            <v>70</v>
          </cell>
          <cell r="G623">
            <v>500</v>
          </cell>
          <cell r="H623">
            <v>24</v>
          </cell>
          <cell r="I623">
            <v>2.1134202183867559</v>
          </cell>
          <cell r="J623">
            <v>365</v>
          </cell>
          <cell r="K623" t="str">
            <v>PET TEA+ 500</v>
          </cell>
          <cell r="L623" t="str">
            <v>500 ml</v>
          </cell>
          <cell r="M623" t="str">
            <v>NCB PET</v>
          </cell>
          <cell r="N623" t="str">
            <v>TEA PLUS</v>
          </cell>
          <cell r="V623" t="str">
            <v>14.09.2026</v>
          </cell>
          <cell r="W623">
            <v>46279</v>
          </cell>
        </row>
        <row r="624">
          <cell r="A624" t="str">
            <v>MIRINDA STRWB 430ML PET POP 12X_150</v>
          </cell>
          <cell r="B624">
            <v>320022974</v>
          </cell>
          <cell r="C624" t="str">
            <v>MIRINDA STRWB 430ML PET POP 12X_150</v>
          </cell>
          <cell r="D624">
            <v>30</v>
          </cell>
          <cell r="E624">
            <v>5</v>
          </cell>
          <cell r="F624">
            <v>150</v>
          </cell>
          <cell r="G624">
            <v>430</v>
          </cell>
          <cell r="H624">
            <v>12</v>
          </cell>
          <cell r="I624">
            <v>0.90877069390630505</v>
          </cell>
          <cell r="J624">
            <v>180</v>
          </cell>
          <cell r="K624" t="str">
            <v>PET 430 P12</v>
          </cell>
          <cell r="L624" t="str">
            <v>430ml</v>
          </cell>
          <cell r="M624" t="str">
            <v>CSD PET</v>
          </cell>
          <cell r="N624" t="str">
            <v>MRD Strawberry</v>
          </cell>
          <cell r="V624" t="str">
            <v>15.09.2026</v>
          </cell>
          <cell r="W624">
            <v>46280</v>
          </cell>
        </row>
        <row r="625">
          <cell r="A625" t="str">
            <v>PEPSI NO SUGAR 245ML CAN 4X MP TFM_144</v>
          </cell>
          <cell r="B625">
            <v>320022962</v>
          </cell>
          <cell r="C625" t="str">
            <v>PEPSI NO SUGAR 245ML CAN 4X MP TFM_144</v>
          </cell>
          <cell r="D625">
            <v>16</v>
          </cell>
          <cell r="E625">
            <v>9</v>
          </cell>
          <cell r="F625">
            <v>144</v>
          </cell>
          <cell r="G625">
            <v>245</v>
          </cell>
          <cell r="H625">
            <v>24</v>
          </cell>
          <cell r="I625">
            <v>1.0355759070095103</v>
          </cell>
          <cell r="J625">
            <v>180</v>
          </cell>
          <cell r="K625" t="str">
            <v>CAN 250</v>
          </cell>
          <cell r="L625" t="str">
            <v>245 ml</v>
          </cell>
          <cell r="M625" t="str">
            <v>CSD CAN</v>
          </cell>
          <cell r="N625" t="str">
            <v>PEPSI NO SUGAR</v>
          </cell>
          <cell r="V625" t="str">
            <v>16.09.2026</v>
          </cell>
          <cell r="W625">
            <v>46281</v>
          </cell>
        </row>
        <row r="626">
          <cell r="A626" t="str">
            <v>PEPSI COLA MIDCAL 245MLCAN 4XMP TFM_144</v>
          </cell>
          <cell r="B626">
            <v>320022963</v>
          </cell>
          <cell r="C626" t="str">
            <v>PEPSI COLA MIDCAL 245MLCAN 4XMP TFM_144</v>
          </cell>
          <cell r="D626">
            <v>16</v>
          </cell>
          <cell r="E626">
            <v>9</v>
          </cell>
          <cell r="F626">
            <v>144</v>
          </cell>
          <cell r="G626">
            <v>245</v>
          </cell>
          <cell r="H626">
            <v>24</v>
          </cell>
          <cell r="I626">
            <v>1.0355759070095103</v>
          </cell>
          <cell r="J626">
            <v>270</v>
          </cell>
          <cell r="K626" t="str">
            <v>CAN 250</v>
          </cell>
          <cell r="L626" t="str">
            <v>245 ml</v>
          </cell>
          <cell r="M626" t="str">
            <v>CSD CAN</v>
          </cell>
          <cell r="N626" t="str">
            <v>Pepsi Cola</v>
          </cell>
          <cell r="V626" t="str">
            <v>17.09.2026</v>
          </cell>
          <cell r="W626">
            <v>46282</v>
          </cell>
        </row>
        <row r="627">
          <cell r="A627" t="str">
            <v>PEPSI NO SUGAR 1.95L PET 6X_64</v>
          </cell>
          <cell r="B627">
            <v>320022767</v>
          </cell>
          <cell r="C627" t="str">
            <v>PEPSI NO SUGAR 1.95L PET 6X_64</v>
          </cell>
          <cell r="D627">
            <v>16</v>
          </cell>
          <cell r="E627">
            <v>4</v>
          </cell>
          <cell r="F627">
            <v>64</v>
          </cell>
          <cell r="G627">
            <v>1950</v>
          </cell>
          <cell r="H627">
            <v>6</v>
          </cell>
          <cell r="I627">
            <v>2.0605847129270871</v>
          </cell>
          <cell r="J627">
            <v>180</v>
          </cell>
          <cell r="K627" t="str">
            <v>PET 2000</v>
          </cell>
          <cell r="L627" t="str">
            <v>1950 ml</v>
          </cell>
          <cell r="M627" t="str">
            <v>CSD PET</v>
          </cell>
          <cell r="N627" t="str">
            <v>PEPSI NO SUGAR</v>
          </cell>
          <cell r="V627" t="str">
            <v>18.09.2026</v>
          </cell>
          <cell r="W627">
            <v>46283</v>
          </cell>
        </row>
        <row r="628">
          <cell r="A628" t="str">
            <v>PEPSI COLA MIDCAL295MLPET24X STH10B_119</v>
          </cell>
          <cell r="B628">
            <v>320022970</v>
          </cell>
          <cell r="C628" t="str">
            <v>PEPSI COLA MIDCAL295MLPET24X STH10B_119</v>
          </cell>
          <cell r="D628">
            <v>17</v>
          </cell>
          <cell r="E628">
            <v>7</v>
          </cell>
          <cell r="F628">
            <v>119</v>
          </cell>
          <cell r="G628">
            <v>295</v>
          </cell>
          <cell r="H628">
            <v>24</v>
          </cell>
          <cell r="I628">
            <v>1.246917928848186</v>
          </cell>
          <cell r="J628">
            <v>120</v>
          </cell>
          <cell r="K628" t="str">
            <v>PET 300 EMN P24</v>
          </cell>
          <cell r="L628" t="str">
            <v>300 ml</v>
          </cell>
          <cell r="M628" t="str">
            <v>CSD PET</v>
          </cell>
          <cell r="N628" t="str">
            <v>Pepsi Cola</v>
          </cell>
          <cell r="V628" t="str">
            <v>19.09.2026</v>
          </cell>
          <cell r="W628">
            <v>46284</v>
          </cell>
        </row>
        <row r="629">
          <cell r="A629" t="str">
            <v>TEA PLUS TASTY 500ML 24X_70_rPET FC</v>
          </cell>
          <cell r="B629">
            <v>320022954</v>
          </cell>
          <cell r="C629" t="str">
            <v>TEA PLUS TASTY 500ML 24X_70_rPET FC</v>
          </cell>
          <cell r="D629">
            <v>10</v>
          </cell>
          <cell r="E629">
            <v>7</v>
          </cell>
          <cell r="F629">
            <v>70</v>
          </cell>
          <cell r="G629">
            <v>500</v>
          </cell>
          <cell r="H629">
            <v>24</v>
          </cell>
          <cell r="I629">
            <v>2.1134202183867559</v>
          </cell>
          <cell r="J629">
            <v>365</v>
          </cell>
          <cell r="K629" t="str">
            <v>PET TEA+ 500</v>
          </cell>
          <cell r="L629" t="str">
            <v>500 ml</v>
          </cell>
          <cell r="M629" t="str">
            <v>NCB PET</v>
          </cell>
          <cell r="N629" t="str">
            <v>TEA PLUS</v>
          </cell>
          <cell r="V629" t="str">
            <v>20.09.2026</v>
          </cell>
          <cell r="W629">
            <v>46285</v>
          </cell>
        </row>
        <row r="630">
          <cell r="A630" t="str">
            <v>TEA PLUS NO SUGAR 500ML 24X_70_rPET FC</v>
          </cell>
          <cell r="B630">
            <v>320022957</v>
          </cell>
          <cell r="C630" t="str">
            <v>TEA PLUS NO SUGAR 500ML 24X_70_rPET FC</v>
          </cell>
          <cell r="D630">
            <v>10</v>
          </cell>
          <cell r="E630">
            <v>7</v>
          </cell>
          <cell r="F630">
            <v>70</v>
          </cell>
          <cell r="G630">
            <v>500</v>
          </cell>
          <cell r="H630">
            <v>24</v>
          </cell>
          <cell r="I630">
            <v>2.1134202183867559</v>
          </cell>
          <cell r="J630">
            <v>365</v>
          </cell>
          <cell r="K630" t="str">
            <v>PET TEA+ 500</v>
          </cell>
          <cell r="L630" t="str">
            <v>500 ml</v>
          </cell>
          <cell r="M630" t="str">
            <v>NCB PET</v>
          </cell>
          <cell r="N630" t="str">
            <v>TEA PLUS</v>
          </cell>
          <cell r="V630" t="str">
            <v>21.09.2026</v>
          </cell>
          <cell r="W630">
            <v>46286</v>
          </cell>
        </row>
        <row r="631">
          <cell r="A631" t="str">
            <v>TEA PLUS HONEY LEMON 500ML 24X_70rPET FC</v>
          </cell>
          <cell r="B631">
            <v>320023013</v>
          </cell>
          <cell r="C631" t="str">
            <v>TEA PLUS HONEY LEMON 500ML 24X_70rPET FC</v>
          </cell>
          <cell r="D631">
            <v>10</v>
          </cell>
          <cell r="E631">
            <v>7</v>
          </cell>
          <cell r="F631">
            <v>70</v>
          </cell>
          <cell r="G631">
            <v>500</v>
          </cell>
          <cell r="H631">
            <v>24</v>
          </cell>
          <cell r="I631">
            <v>2.1134202183867559</v>
          </cell>
          <cell r="J631">
            <v>365</v>
          </cell>
          <cell r="K631" t="str">
            <v>PET TEA+ 500</v>
          </cell>
          <cell r="L631" t="str">
            <v>500 ml</v>
          </cell>
          <cell r="M631" t="str">
            <v>NCB PET</v>
          </cell>
          <cell r="N631" t="str">
            <v>TEA PLUS</v>
          </cell>
          <cell r="V631" t="str">
            <v>22.09.2026</v>
          </cell>
          <cell r="W631">
            <v>46287</v>
          </cell>
        </row>
        <row r="632">
          <cell r="A632" t="str">
            <v>PEPSI MID CAL 1.5L PET 12X_48 Meal</v>
          </cell>
          <cell r="B632">
            <v>320022979</v>
          </cell>
          <cell r="C632" t="str">
            <v>PEPSI MID CAL 1.5L PET 12X_48 Meal</v>
          </cell>
          <cell r="D632">
            <v>12</v>
          </cell>
          <cell r="E632">
            <v>4</v>
          </cell>
          <cell r="F632">
            <v>48</v>
          </cell>
          <cell r="G632">
            <v>1500</v>
          </cell>
          <cell r="H632">
            <v>12</v>
          </cell>
          <cell r="I632">
            <v>3.170130327580134</v>
          </cell>
          <cell r="J632">
            <v>180</v>
          </cell>
          <cell r="K632" t="str">
            <v>PET 1500</v>
          </cell>
          <cell r="L632" t="str">
            <v>1500 ml</v>
          </cell>
          <cell r="M632" t="str">
            <v>CSD PET</v>
          </cell>
          <cell r="N632" t="str">
            <v>Pepsi Cola</v>
          </cell>
          <cell r="V632" t="str">
            <v>23.09.2026</v>
          </cell>
          <cell r="W632">
            <v>46288</v>
          </cell>
        </row>
        <row r="633">
          <cell r="A633" t="str">
            <v>PEPSI MID CAL 1.95L PET 6X_64 Meal</v>
          </cell>
          <cell r="B633">
            <v>320022990</v>
          </cell>
          <cell r="C633" t="str">
            <v>PEPSI MID CAL 1.95L PET 6X_64 Meal</v>
          </cell>
          <cell r="D633">
            <v>16</v>
          </cell>
          <cell r="E633">
            <v>4</v>
          </cell>
          <cell r="F633">
            <v>64</v>
          </cell>
          <cell r="G633">
            <v>1950</v>
          </cell>
          <cell r="H633">
            <v>6</v>
          </cell>
          <cell r="I633">
            <v>2.0605847129270871</v>
          </cell>
          <cell r="J633">
            <v>180</v>
          </cell>
          <cell r="K633" t="str">
            <v>PET 2000</v>
          </cell>
          <cell r="L633" t="str">
            <v>1950 ml</v>
          </cell>
          <cell r="M633" t="str">
            <v>CSD PET</v>
          </cell>
          <cell r="N633" t="str">
            <v>Pepsi Cola</v>
          </cell>
          <cell r="V633" t="str">
            <v>24.09.2026</v>
          </cell>
          <cell r="W633">
            <v>46289</v>
          </cell>
        </row>
        <row r="634">
          <cell r="A634" t="str">
            <v>PEPSI MID CAL 1.49L PET 12X 32B_48 Meal</v>
          </cell>
          <cell r="B634">
            <v>320022991</v>
          </cell>
          <cell r="C634" t="str">
            <v>PEPSI MID CAL 1.49L PET 12X 32B_48 Meal</v>
          </cell>
          <cell r="D634">
            <v>12</v>
          </cell>
          <cell r="E634">
            <v>4</v>
          </cell>
          <cell r="F634">
            <v>48</v>
          </cell>
          <cell r="G634">
            <v>1490</v>
          </cell>
          <cell r="H634">
            <v>12</v>
          </cell>
          <cell r="I634">
            <v>3.1489961253962662</v>
          </cell>
          <cell r="J634">
            <v>180</v>
          </cell>
          <cell r="K634" t="str">
            <v>PET 1500</v>
          </cell>
          <cell r="L634" t="str">
            <v>1490 ml</v>
          </cell>
          <cell r="M634" t="str">
            <v>CSD PET</v>
          </cell>
          <cell r="N634" t="str">
            <v>Pepsi Cola</v>
          </cell>
          <cell r="V634" t="str">
            <v>25.09.2026</v>
          </cell>
          <cell r="W634">
            <v>46290</v>
          </cell>
        </row>
        <row r="635">
          <cell r="A635" t="str">
            <v>PEPSI MID CAL 1.49L PET 12X 32B_48</v>
          </cell>
          <cell r="B635">
            <v>320022992</v>
          </cell>
          <cell r="C635" t="str">
            <v>PEPSI MID CAL 1.49L PET 12X 32B_48</v>
          </cell>
          <cell r="D635">
            <v>12</v>
          </cell>
          <cell r="E635">
            <v>4</v>
          </cell>
          <cell r="F635">
            <v>48</v>
          </cell>
          <cell r="G635">
            <v>1490</v>
          </cell>
          <cell r="H635">
            <v>12</v>
          </cell>
          <cell r="I635">
            <v>3.1489961253962662</v>
          </cell>
          <cell r="J635">
            <v>180</v>
          </cell>
          <cell r="K635" t="str">
            <v>PET 1500</v>
          </cell>
          <cell r="L635" t="str">
            <v>1490 ml</v>
          </cell>
          <cell r="M635" t="str">
            <v>CSD PET</v>
          </cell>
          <cell r="N635" t="str">
            <v>Pepsi Cola</v>
          </cell>
          <cell r="V635" t="str">
            <v>26.09.2026</v>
          </cell>
          <cell r="W635">
            <v>46291</v>
          </cell>
        </row>
        <row r="636">
          <cell r="A636" t="str">
            <v>PEPSI MID CAL 1.45L PET 12X_48 Meal</v>
          </cell>
          <cell r="B636">
            <v>320022993</v>
          </cell>
          <cell r="C636" t="str">
            <v>PEPSI MID CAL 1.45L PET 12X_48 Meal</v>
          </cell>
          <cell r="D636">
            <v>12</v>
          </cell>
          <cell r="E636">
            <v>4</v>
          </cell>
          <cell r="F636">
            <v>48</v>
          </cell>
          <cell r="G636">
            <v>1450</v>
          </cell>
          <cell r="H636">
            <v>12</v>
          </cell>
          <cell r="I636">
            <v>3.0644593166607961</v>
          </cell>
          <cell r="J636">
            <v>180</v>
          </cell>
          <cell r="K636" t="str">
            <v>PET 1500</v>
          </cell>
          <cell r="L636" t="str">
            <v>1450 ml</v>
          </cell>
          <cell r="M636" t="str">
            <v>CSD PET</v>
          </cell>
          <cell r="N636" t="str">
            <v>Pepsi Cola</v>
          </cell>
          <cell r="V636" t="str">
            <v>27.09.2026</v>
          </cell>
          <cell r="W636">
            <v>46292</v>
          </cell>
        </row>
        <row r="637">
          <cell r="A637" t="str">
            <v>PEPSI NO SUGAR 325ML CAN 4X MP_104 Meal</v>
          </cell>
          <cell r="B637">
            <v>320022994</v>
          </cell>
          <cell r="C637" t="str">
            <v>PEPSI NO SUGAR 325ML CAN 4X MP_104 Meal</v>
          </cell>
          <cell r="D637">
            <v>13</v>
          </cell>
          <cell r="E637">
            <v>8</v>
          </cell>
          <cell r="F637">
            <v>104</v>
          </cell>
          <cell r="G637">
            <v>325</v>
          </cell>
          <cell r="H637">
            <v>24</v>
          </cell>
          <cell r="I637">
            <v>1.3737231419513913</v>
          </cell>
          <cell r="J637">
            <v>180</v>
          </cell>
          <cell r="K637" t="str">
            <v>CAN 330</v>
          </cell>
          <cell r="L637" t="str">
            <v>325 ml</v>
          </cell>
          <cell r="M637" t="str">
            <v>CSD CAN</v>
          </cell>
          <cell r="N637" t="str">
            <v>PEPSI NO SUGAR</v>
          </cell>
          <cell r="V637" t="str">
            <v>28.09.2026</v>
          </cell>
          <cell r="W637">
            <v>46293</v>
          </cell>
        </row>
        <row r="638">
          <cell r="A638" t="str">
            <v>PEPSI MID CAL 1L PET 12X_70 Meal</v>
          </cell>
          <cell r="B638">
            <v>320022995</v>
          </cell>
          <cell r="C638" t="str">
            <v>PEPSI MID CAL 1L PET 12X_70 Meal</v>
          </cell>
          <cell r="D638">
            <v>14</v>
          </cell>
          <cell r="E638">
            <v>5</v>
          </cell>
          <cell r="F638">
            <v>70</v>
          </cell>
          <cell r="G638">
            <v>1000</v>
          </cell>
          <cell r="H638">
            <v>12</v>
          </cell>
          <cell r="I638">
            <v>2.1134202183867559</v>
          </cell>
          <cell r="J638">
            <v>180</v>
          </cell>
          <cell r="K638" t="str">
            <v>PET 1000</v>
          </cell>
          <cell r="L638" t="str">
            <v>1000 ml</v>
          </cell>
          <cell r="M638" t="str">
            <v>CSD PET</v>
          </cell>
          <cell r="N638" t="str">
            <v>Pepsi Cola</v>
          </cell>
          <cell r="V638" t="str">
            <v>29.09.2026</v>
          </cell>
          <cell r="W638">
            <v>46294</v>
          </cell>
        </row>
        <row r="639">
          <cell r="A639" t="str">
            <v>PEPSI NO SUGAR 1.45L PET 12X 27B_48 Meal</v>
          </cell>
          <cell r="B639">
            <v>320022996</v>
          </cell>
          <cell r="C639" t="str">
            <v>PEPSI NO SUGAR 1.45L PET 12X 27B_48 Meal</v>
          </cell>
          <cell r="D639">
            <v>12</v>
          </cell>
          <cell r="E639">
            <v>4</v>
          </cell>
          <cell r="F639">
            <v>48</v>
          </cell>
          <cell r="G639">
            <v>1450</v>
          </cell>
          <cell r="H639">
            <v>12</v>
          </cell>
          <cell r="I639">
            <v>3.0644593166607961</v>
          </cell>
          <cell r="J639">
            <v>180</v>
          </cell>
          <cell r="K639" t="str">
            <v>PET 1500</v>
          </cell>
          <cell r="L639" t="str">
            <v>1450 ml</v>
          </cell>
          <cell r="M639" t="str">
            <v>CSD PET</v>
          </cell>
          <cell r="N639" t="str">
            <v>PEPSI NO SUGAR</v>
          </cell>
          <cell r="V639" t="str">
            <v>30.09.2026</v>
          </cell>
          <cell r="W639">
            <v>46295</v>
          </cell>
        </row>
        <row r="640">
          <cell r="A640" t="str">
            <v>PEPSI MID CAL 325ML CAN 4XMP_104 Meal</v>
          </cell>
          <cell r="B640">
            <v>320022997</v>
          </cell>
          <cell r="C640" t="str">
            <v>PEPSI MID CAL 325ML CAN 4XMP_104 Meal</v>
          </cell>
          <cell r="D640">
            <v>13</v>
          </cell>
          <cell r="E640">
            <v>8</v>
          </cell>
          <cell r="F640">
            <v>104</v>
          </cell>
          <cell r="G640">
            <v>325</v>
          </cell>
          <cell r="H640">
            <v>24</v>
          </cell>
          <cell r="I640">
            <v>1.3737231419513913</v>
          </cell>
          <cell r="J640">
            <v>270</v>
          </cell>
          <cell r="K640" t="str">
            <v>CAN 330</v>
          </cell>
          <cell r="L640" t="str">
            <v>325 ml</v>
          </cell>
          <cell r="M640" t="str">
            <v>CSD CAN</v>
          </cell>
          <cell r="N640" t="str">
            <v>Pepsi Cola</v>
          </cell>
          <cell r="V640" t="str">
            <v>01.10.2026</v>
          </cell>
          <cell r="W640">
            <v>46296</v>
          </cell>
        </row>
        <row r="641">
          <cell r="A641" t="str">
            <v>PEPSI NO SUGAR 1.45L PET 12X 27B_48</v>
          </cell>
          <cell r="B641">
            <v>320022998</v>
          </cell>
          <cell r="C641" t="str">
            <v>PEPSI NO SUGAR 1.45L PET 12X 27B_48</v>
          </cell>
          <cell r="D641">
            <v>12</v>
          </cell>
          <cell r="E641">
            <v>4</v>
          </cell>
          <cell r="F641">
            <v>48</v>
          </cell>
          <cell r="G641">
            <v>1450</v>
          </cell>
          <cell r="H641">
            <v>12</v>
          </cell>
          <cell r="I641">
            <v>3.0644593166607961</v>
          </cell>
          <cell r="J641">
            <v>180</v>
          </cell>
          <cell r="K641" t="str">
            <v>PET 1500</v>
          </cell>
          <cell r="L641" t="str">
            <v>1450 ml</v>
          </cell>
          <cell r="M641" t="str">
            <v>CSD PET</v>
          </cell>
          <cell r="N641" t="str">
            <v>PEPSI NO SUGAR</v>
          </cell>
          <cell r="V641" t="str">
            <v>02.10.2026</v>
          </cell>
          <cell r="W641">
            <v>46297</v>
          </cell>
        </row>
        <row r="642">
          <cell r="A642" t="str">
            <v>PEPSI NO SUGAR 1.45L PET 12X_48 Meal</v>
          </cell>
          <cell r="B642">
            <v>320022999</v>
          </cell>
          <cell r="C642" t="str">
            <v>PEPSI NO SUGAR 1.45L PET 12X_48 Meal</v>
          </cell>
          <cell r="D642">
            <v>12</v>
          </cell>
          <cell r="E642">
            <v>4</v>
          </cell>
          <cell r="F642">
            <v>48</v>
          </cell>
          <cell r="G642">
            <v>1450</v>
          </cell>
          <cell r="H642">
            <v>12</v>
          </cell>
          <cell r="I642">
            <v>3.0644593166607961</v>
          </cell>
          <cell r="J642">
            <v>180</v>
          </cell>
          <cell r="K642" t="str">
            <v>PET 1500</v>
          </cell>
          <cell r="L642" t="str">
            <v>1450 ml</v>
          </cell>
          <cell r="M642" t="str">
            <v>CSD PET</v>
          </cell>
          <cell r="N642" t="str">
            <v>PEPSI NO SUGAR</v>
          </cell>
          <cell r="V642" t="str">
            <v>03.10.2026</v>
          </cell>
          <cell r="W642">
            <v>46298</v>
          </cell>
        </row>
        <row r="643">
          <cell r="A643" t="str">
            <v>PEPSI MID CAL 325ML CAN 24X_104 Meal</v>
          </cell>
          <cell r="B643">
            <v>320023000</v>
          </cell>
          <cell r="C643" t="str">
            <v>PEPSI MID CAL 325ML CAN 24X_104 Meal</v>
          </cell>
          <cell r="D643">
            <v>13</v>
          </cell>
          <cell r="E643">
            <v>8</v>
          </cell>
          <cell r="F643">
            <v>104</v>
          </cell>
          <cell r="G643">
            <v>325</v>
          </cell>
          <cell r="H643">
            <v>24</v>
          </cell>
          <cell r="I643">
            <v>1.3737231419513913</v>
          </cell>
          <cell r="J643">
            <v>270</v>
          </cell>
          <cell r="K643" t="str">
            <v>CAN 330</v>
          </cell>
          <cell r="L643" t="str">
            <v>325 ml</v>
          </cell>
          <cell r="M643" t="str">
            <v>CSD CAN</v>
          </cell>
          <cell r="N643" t="str">
            <v>Pepsi Cola</v>
          </cell>
          <cell r="V643" t="str">
            <v>04.10.2026</v>
          </cell>
          <cell r="W643">
            <v>46299</v>
          </cell>
        </row>
        <row r="644">
          <cell r="A644" t="str">
            <v>PEPSI MID CAL 325ML CAN4X 5+1MP_104 Meal</v>
          </cell>
          <cell r="B644">
            <v>320023001</v>
          </cell>
          <cell r="C644" t="str">
            <v>PEPSI MID CAL 325ML CAN4X 5+1MP_104 Meal</v>
          </cell>
          <cell r="D644">
            <v>13</v>
          </cell>
          <cell r="E644">
            <v>8</v>
          </cell>
          <cell r="F644">
            <v>104</v>
          </cell>
          <cell r="G644">
            <v>325</v>
          </cell>
          <cell r="H644">
            <v>24</v>
          </cell>
          <cell r="I644">
            <v>1.3737231419513913</v>
          </cell>
          <cell r="J644">
            <v>270</v>
          </cell>
          <cell r="K644" t="str">
            <v>CAN 330</v>
          </cell>
          <cell r="L644" t="str">
            <v>325 ml</v>
          </cell>
          <cell r="M644" t="str">
            <v>CSD CAN</v>
          </cell>
          <cell r="N644" t="str">
            <v>Pepsi Cola</v>
          </cell>
          <cell r="V644" t="str">
            <v>05.10.2026</v>
          </cell>
          <cell r="W644">
            <v>46300</v>
          </cell>
        </row>
        <row r="645">
          <cell r="A645" t="str">
            <v>PEPSI MID CAL 545ML PET12X 16B_132 Meal</v>
          </cell>
          <cell r="B645">
            <v>320023002</v>
          </cell>
          <cell r="C645" t="str">
            <v>PEPSI MID CAL 545ML PET12X 16B_132 Meal</v>
          </cell>
          <cell r="D645">
            <v>22</v>
          </cell>
          <cell r="E645">
            <v>6</v>
          </cell>
          <cell r="F645">
            <v>132</v>
          </cell>
          <cell r="G645">
            <v>545</v>
          </cell>
          <cell r="H645">
            <v>12</v>
          </cell>
          <cell r="I645">
            <v>1.151814019020782</v>
          </cell>
          <cell r="J645">
            <v>180</v>
          </cell>
          <cell r="K645" t="str">
            <v>PET 550</v>
          </cell>
          <cell r="L645" t="str">
            <v>545 ml</v>
          </cell>
          <cell r="M645" t="str">
            <v>CSD PET</v>
          </cell>
          <cell r="N645" t="str">
            <v>Pepsi Cola</v>
          </cell>
          <cell r="V645" t="str">
            <v>06.10.2026</v>
          </cell>
          <cell r="W645">
            <v>46301</v>
          </cell>
        </row>
        <row r="646">
          <cell r="A646" t="str">
            <v>PEPSI MID CAL 545ML PET24X_66 Meal</v>
          </cell>
          <cell r="B646">
            <v>320023003</v>
          </cell>
          <cell r="C646" t="str">
            <v>PEPSI MID CAL 545ML PET24X_66 Meal</v>
          </cell>
          <cell r="D646">
            <v>11</v>
          </cell>
          <cell r="E646">
            <v>6</v>
          </cell>
          <cell r="F646">
            <v>66</v>
          </cell>
          <cell r="G646">
            <v>545</v>
          </cell>
          <cell r="H646">
            <v>24</v>
          </cell>
          <cell r="I646">
            <v>2.3036280380415639</v>
          </cell>
          <cell r="J646">
            <v>180</v>
          </cell>
          <cell r="K646" t="str">
            <v>PET 550</v>
          </cell>
          <cell r="L646" t="str">
            <v>545 ml</v>
          </cell>
          <cell r="M646" t="str">
            <v>CSD PET</v>
          </cell>
          <cell r="N646" t="str">
            <v>Pepsi Cola</v>
          </cell>
          <cell r="V646" t="str">
            <v>07.10.2026</v>
          </cell>
          <cell r="W646">
            <v>46302</v>
          </cell>
        </row>
        <row r="647">
          <cell r="A647" t="str">
            <v>PEPSI MID CAL 640ML PET 12X 18B_110 Meal</v>
          </cell>
          <cell r="B647">
            <v>320023004</v>
          </cell>
          <cell r="C647" t="str">
            <v>PEPSI MID CAL 640ML PET 12X 18B_110 Meal</v>
          </cell>
          <cell r="D647">
            <v>22</v>
          </cell>
          <cell r="E647">
            <v>5</v>
          </cell>
          <cell r="F647">
            <v>110</v>
          </cell>
          <cell r="G647">
            <v>640</v>
          </cell>
          <cell r="H647">
            <v>12</v>
          </cell>
          <cell r="I647">
            <v>1.3525889397675237</v>
          </cell>
          <cell r="J647">
            <v>180</v>
          </cell>
          <cell r="K647" t="str">
            <v>PET 640</v>
          </cell>
          <cell r="L647" t="str">
            <v>640 ml</v>
          </cell>
          <cell r="M647" t="str">
            <v>CSD PET</v>
          </cell>
          <cell r="N647" t="str">
            <v>Pepsi Cola</v>
          </cell>
          <cell r="V647" t="str">
            <v>08.10.2026</v>
          </cell>
          <cell r="W647">
            <v>46303</v>
          </cell>
        </row>
        <row r="648">
          <cell r="A648" t="str">
            <v>BOSS NO SUGAR 220ML PET 24X_96_Sampling</v>
          </cell>
          <cell r="B648">
            <v>320023007</v>
          </cell>
          <cell r="C648" t="str">
            <v>BOSS NO SUGAR 220ML PET 24X_96_Sampling</v>
          </cell>
          <cell r="D648">
            <v>12</v>
          </cell>
          <cell r="E648">
            <v>8</v>
          </cell>
          <cell r="F648">
            <v>96</v>
          </cell>
          <cell r="G648">
            <v>220</v>
          </cell>
          <cell r="H648">
            <v>24</v>
          </cell>
          <cell r="I648">
            <v>0.92990489609017257</v>
          </cell>
          <cell r="J648">
            <v>365</v>
          </cell>
          <cell r="K648" t="str">
            <v>PET COFF 250</v>
          </cell>
          <cell r="L648" t="str">
            <v>220 ml</v>
          </cell>
          <cell r="M648" t="str">
            <v>NCB PET</v>
          </cell>
          <cell r="N648" t="str">
            <v>BOSS COFFEE</v>
          </cell>
          <cell r="V648" t="str">
            <v>09.10.2026</v>
          </cell>
          <cell r="W648">
            <v>46304</v>
          </cell>
        </row>
        <row r="649">
          <cell r="A649" t="str">
            <v>BOSS AMERICANO 220ML PET24X_96_Sampling</v>
          </cell>
          <cell r="B649">
            <v>320023008</v>
          </cell>
          <cell r="C649" t="str">
            <v>BOSS AMERICANO 220ML PET24X_96_Sampling</v>
          </cell>
          <cell r="D649">
            <v>12</v>
          </cell>
          <cell r="E649">
            <v>8</v>
          </cell>
          <cell r="F649">
            <v>96</v>
          </cell>
          <cell r="G649">
            <v>220</v>
          </cell>
          <cell r="H649">
            <v>24</v>
          </cell>
          <cell r="I649">
            <v>0.92990489609017257</v>
          </cell>
          <cell r="J649">
            <v>365</v>
          </cell>
          <cell r="K649" t="str">
            <v>PET COFF 250</v>
          </cell>
          <cell r="L649" t="str">
            <v>220 ml</v>
          </cell>
          <cell r="M649" t="str">
            <v>NCB PET</v>
          </cell>
          <cell r="N649" t="str">
            <v>BOSS COFFEE</v>
          </cell>
          <cell r="V649" t="str">
            <v>10.10.2026</v>
          </cell>
          <cell r="W649">
            <v>46305</v>
          </cell>
        </row>
        <row r="650">
          <cell r="A650" t="str">
            <v>PEPSI COLA MIDCAL 245ML CAN 24X TFM _144</v>
          </cell>
          <cell r="B650">
            <v>320022968</v>
          </cell>
          <cell r="C650" t="str">
            <v>PEPSI COLA MIDCAL 245ML CAN 24X TFM _144</v>
          </cell>
          <cell r="D650">
            <v>16</v>
          </cell>
          <cell r="E650">
            <v>9</v>
          </cell>
          <cell r="F650">
            <v>144</v>
          </cell>
          <cell r="G650">
            <v>245</v>
          </cell>
          <cell r="H650">
            <v>24</v>
          </cell>
          <cell r="I650">
            <v>1.0355759070095103</v>
          </cell>
          <cell r="J650">
            <v>270</v>
          </cell>
          <cell r="K650" t="str">
            <v>CAN 245</v>
          </cell>
          <cell r="L650" t="str">
            <v>245 ml</v>
          </cell>
          <cell r="M650" t="str">
            <v>CSD CAN</v>
          </cell>
          <cell r="N650" t="str">
            <v>Pepsi Cola</v>
          </cell>
          <cell r="V650" t="str">
            <v>11.10.2026</v>
          </cell>
          <cell r="W650">
            <v>46306</v>
          </cell>
        </row>
        <row r="651">
          <cell r="A651" t="str">
            <v>LIPTON ZA LEMON ZERO 445ML PET 24X_72</v>
          </cell>
          <cell r="B651">
            <v>320023009</v>
          </cell>
          <cell r="C651" t="str">
            <v>LIPTON ZA LEMON ZERO 445ML PET 24X_72</v>
          </cell>
          <cell r="D651">
            <v>12</v>
          </cell>
          <cell r="E651">
            <v>6</v>
          </cell>
          <cell r="F651">
            <v>72</v>
          </cell>
          <cell r="G651">
            <v>445</v>
          </cell>
          <cell r="H651">
            <v>24</v>
          </cell>
          <cell r="I651">
            <v>1.8809439943642128</v>
          </cell>
          <cell r="J651">
            <v>180</v>
          </cell>
          <cell r="K651" t="str">
            <v>PET AQ 450</v>
          </cell>
          <cell r="L651" t="str">
            <v>445 ml</v>
          </cell>
          <cell r="M651" t="str">
            <v>CSD PET</v>
          </cell>
          <cell r="N651" t="str">
            <v>Lipton</v>
          </cell>
          <cell r="V651" t="str">
            <v>12.10.2026</v>
          </cell>
          <cell r="W651">
            <v>46307</v>
          </cell>
        </row>
        <row r="652">
          <cell r="A652" t="str">
            <v>PEPSI MID CAL 1.26LPET12X STH27B_48 Meal</v>
          </cell>
          <cell r="B652">
            <v>320023010</v>
          </cell>
          <cell r="C652" t="str">
            <v>PEPSI MID CAL 1.26LPET12X STH27B_48 Meal</v>
          </cell>
          <cell r="D652">
            <v>12</v>
          </cell>
          <cell r="E652">
            <v>4</v>
          </cell>
          <cell r="F652">
            <v>48</v>
          </cell>
          <cell r="G652">
            <v>1260</v>
          </cell>
          <cell r="H652">
            <v>12</v>
          </cell>
          <cell r="I652">
            <v>2.6629094751673126</v>
          </cell>
          <cell r="J652">
            <v>180</v>
          </cell>
          <cell r="K652" t="str">
            <v>PET 1250</v>
          </cell>
          <cell r="L652" t="str">
            <v>1260 ml</v>
          </cell>
          <cell r="M652" t="str">
            <v>CSD PET</v>
          </cell>
          <cell r="N652" t="str">
            <v>Pepsi Cola</v>
          </cell>
          <cell r="V652" t="str">
            <v>13.10.2026</v>
          </cell>
          <cell r="W652">
            <v>46308</v>
          </cell>
        </row>
        <row r="653">
          <cell r="A653" t="str">
            <v>PEPSI MID CAL 1.26L PET 12X 29B_48 Meal</v>
          </cell>
          <cell r="B653">
            <v>320023011</v>
          </cell>
          <cell r="C653" t="str">
            <v>PEPSI MID CAL 1.26L PET 12X 29B_48 Meal</v>
          </cell>
          <cell r="D653">
            <v>12</v>
          </cell>
          <cell r="E653">
            <v>4</v>
          </cell>
          <cell r="F653">
            <v>48</v>
          </cell>
          <cell r="G653">
            <v>1260</v>
          </cell>
          <cell r="H653">
            <v>12</v>
          </cell>
          <cell r="I653">
            <v>2.6629094751673126</v>
          </cell>
          <cell r="J653">
            <v>180</v>
          </cell>
          <cell r="K653" t="str">
            <v>PET 1250</v>
          </cell>
          <cell r="L653" t="str">
            <v>1260 ml</v>
          </cell>
          <cell r="M653" t="str">
            <v>CSD PET</v>
          </cell>
          <cell r="N653" t="str">
            <v>Pepsi Cola</v>
          </cell>
          <cell r="V653" t="str">
            <v>14.10.2026</v>
          </cell>
          <cell r="W653">
            <v>46309</v>
          </cell>
        </row>
        <row r="654">
          <cell r="A654" t="str">
            <v>PEPSI MID CAL 1.26L PET 12X 29B_48</v>
          </cell>
          <cell r="B654">
            <v>320023012</v>
          </cell>
          <cell r="C654" t="str">
            <v>PEPSI MID CAL 1.26L PET 12X 29B_48</v>
          </cell>
          <cell r="D654">
            <v>12</v>
          </cell>
          <cell r="E654">
            <v>4</v>
          </cell>
          <cell r="F654">
            <v>48</v>
          </cell>
          <cell r="G654">
            <v>1260</v>
          </cell>
          <cell r="H654">
            <v>12</v>
          </cell>
          <cell r="I654">
            <v>2.6629094751673126</v>
          </cell>
          <cell r="J654">
            <v>180</v>
          </cell>
          <cell r="K654" t="str">
            <v>PET 1250</v>
          </cell>
          <cell r="L654" t="str">
            <v>1260 ml</v>
          </cell>
          <cell r="M654" t="str">
            <v>CSD PET</v>
          </cell>
          <cell r="N654" t="str">
            <v>Pepsi Cola</v>
          </cell>
          <cell r="V654" t="str">
            <v>15.10.2026</v>
          </cell>
          <cell r="W654">
            <v>46310</v>
          </cell>
        </row>
        <row r="655">
          <cell r="A655" t="str">
            <v>STING Strawberry 290ML SMP PET 24X_105</v>
          </cell>
          <cell r="B655">
            <v>320023014</v>
          </cell>
          <cell r="C655" t="str">
            <v>STING Strawberry 290ML SMP PET 24X_105</v>
          </cell>
          <cell r="D655">
            <v>15</v>
          </cell>
          <cell r="E655">
            <v>7</v>
          </cell>
          <cell r="F655">
            <v>105</v>
          </cell>
          <cell r="G655">
            <v>290</v>
          </cell>
          <cell r="H655">
            <v>24</v>
          </cell>
          <cell r="I655">
            <v>1.2257837266643183</v>
          </cell>
          <cell r="J655">
            <v>180</v>
          </cell>
          <cell r="K655" t="str">
            <v>PET MIXIT 300</v>
          </cell>
          <cell r="L655" t="str">
            <v>290 ml</v>
          </cell>
          <cell r="M655" t="str">
            <v>CSD PET</v>
          </cell>
          <cell r="N655" t="str">
            <v>STING</v>
          </cell>
          <cell r="V655" t="str">
            <v>16.10.2026</v>
          </cell>
          <cell r="W655">
            <v>46311</v>
          </cell>
        </row>
        <row r="656">
          <cell r="A656" t="str">
            <v>STING Original 290ML SMP PET 24X_105</v>
          </cell>
          <cell r="B656">
            <v>320023015</v>
          </cell>
          <cell r="C656" t="str">
            <v>STING Original 290ML SMP PET 24X_105</v>
          </cell>
          <cell r="D656">
            <v>15</v>
          </cell>
          <cell r="E656">
            <v>7</v>
          </cell>
          <cell r="F656">
            <v>105</v>
          </cell>
          <cell r="G656">
            <v>290</v>
          </cell>
          <cell r="H656">
            <v>24</v>
          </cell>
          <cell r="I656">
            <v>1.2257837266643183</v>
          </cell>
          <cell r="J656">
            <v>180</v>
          </cell>
          <cell r="K656" t="str">
            <v>PET MIXIT 300</v>
          </cell>
          <cell r="L656" t="str">
            <v>290 ml</v>
          </cell>
          <cell r="M656" t="str">
            <v>CSD PET</v>
          </cell>
          <cell r="N656" t="str">
            <v>STING</v>
          </cell>
          <cell r="V656" t="str">
            <v>17.10.2026</v>
          </cell>
          <cell r="W656">
            <v>46312</v>
          </cell>
        </row>
        <row r="657">
          <cell r="A657" t="str">
            <v>BOSS CARAMEL 220ML PET 24X_96_Sampling</v>
          </cell>
          <cell r="B657">
            <v>320023017</v>
          </cell>
          <cell r="C657" t="str">
            <v>BOSS CARAMEL 220ML PET 24X_96_Sampling</v>
          </cell>
          <cell r="D657">
            <v>12</v>
          </cell>
          <cell r="E657">
            <v>8</v>
          </cell>
          <cell r="F657">
            <v>96</v>
          </cell>
          <cell r="G657">
            <v>220</v>
          </cell>
          <cell r="H657">
            <v>24</v>
          </cell>
          <cell r="I657">
            <v>0.92990489609017257</v>
          </cell>
          <cell r="J657">
            <v>365</v>
          </cell>
          <cell r="K657" t="str">
            <v>PET COFF 250</v>
          </cell>
          <cell r="L657" t="str">
            <v>220 ml</v>
          </cell>
          <cell r="M657" t="str">
            <v>NCB PET</v>
          </cell>
          <cell r="N657" t="str">
            <v>BOSS COFFEE</v>
          </cell>
          <cell r="V657" t="str">
            <v>18.10.2026</v>
          </cell>
          <cell r="W657">
            <v>46313</v>
          </cell>
        </row>
        <row r="658">
          <cell r="A658" t="str">
            <v>7UP 330ML PET 24X_91</v>
          </cell>
          <cell r="B658">
            <v>320022500</v>
          </cell>
          <cell r="C658" t="str">
            <v>7UP 330ML PET 24X_91</v>
          </cell>
          <cell r="V658" t="str">
            <v>19.10.2026</v>
          </cell>
          <cell r="W658">
            <v>46314</v>
          </cell>
        </row>
        <row r="659">
          <cell r="A659" t="str">
            <v>ROCKSTAR NF1 325ML CAN 4X_104</v>
          </cell>
          <cell r="B659">
            <v>320022596</v>
          </cell>
          <cell r="C659" t="str">
            <v>ROCKSTAR NF1 325ML CAN 4X_104</v>
          </cell>
          <cell r="V659" t="str">
            <v>20.10.2026</v>
          </cell>
          <cell r="W659">
            <v>46315</v>
          </cell>
        </row>
        <row r="660">
          <cell r="A660" t="str">
            <v>ROCKSTAR NF2 325ML CAN 4X_104</v>
          </cell>
          <cell r="B660">
            <v>320022597</v>
          </cell>
          <cell r="C660" t="str">
            <v>ROCKSTAR NF2 325ML CAN 4X_104</v>
          </cell>
          <cell r="V660" t="str">
            <v>21.10.2026</v>
          </cell>
          <cell r="W660">
            <v>46316</v>
          </cell>
        </row>
        <row r="661">
          <cell r="A661" t="str">
            <v>MIRINDA ORANGE LS 325ML CAN 4X MP_104</v>
          </cell>
          <cell r="B661">
            <v>320022605</v>
          </cell>
          <cell r="C661" t="str">
            <v>MIRINDA ORANGE LS 325ML CAN 4X MP_104</v>
          </cell>
          <cell r="V661" t="str">
            <v>22.10.2026</v>
          </cell>
          <cell r="W661">
            <v>46317</v>
          </cell>
        </row>
        <row r="662">
          <cell r="A662" t="str">
            <v>MIRINDA GREEN LS 325ML CAN 4X MP_104</v>
          </cell>
          <cell r="B662">
            <v>320022609</v>
          </cell>
          <cell r="C662" t="str">
            <v>MIRINDA GREEN LS 325ML CAN 4X MP_104</v>
          </cell>
          <cell r="V662" t="str">
            <v>23.10.2026</v>
          </cell>
          <cell r="W662">
            <v>46318</v>
          </cell>
        </row>
        <row r="663">
          <cell r="A663" t="str">
            <v>MIRINDA STRWB LS 325ML CAN 4X MP_104</v>
          </cell>
          <cell r="B663">
            <v>320022613</v>
          </cell>
          <cell r="C663" t="str">
            <v>MIRINDA STRWB LS 325ML CAN 4X MP_104</v>
          </cell>
          <cell r="V663" t="str">
            <v>24.10.2026</v>
          </cell>
          <cell r="W663">
            <v>46319</v>
          </cell>
        </row>
        <row r="664">
          <cell r="A664" t="str">
            <v>COOLONELS GRAPE FLAVOR SYRUP BIB 10L</v>
          </cell>
          <cell r="B664">
            <v>320022628</v>
          </cell>
          <cell r="C664" t="str">
            <v>COOLONELS GRAPE FLAVOR SYRUP BIB 10L</v>
          </cell>
          <cell r="V664" t="str">
            <v>25.10.2026</v>
          </cell>
          <cell r="W664">
            <v>46320</v>
          </cell>
        </row>
        <row r="665">
          <cell r="A665" t="str">
            <v>COOLONELS APPLE FLAVOR SYRUP BIB 10L</v>
          </cell>
          <cell r="B665">
            <v>320022629</v>
          </cell>
          <cell r="C665" t="str">
            <v>COOLONELS APPLE FLAVOR SYRUP BIB 10L</v>
          </cell>
          <cell r="V665" t="str">
            <v>26.10.2026</v>
          </cell>
          <cell r="W665">
            <v>46321</v>
          </cell>
        </row>
        <row r="666">
          <cell r="A666" t="str">
            <v>MIRINDA ROOTBEER 245ML CAN 4X MP_64</v>
          </cell>
          <cell r="B666">
            <v>320022634</v>
          </cell>
          <cell r="C666" t="str">
            <v>MIRINDA ROOTBEER 245ML CAN 4X MP_64</v>
          </cell>
          <cell r="V666" t="str">
            <v>27.10.2026</v>
          </cell>
          <cell r="W666">
            <v>46322</v>
          </cell>
        </row>
        <row r="667">
          <cell r="A667" t="str">
            <v>PEPSI MAX 330ML PET BP 24X_91</v>
          </cell>
          <cell r="B667">
            <v>320022645</v>
          </cell>
          <cell r="C667" t="str">
            <v>PEPSI MAX 330ML PET BP 24X_91</v>
          </cell>
          <cell r="V667" t="str">
            <v>28.10.2026</v>
          </cell>
          <cell r="W667">
            <v>46323</v>
          </cell>
        </row>
        <row r="668">
          <cell r="A668" t="str">
            <v>MIRINDA SALT LEMON SODA 245MLCAN4X MP_64</v>
          </cell>
          <cell r="B668">
            <v>320022729</v>
          </cell>
          <cell r="C668" t="str">
            <v>MIRINDA SALT LEMON SODA 245MLCAN4X MP_64</v>
          </cell>
          <cell r="V668" t="str">
            <v>29.10.2026</v>
          </cell>
          <cell r="W668">
            <v>46324</v>
          </cell>
        </row>
        <row r="669">
          <cell r="A669" t="str">
            <v>TEA PLUS NO SUGAR 500ML PET24X_70_FC</v>
          </cell>
          <cell r="B669">
            <v>320022733</v>
          </cell>
          <cell r="C669" t="str">
            <v>TEA PLUS NO SUGAR 500ML PET24X_70_FC</v>
          </cell>
          <cell r="D669">
            <v>10</v>
          </cell>
          <cell r="E669">
            <v>7</v>
          </cell>
          <cell r="F669">
            <v>70</v>
          </cell>
          <cell r="G669">
            <v>500</v>
          </cell>
          <cell r="H669">
            <v>24</v>
          </cell>
          <cell r="I669">
            <v>2.1134202183867559</v>
          </cell>
          <cell r="J669">
            <v>365</v>
          </cell>
          <cell r="K669" t="str">
            <v>PET TEA+ 500</v>
          </cell>
          <cell r="L669" t="str">
            <v>500 ml</v>
          </cell>
          <cell r="M669" t="str">
            <v>NCB PET</v>
          </cell>
          <cell r="N669" t="str">
            <v>TEA PLUS</v>
          </cell>
          <cell r="V669" t="str">
            <v>30.10.2026</v>
          </cell>
          <cell r="W669">
            <v>46325</v>
          </cell>
        </row>
        <row r="670">
          <cell r="A670" t="str">
            <v>TEA PLUS TASTY 500ML PET 24X_70_FC</v>
          </cell>
          <cell r="B670">
            <v>320022734</v>
          </cell>
          <cell r="C670" t="str">
            <v>TEA PLUS TASTY 500ML PET 24X_70_FC</v>
          </cell>
          <cell r="D670">
            <v>10</v>
          </cell>
          <cell r="E670">
            <v>7</v>
          </cell>
          <cell r="F670">
            <v>70</v>
          </cell>
          <cell r="G670">
            <v>500</v>
          </cell>
          <cell r="H670">
            <v>24</v>
          </cell>
          <cell r="I670">
            <v>2.1134202183867559</v>
          </cell>
          <cell r="J670">
            <v>365</v>
          </cell>
          <cell r="K670" t="str">
            <v>PET TEA+ 500</v>
          </cell>
          <cell r="L670" t="str">
            <v>500 ml</v>
          </cell>
          <cell r="M670" t="str">
            <v>NCB PET</v>
          </cell>
          <cell r="N670" t="str">
            <v>TEA PLUS</v>
          </cell>
          <cell r="V670" t="str">
            <v>31.10.2026</v>
          </cell>
          <cell r="W670">
            <v>46326</v>
          </cell>
        </row>
        <row r="671">
          <cell r="A671" t="str">
            <v>GATORADE ORANGE NOSUGAR 490ML PET12X_114</v>
          </cell>
          <cell r="B671">
            <v>320022740</v>
          </cell>
          <cell r="C671" t="str">
            <v>GATORADE ORANGE NOSUGAR 490ML PET12X_114</v>
          </cell>
          <cell r="D671">
            <v>10</v>
          </cell>
          <cell r="E671">
            <v>7</v>
          </cell>
          <cell r="F671">
            <v>70</v>
          </cell>
          <cell r="G671">
            <v>490</v>
          </cell>
          <cell r="H671">
            <v>24</v>
          </cell>
          <cell r="I671">
            <v>2.0711518140190206</v>
          </cell>
          <cell r="J671">
            <v>365</v>
          </cell>
          <cell r="K671" t="str">
            <v>PET TEA+ 500</v>
          </cell>
          <cell r="L671" t="str">
            <v>490 ml</v>
          </cell>
          <cell r="M671" t="str">
            <v>NCB PET</v>
          </cell>
          <cell r="N671" t="str">
            <v>TEA PLUS</v>
          </cell>
          <cell r="V671" t="str">
            <v>01.11.2026</v>
          </cell>
          <cell r="W671">
            <v>46327</v>
          </cell>
        </row>
        <row r="672">
          <cell r="A672" t="str">
            <v>LIPTON GRAPEFRUIT 320ML PET12X_182</v>
          </cell>
          <cell r="B672">
            <v>320022742</v>
          </cell>
          <cell r="C672" t="str">
            <v>LIPTON GRAPEFRUIT 320ML PET12X_182</v>
          </cell>
          <cell r="V672" t="str">
            <v>02.11.2026</v>
          </cell>
          <cell r="W672">
            <v>46328</v>
          </cell>
        </row>
        <row r="673">
          <cell r="A673" t="str">
            <v>7UP FREE NF1 325ML CAN 4X MP_104</v>
          </cell>
          <cell r="B673">
            <v>320022749</v>
          </cell>
          <cell r="C673" t="str">
            <v>7UP FREE NF1 325ML CAN 4X MP_104</v>
          </cell>
          <cell r="V673" t="str">
            <v>03.11.2026</v>
          </cell>
          <cell r="W673">
            <v>46329</v>
          </cell>
        </row>
        <row r="674">
          <cell r="A674" t="str">
            <v>7UP FREE NF1 430ML PET 12X _150</v>
          </cell>
          <cell r="B674">
            <v>320022750</v>
          </cell>
          <cell r="C674" t="str">
            <v>7UP FREE NF1 430ML PET 12X _150</v>
          </cell>
          <cell r="V674" t="str">
            <v>04.11.2026</v>
          </cell>
          <cell r="W674">
            <v>46330</v>
          </cell>
        </row>
        <row r="675">
          <cell r="A675" t="str">
            <v>7UP FREE NF1 440ML PET 24X_72</v>
          </cell>
          <cell r="B675">
            <v>320022751</v>
          </cell>
          <cell r="C675" t="str">
            <v>7UP FREE NF1 440ML PET 24X_72</v>
          </cell>
          <cell r="V675" t="str">
            <v>05.11.2026</v>
          </cell>
          <cell r="W675">
            <v>46331</v>
          </cell>
        </row>
        <row r="676">
          <cell r="A676" t="str">
            <v>PEPSI NO SUGAR 990ML PET 12X 20B_70</v>
          </cell>
          <cell r="B676">
            <v>320022764</v>
          </cell>
          <cell r="C676" t="str">
            <v>PEPSI NO SUGAR 990ML PET 12X 20B_70</v>
          </cell>
          <cell r="V676" t="str">
            <v>06.11.2026</v>
          </cell>
          <cell r="W676">
            <v>46332</v>
          </cell>
        </row>
        <row r="677">
          <cell r="A677" t="str">
            <v>GATORADE NOSUGAR ORG 345ML10B PET12X_182</v>
          </cell>
          <cell r="B677">
            <v>320022823</v>
          </cell>
          <cell r="C677" t="str">
            <v>GATORADE NOSUGAR ORG 345ML10B PET12X_182</v>
          </cell>
          <cell r="V677" t="str">
            <v>07.11.2026</v>
          </cell>
          <cell r="W677">
            <v>46333</v>
          </cell>
        </row>
        <row r="678">
          <cell r="A678" t="str">
            <v>PEPSI NO SUGAR LIME 1.45L PET 12X_48</v>
          </cell>
          <cell r="B678">
            <v>320022829</v>
          </cell>
          <cell r="C678" t="str">
            <v>PEPSI NO SUGAR LIME 1.45L PET 12X_48</v>
          </cell>
          <cell r="D678">
            <v>12</v>
          </cell>
          <cell r="E678">
            <v>4</v>
          </cell>
          <cell r="F678">
            <v>48</v>
          </cell>
          <cell r="G678">
            <v>1450</v>
          </cell>
          <cell r="H678">
            <v>12</v>
          </cell>
          <cell r="I678">
            <v>3.0644593166607961</v>
          </cell>
          <cell r="J678">
            <v>180</v>
          </cell>
          <cell r="K678" t="str">
            <v>PET 1500</v>
          </cell>
          <cell r="L678" t="str">
            <v>1450 ml</v>
          </cell>
          <cell r="M678" t="str">
            <v>CSD PET</v>
          </cell>
          <cell r="N678" t="str">
            <v>PEPSI NO SUGAR</v>
          </cell>
          <cell r="V678" t="str">
            <v>08.11.2026</v>
          </cell>
          <cell r="W678">
            <v>46334</v>
          </cell>
        </row>
        <row r="679">
          <cell r="A679" t="str">
            <v>7UP No Sugar 330ML PET 24X_91</v>
          </cell>
          <cell r="B679">
            <v>320022831</v>
          </cell>
          <cell r="C679" t="str">
            <v>7UP No Sugar 330ML PET 24X_91</v>
          </cell>
          <cell r="V679" t="str">
            <v>09.11.2026</v>
          </cell>
          <cell r="W679">
            <v>46335</v>
          </cell>
        </row>
        <row r="680">
          <cell r="A680" t="str">
            <v>MIRINDA ORANGE 350ML PET 24X_102</v>
          </cell>
          <cell r="B680">
            <v>320022875</v>
          </cell>
          <cell r="C680" t="str">
            <v>MIRINDA ORANGE 350ML PET 24X_102</v>
          </cell>
          <cell r="V680" t="str">
            <v>10.11.2026</v>
          </cell>
          <cell r="W680">
            <v>46336</v>
          </cell>
        </row>
        <row r="681">
          <cell r="A681" t="str">
            <v>MIRINDA STRWB 350ML PET 24X_102</v>
          </cell>
          <cell r="B681">
            <v>320022876</v>
          </cell>
          <cell r="C681" t="str">
            <v>MIRINDA STRWB 350ML PET 24X_102</v>
          </cell>
          <cell r="V681" t="str">
            <v>11.11.2026</v>
          </cell>
          <cell r="W681">
            <v>46337</v>
          </cell>
        </row>
        <row r="682">
          <cell r="A682" t="str">
            <v>MIRINDA PINEAPPLE 345ML PET12X_192</v>
          </cell>
          <cell r="B682">
            <v>320022922</v>
          </cell>
          <cell r="C682" t="str">
            <v>MIRINDA PINEAPPLE 345ML PET12X_192</v>
          </cell>
          <cell r="D682">
            <v>32</v>
          </cell>
          <cell r="E682">
            <v>6</v>
          </cell>
          <cell r="F682">
            <v>192</v>
          </cell>
          <cell r="G682">
            <v>345</v>
          </cell>
          <cell r="H682">
            <v>12</v>
          </cell>
          <cell r="I682">
            <v>0.72912997534343083</v>
          </cell>
          <cell r="J682">
            <v>120</v>
          </cell>
          <cell r="K682" t="str">
            <v>PET 350 P12</v>
          </cell>
          <cell r="L682" t="str">
            <v>345ml</v>
          </cell>
          <cell r="M682" t="str">
            <v>CSD PET</v>
          </cell>
          <cell r="N682" t="str">
            <v>MRD PINEAPPLE</v>
          </cell>
          <cell r="V682" t="str">
            <v>12.11.2026</v>
          </cell>
          <cell r="W682">
            <v>46338</v>
          </cell>
        </row>
        <row r="683">
          <cell r="A683" t="str">
            <v>MIRINDA NF1 440ML PET24X_72</v>
          </cell>
          <cell r="B683">
            <v>320022923</v>
          </cell>
          <cell r="C683" t="str">
            <v>MIRINDA NF1 440ML PET24X_72</v>
          </cell>
          <cell r="V683" t="str">
            <v>13.11.2026</v>
          </cell>
          <cell r="W683">
            <v>46339</v>
          </cell>
        </row>
        <row r="684">
          <cell r="A684" t="str">
            <v>STING Strawberry 295ML PET 12X_174</v>
          </cell>
          <cell r="B684">
            <v>320022930</v>
          </cell>
          <cell r="C684" t="str">
            <v>STING Strawberry 295ML PET 12X_174</v>
          </cell>
          <cell r="D684">
            <v>29</v>
          </cell>
          <cell r="E684">
            <v>6</v>
          </cell>
          <cell r="F684">
            <v>174</v>
          </cell>
          <cell r="G684">
            <v>295</v>
          </cell>
          <cell r="H684">
            <v>12</v>
          </cell>
          <cell r="I684">
            <v>0.62345896442409299</v>
          </cell>
          <cell r="J684">
            <v>180</v>
          </cell>
          <cell r="K684" t="str">
            <v>PET MIXIT 300</v>
          </cell>
          <cell r="L684" t="str">
            <v>295 ml</v>
          </cell>
          <cell r="M684" t="str">
            <v>CSD PET</v>
          </cell>
          <cell r="N684" t="str">
            <v>STING</v>
          </cell>
          <cell r="V684" t="str">
            <v>14.11.2026</v>
          </cell>
          <cell r="W684">
            <v>46340</v>
          </cell>
        </row>
        <row r="685">
          <cell r="A685" t="str">
            <v>STING Original 295ML PET 12X_174</v>
          </cell>
          <cell r="B685">
            <v>320022931</v>
          </cell>
          <cell r="C685" t="str">
            <v>STING Original 295ML PET 12X_174</v>
          </cell>
          <cell r="D685">
            <v>29</v>
          </cell>
          <cell r="E685">
            <v>6</v>
          </cell>
          <cell r="F685">
            <v>174</v>
          </cell>
          <cell r="G685">
            <v>295</v>
          </cell>
          <cell r="H685">
            <v>12</v>
          </cell>
          <cell r="I685">
            <v>0.62345896442409299</v>
          </cell>
          <cell r="J685">
            <v>180</v>
          </cell>
          <cell r="K685" t="str">
            <v>PET MIXIT 300</v>
          </cell>
          <cell r="L685" t="str">
            <v>295 ml</v>
          </cell>
          <cell r="M685" t="str">
            <v>CSD PET</v>
          </cell>
          <cell r="N685" t="str">
            <v>STING</v>
          </cell>
          <cell r="V685" t="str">
            <v>15.11.2026</v>
          </cell>
          <cell r="W685">
            <v>46341</v>
          </cell>
        </row>
        <row r="686">
          <cell r="A686" t="str">
            <v>STING Strawberry 300ML PET 24X_105</v>
          </cell>
          <cell r="B686">
            <v>320022932</v>
          </cell>
          <cell r="C686" t="str">
            <v>STING Strawberry 300ML PET 24X_105</v>
          </cell>
          <cell r="D686">
            <v>15</v>
          </cell>
          <cell r="E686">
            <v>7</v>
          </cell>
          <cell r="F686">
            <v>105</v>
          </cell>
          <cell r="G686">
            <v>300</v>
          </cell>
          <cell r="H686">
            <v>24</v>
          </cell>
          <cell r="I686">
            <v>1.2680521310320536</v>
          </cell>
          <cell r="J686">
            <v>180</v>
          </cell>
          <cell r="K686" t="str">
            <v>PET MIXIT 300</v>
          </cell>
          <cell r="L686" t="str">
            <v>300 ml</v>
          </cell>
          <cell r="M686" t="str">
            <v>CSD PET</v>
          </cell>
          <cell r="N686" t="str">
            <v>STING</v>
          </cell>
          <cell r="V686" t="str">
            <v>16.11.2026</v>
          </cell>
          <cell r="W686">
            <v>46342</v>
          </cell>
        </row>
        <row r="687">
          <cell r="A687" t="str">
            <v>STING Original 300ML PET 24X_105</v>
          </cell>
          <cell r="B687">
            <v>320022933</v>
          </cell>
          <cell r="C687" t="str">
            <v>STING Original 300ML PET 24X_105</v>
          </cell>
          <cell r="D687">
            <v>15</v>
          </cell>
          <cell r="E687">
            <v>7</v>
          </cell>
          <cell r="F687">
            <v>105</v>
          </cell>
          <cell r="G687">
            <v>300</v>
          </cell>
          <cell r="H687">
            <v>24</v>
          </cell>
          <cell r="I687">
            <v>1.2680521310320536</v>
          </cell>
          <cell r="J687">
            <v>180</v>
          </cell>
          <cell r="K687" t="str">
            <v>PET MIXIT 300</v>
          </cell>
          <cell r="L687" t="str">
            <v>300 ml</v>
          </cell>
          <cell r="M687" t="str">
            <v>CSD PET</v>
          </cell>
          <cell r="N687" t="str">
            <v>STING</v>
          </cell>
          <cell r="V687" t="str">
            <v>17.11.2026</v>
          </cell>
          <cell r="W687">
            <v>46343</v>
          </cell>
        </row>
        <row r="688">
          <cell r="A688" t="str">
            <v>BRAND'S NF1 320ml PET 24X_91</v>
          </cell>
          <cell r="B688">
            <v>320022934</v>
          </cell>
          <cell r="C688" t="str">
            <v>BRAND'S NF1 320ml PET 24X_91</v>
          </cell>
          <cell r="V688" t="str">
            <v>18.11.2026</v>
          </cell>
          <cell r="W688">
            <v>46344</v>
          </cell>
        </row>
        <row r="689">
          <cell r="A689" t="str">
            <v>BRAND'S NF1 450ml PET 24X_91</v>
          </cell>
          <cell r="B689">
            <v>320022935</v>
          </cell>
          <cell r="C689" t="str">
            <v>BRAND'S NF1 450ml PET 24X_91</v>
          </cell>
          <cell r="V689" t="str">
            <v>19.11.2026</v>
          </cell>
          <cell r="W689">
            <v>46345</v>
          </cell>
        </row>
        <row r="690">
          <cell r="A690" t="str">
            <v>BRAND'S NF2 450ml PET 24X_91</v>
          </cell>
          <cell r="B690">
            <v>320022936</v>
          </cell>
          <cell r="C690" t="str">
            <v>BRAND'S NF2 450ml PET 24X_91</v>
          </cell>
          <cell r="V690" t="str">
            <v>20.11.2026</v>
          </cell>
          <cell r="W690">
            <v>46346</v>
          </cell>
        </row>
        <row r="691">
          <cell r="A691" t="str">
            <v>BRAND'S NF2 320ml PET 24X_91</v>
          </cell>
          <cell r="B691">
            <v>320022937</v>
          </cell>
          <cell r="C691" t="str">
            <v>BRAND'S NF2 320ml PET 24X_91</v>
          </cell>
          <cell r="V691" t="str">
            <v>21.11.2026</v>
          </cell>
          <cell r="W691">
            <v>46347</v>
          </cell>
        </row>
        <row r="692">
          <cell r="A692" t="str">
            <v>7UP No Sugar Lemon Soda 325MLCAN4XMP_104</v>
          </cell>
          <cell r="B692">
            <v>320022971</v>
          </cell>
          <cell r="C692" t="str">
            <v>7UP No Sugar Lemon Soda 325MLCAN4XMP_104</v>
          </cell>
          <cell r="D692">
            <v>13</v>
          </cell>
          <cell r="E692">
            <v>8</v>
          </cell>
          <cell r="F692">
            <v>104</v>
          </cell>
          <cell r="G692">
            <v>325</v>
          </cell>
          <cell r="H692">
            <v>24</v>
          </cell>
          <cell r="I692">
            <v>1.3737231419513913</v>
          </cell>
          <cell r="J692">
            <v>180</v>
          </cell>
          <cell r="K692" t="str">
            <v>CAN 330</v>
          </cell>
          <cell r="L692" t="str">
            <v>325 ml</v>
          </cell>
          <cell r="M692" t="str">
            <v>CSD CAN</v>
          </cell>
          <cell r="N692" t="str">
            <v>7-Up</v>
          </cell>
          <cell r="V692" t="str">
            <v>22.11.2026</v>
          </cell>
          <cell r="W692">
            <v>46348</v>
          </cell>
        </row>
        <row r="693">
          <cell r="A693" t="str">
            <v>MIRINDA ROOTBEER 325ML CAN 4X MP_104</v>
          </cell>
          <cell r="B693">
            <v>320022973</v>
          </cell>
          <cell r="C693" t="str">
            <v>MIRINDA ROOTBEER 325ML CAN 4X MP_104</v>
          </cell>
          <cell r="D693">
            <v>13</v>
          </cell>
          <cell r="E693">
            <v>8</v>
          </cell>
          <cell r="F693">
            <v>104</v>
          </cell>
          <cell r="G693">
            <v>325</v>
          </cell>
          <cell r="H693">
            <v>24</v>
          </cell>
          <cell r="I693">
            <v>1.3737231419513913</v>
          </cell>
          <cell r="J693">
            <v>270</v>
          </cell>
          <cell r="K693" t="str">
            <v>CAN 330</v>
          </cell>
          <cell r="L693" t="str">
            <v>325 ml</v>
          </cell>
          <cell r="M693" t="str">
            <v>CSD CAN</v>
          </cell>
          <cell r="N693" t="str">
            <v>MRD Rootbeer</v>
          </cell>
          <cell r="V693" t="str">
            <v>23.11.2026</v>
          </cell>
          <cell r="W693">
            <v>46349</v>
          </cell>
        </row>
        <row r="694">
          <cell r="A694" t="str">
            <v>PEPSI No Sugar Raspb 325ML CAN4XMP_104</v>
          </cell>
          <cell r="B694">
            <v>320022975</v>
          </cell>
          <cell r="C694" t="str">
            <v>PEPSI No Sugar Raspb 325ML CAN4XMP_104</v>
          </cell>
          <cell r="D694">
            <v>13</v>
          </cell>
          <cell r="E694">
            <v>8</v>
          </cell>
          <cell r="F694">
            <v>104</v>
          </cell>
          <cell r="G694">
            <v>325</v>
          </cell>
          <cell r="H694">
            <v>24</v>
          </cell>
          <cell r="I694">
            <v>1.3737231419513913</v>
          </cell>
          <cell r="J694">
            <v>180</v>
          </cell>
          <cell r="K694" t="str">
            <v>CAN 330</v>
          </cell>
          <cell r="L694" t="str">
            <v>325 ml</v>
          </cell>
          <cell r="M694" t="str">
            <v>CSD CAN</v>
          </cell>
          <cell r="N694" t="str">
            <v>PEPSI NO SUGAR</v>
          </cell>
          <cell r="V694" t="str">
            <v>24.11.2026</v>
          </cell>
          <cell r="W694">
            <v>46350</v>
          </cell>
        </row>
        <row r="695">
          <cell r="A695" t="str">
            <v>PEPSI No Sugar Raspb550ML PET24X_66 rPET</v>
          </cell>
          <cell r="B695">
            <v>320022976</v>
          </cell>
          <cell r="C695" t="str">
            <v>PEPSI No Sugar Raspb550ML PET24X_66 rPET</v>
          </cell>
          <cell r="D695">
            <v>11</v>
          </cell>
          <cell r="E695">
            <v>6</v>
          </cell>
          <cell r="F695">
            <v>66</v>
          </cell>
          <cell r="G695">
            <v>550</v>
          </cell>
          <cell r="H695">
            <v>24</v>
          </cell>
          <cell r="I695">
            <v>2.3199999999999998</v>
          </cell>
          <cell r="J695">
            <v>180</v>
          </cell>
          <cell r="K695" t="str">
            <v>PET 550</v>
          </cell>
          <cell r="L695" t="str">
            <v>550 ml</v>
          </cell>
          <cell r="M695" t="str">
            <v>CSD PET</v>
          </cell>
          <cell r="N695" t="str">
            <v>PEPSI NO SUGAR</v>
          </cell>
          <cell r="V695" t="str">
            <v>25.11.2026</v>
          </cell>
          <cell r="W695">
            <v>46351</v>
          </cell>
        </row>
        <row r="696">
          <cell r="A696" t="str">
            <v>MIRINDA ROOTBEER 345ML PET 12X_192 NEW</v>
          </cell>
          <cell r="B696">
            <v>320022977</v>
          </cell>
          <cell r="C696" t="str">
            <v>MIRINDA ROOTBEER 345ML PET 12X_192 NEW</v>
          </cell>
          <cell r="D696">
            <v>32</v>
          </cell>
          <cell r="E696">
            <v>6</v>
          </cell>
          <cell r="F696">
            <v>192</v>
          </cell>
          <cell r="G696">
            <v>345</v>
          </cell>
          <cell r="H696">
            <v>12</v>
          </cell>
          <cell r="I696">
            <v>0.72912997534343083</v>
          </cell>
          <cell r="J696">
            <v>120</v>
          </cell>
          <cell r="K696" t="str">
            <v>PET 350 P12</v>
          </cell>
          <cell r="L696" t="str">
            <v>345 ml</v>
          </cell>
          <cell r="M696" t="str">
            <v>CSD PET</v>
          </cell>
          <cell r="N696" t="str">
            <v>MRD Rootbeer</v>
          </cell>
          <cell r="V696" t="str">
            <v>26.11.2026</v>
          </cell>
          <cell r="W696">
            <v>46352</v>
          </cell>
        </row>
        <row r="697">
          <cell r="A697" t="str">
            <v>LIPTON ZA LEMON ZERO 325ML CAN 4XMP_104</v>
          </cell>
          <cell r="B697">
            <v>320022978</v>
          </cell>
          <cell r="C697" t="str">
            <v>LIPTON ZA LEMON ZERO 325ML CAN 4XMP_104</v>
          </cell>
          <cell r="D697">
            <v>13</v>
          </cell>
          <cell r="E697">
            <v>8</v>
          </cell>
          <cell r="F697">
            <v>104</v>
          </cell>
          <cell r="G697">
            <v>325</v>
          </cell>
          <cell r="H697">
            <v>24</v>
          </cell>
          <cell r="I697">
            <v>1.3737231419513913</v>
          </cell>
          <cell r="J697">
            <v>270</v>
          </cell>
          <cell r="K697" t="str">
            <v>CAN 330</v>
          </cell>
          <cell r="L697" t="str">
            <v>325 ml</v>
          </cell>
          <cell r="M697" t="str">
            <v>CSD CAN</v>
          </cell>
          <cell r="N697" t="str">
            <v>Lipton</v>
          </cell>
          <cell r="V697" t="str">
            <v>27.11.2026</v>
          </cell>
          <cell r="W697">
            <v>46353</v>
          </cell>
        </row>
        <row r="698">
          <cell r="A698" t="str">
            <v>PEPSI COLA MIDCAL SMP 235ml CAN 24X_144</v>
          </cell>
          <cell r="B698">
            <v>320022980</v>
          </cell>
          <cell r="C698" t="str">
            <v>PEPSI COLA MIDCAL SMP 235ml CAN 24X_144</v>
          </cell>
          <cell r="V698" t="str">
            <v>28.11.2026</v>
          </cell>
          <cell r="W698">
            <v>46354</v>
          </cell>
        </row>
        <row r="699">
          <cell r="A699" t="str">
            <v>LIPTON LEMON LS 950ML PET 12X_70</v>
          </cell>
          <cell r="B699">
            <v>320023019</v>
          </cell>
          <cell r="C699" t="str">
            <v>LIPTON LEMON LS 950ML PET 12X_70</v>
          </cell>
          <cell r="D699">
            <v>14</v>
          </cell>
          <cell r="E699">
            <v>5</v>
          </cell>
          <cell r="F699">
            <v>70</v>
          </cell>
          <cell r="G699">
            <v>950</v>
          </cell>
          <cell r="H699">
            <v>12</v>
          </cell>
          <cell r="I699">
            <v>2.0077492074674179</v>
          </cell>
          <cell r="J699">
            <v>270</v>
          </cell>
          <cell r="K699" t="str">
            <v>PET NCB 1000</v>
          </cell>
          <cell r="L699" t="str">
            <v>950ml</v>
          </cell>
          <cell r="M699" t="str">
            <v>NCB PET</v>
          </cell>
          <cell r="N699" t="str">
            <v>Lipton</v>
          </cell>
          <cell r="V699" t="str">
            <v>29.11.2026</v>
          </cell>
          <cell r="W699">
            <v>46355</v>
          </cell>
        </row>
        <row r="700">
          <cell r="A700" t="str">
            <v>GATORADE BLUE BLAST PET 500ML 12X_120</v>
          </cell>
          <cell r="B700">
            <v>320023020</v>
          </cell>
          <cell r="C700" t="str">
            <v>GATORADE BLUE BLAST PET 500ML 12X_120</v>
          </cell>
          <cell r="D700">
            <v>20</v>
          </cell>
          <cell r="E700">
            <v>6</v>
          </cell>
          <cell r="F700">
            <v>120</v>
          </cell>
          <cell r="G700">
            <v>500</v>
          </cell>
          <cell r="H700">
            <v>12</v>
          </cell>
          <cell r="I700">
            <v>1.0567101091933779</v>
          </cell>
          <cell r="J700">
            <v>365</v>
          </cell>
          <cell r="K700" t="str">
            <v>PET GTR 500 P12</v>
          </cell>
          <cell r="L700" t="str">
            <v>500ml</v>
          </cell>
          <cell r="M700" t="str">
            <v>NCB PET</v>
          </cell>
          <cell r="N700" t="str">
            <v>GATORADE</v>
          </cell>
          <cell r="V700" t="str">
            <v>30.11.2026</v>
          </cell>
          <cell r="W700">
            <v>46356</v>
          </cell>
        </row>
        <row r="701">
          <cell r="A701" t="str">
            <v>GATORADE LEMON PET 500ML 12X_120</v>
          </cell>
          <cell r="B701">
            <v>320023021</v>
          </cell>
          <cell r="C701" t="str">
            <v>GATORADE LEMON PET 500ML 12X_120</v>
          </cell>
          <cell r="D701">
            <v>20</v>
          </cell>
          <cell r="E701">
            <v>6</v>
          </cell>
          <cell r="F701">
            <v>120</v>
          </cell>
          <cell r="G701">
            <v>500</v>
          </cell>
          <cell r="H701">
            <v>12</v>
          </cell>
          <cell r="I701">
            <v>1.0567101091933779</v>
          </cell>
          <cell r="J701">
            <v>365</v>
          </cell>
          <cell r="K701" t="str">
            <v>PET GTR 500 P12</v>
          </cell>
          <cell r="L701" t="str">
            <v>500ml</v>
          </cell>
          <cell r="M701" t="str">
            <v>NCB PET</v>
          </cell>
          <cell r="N701" t="str">
            <v>GATORADE</v>
          </cell>
          <cell r="V701" t="str">
            <v>01.12.2026</v>
          </cell>
          <cell r="W701">
            <v>46357</v>
          </cell>
        </row>
        <row r="702">
          <cell r="A702" t="str">
            <v>PEPSI COLA MID CAL 340ML PET 24X_102</v>
          </cell>
          <cell r="B702">
            <v>320023022</v>
          </cell>
          <cell r="C702" t="str">
            <v>PEPSI COLA MID CAL 340ML PET 24X_102</v>
          </cell>
          <cell r="D702">
            <v>17</v>
          </cell>
          <cell r="E702">
            <v>6</v>
          </cell>
          <cell r="F702">
            <v>102</v>
          </cell>
          <cell r="G702">
            <v>340</v>
          </cell>
          <cell r="H702">
            <v>24</v>
          </cell>
          <cell r="I702">
            <v>1.437125748502994</v>
          </cell>
          <cell r="J702">
            <v>120</v>
          </cell>
          <cell r="K702" t="str">
            <v>PET 350 P24</v>
          </cell>
          <cell r="L702" t="str">
            <v>345 ml</v>
          </cell>
          <cell r="M702" t="str">
            <v>CSD PET</v>
          </cell>
          <cell r="N702" t="str">
            <v>Pepsi Cola</v>
          </cell>
          <cell r="V702" t="str">
            <v>02.12.2026</v>
          </cell>
          <cell r="W702">
            <v>46358</v>
          </cell>
        </row>
        <row r="703">
          <cell r="A703" t="str">
            <v>PEPSI MID CAL 1.45L PET 12X_48 Chesters</v>
          </cell>
          <cell r="B703">
            <v>320023023</v>
          </cell>
          <cell r="C703" t="str">
            <v>PEPSI MID CAL 1.45L PET 12X_48 Chesters</v>
          </cell>
          <cell r="D703">
            <v>12</v>
          </cell>
          <cell r="E703">
            <v>4</v>
          </cell>
          <cell r="F703">
            <v>48</v>
          </cell>
          <cell r="G703">
            <v>1450</v>
          </cell>
          <cell r="H703">
            <v>12</v>
          </cell>
          <cell r="I703">
            <v>3.0644593166607961</v>
          </cell>
          <cell r="J703">
            <v>180</v>
          </cell>
          <cell r="K703" t="str">
            <v>PET 1500</v>
          </cell>
          <cell r="L703" t="str">
            <v>1450 ml</v>
          </cell>
          <cell r="M703" t="str">
            <v>CSD PET</v>
          </cell>
          <cell r="N703" t="str">
            <v>Pepsi Cola</v>
          </cell>
          <cell r="V703" t="str">
            <v>03.12.2026</v>
          </cell>
          <cell r="W703">
            <v>46359</v>
          </cell>
        </row>
        <row r="704">
          <cell r="A704" t="str">
            <v>MIRINDA ORANGE 430ML PET 12X_150</v>
          </cell>
          <cell r="B704">
            <v>320023018</v>
          </cell>
          <cell r="C704" t="str">
            <v>MIRINDA ORANGE 430ML PET 12X_150</v>
          </cell>
          <cell r="D704">
            <v>30</v>
          </cell>
          <cell r="E704">
            <v>5</v>
          </cell>
          <cell r="F704">
            <v>150</v>
          </cell>
          <cell r="G704">
            <v>430</v>
          </cell>
          <cell r="H704">
            <v>12</v>
          </cell>
          <cell r="I704">
            <v>0.90877069390630505</v>
          </cell>
          <cell r="J704">
            <v>180</v>
          </cell>
          <cell r="K704" t="str">
            <v>PET 430 P12</v>
          </cell>
          <cell r="L704" t="str">
            <v>430ml</v>
          </cell>
          <cell r="M704" t="str">
            <v>CSD PET</v>
          </cell>
          <cell r="N704" t="str">
            <v>MRD Orange</v>
          </cell>
          <cell r="V704" t="str">
            <v>04.12.2026</v>
          </cell>
          <cell r="W704">
            <v>46360</v>
          </cell>
        </row>
        <row r="705">
          <cell r="A705" t="str">
            <v>PEPSI No Sugar Raspb 345ML PET 12X_192</v>
          </cell>
          <cell r="B705">
            <v>320023024</v>
          </cell>
          <cell r="C705" t="str">
            <v>PEPSI No Sugar Raspb 345ML PET 12X_192</v>
          </cell>
          <cell r="D705">
            <v>32</v>
          </cell>
          <cell r="E705">
            <v>6</v>
          </cell>
          <cell r="F705">
            <v>192</v>
          </cell>
          <cell r="G705">
            <v>345</v>
          </cell>
          <cell r="H705">
            <v>12</v>
          </cell>
          <cell r="I705">
            <v>0.72912997534343083</v>
          </cell>
          <cell r="J705">
            <v>120</v>
          </cell>
          <cell r="K705" t="str">
            <v>PET 350 P12</v>
          </cell>
          <cell r="L705" t="str">
            <v>345 ml</v>
          </cell>
          <cell r="M705" t="str">
            <v>CSD PET</v>
          </cell>
          <cell r="N705" t="str">
            <v>PEPSI NO SUGAR</v>
          </cell>
          <cell r="V705" t="str">
            <v>05.12.2026</v>
          </cell>
          <cell r="W705">
            <v>46361</v>
          </cell>
        </row>
        <row r="706">
          <cell r="A706" t="str">
            <v>V Energy Blue 250ML CAN 24X_112 EXP</v>
          </cell>
          <cell r="B706">
            <v>320022986</v>
          </cell>
          <cell r="C706" t="str">
            <v>V Energy Blue 250ML CAN 24X_112 EXP</v>
          </cell>
          <cell r="D706">
            <v>16</v>
          </cell>
          <cell r="E706">
            <v>8</v>
          </cell>
          <cell r="F706">
            <v>128</v>
          </cell>
          <cell r="G706">
            <v>250</v>
          </cell>
          <cell r="H706">
            <v>24</v>
          </cell>
          <cell r="I706">
            <v>1.0567101091933779</v>
          </cell>
          <cell r="J706">
            <v>365</v>
          </cell>
          <cell r="K706" t="str">
            <v>CAN 250</v>
          </cell>
          <cell r="L706" t="str">
            <v>250 ml</v>
          </cell>
          <cell r="M706" t="str">
            <v>CSD CAN</v>
          </cell>
          <cell r="N706" t="str">
            <v>V ENERGY</v>
          </cell>
          <cell r="V706" t="str">
            <v>06.12.2026</v>
          </cell>
          <cell r="W706">
            <v>46362</v>
          </cell>
        </row>
        <row r="707">
          <cell r="A707" t="str">
            <v>V Energy Green 250ML CAN 24X_128 EXP</v>
          </cell>
          <cell r="B707">
            <v>320022982</v>
          </cell>
          <cell r="C707" t="str">
            <v>V Energy Green 250ML CAN 24X_128 EXP</v>
          </cell>
          <cell r="D707">
            <v>16</v>
          </cell>
          <cell r="E707">
            <v>8</v>
          </cell>
          <cell r="F707">
            <v>128</v>
          </cell>
          <cell r="G707">
            <v>250</v>
          </cell>
          <cell r="H707">
            <v>24</v>
          </cell>
          <cell r="I707">
            <v>1.0567101091933779</v>
          </cell>
          <cell r="J707">
            <v>545</v>
          </cell>
          <cell r="K707" t="str">
            <v>CAN 250</v>
          </cell>
          <cell r="L707" t="str">
            <v>250 ml</v>
          </cell>
          <cell r="M707" t="str">
            <v>CSD CAN</v>
          </cell>
          <cell r="N707" t="str">
            <v>V ENERGY</v>
          </cell>
          <cell r="V707" t="str">
            <v>07.12.2026</v>
          </cell>
          <cell r="W707">
            <v>46363</v>
          </cell>
        </row>
        <row r="708">
          <cell r="A708" t="str">
            <v>7UP No Sugar Lemon Soda 240MLCAN 24X_144</v>
          </cell>
          <cell r="B708">
            <v>320023068</v>
          </cell>
          <cell r="C708" t="str">
            <v>7UP No Sugar Lemon Soda 240MLCAN 24X_144</v>
          </cell>
          <cell r="D708">
            <v>16</v>
          </cell>
          <cell r="E708">
            <v>9</v>
          </cell>
          <cell r="F708">
            <v>144</v>
          </cell>
          <cell r="G708">
            <v>240</v>
          </cell>
          <cell r="H708">
            <v>24</v>
          </cell>
          <cell r="I708">
            <v>1.0144417048256429</v>
          </cell>
          <cell r="J708">
            <v>180</v>
          </cell>
          <cell r="K708" t="str">
            <v>CAN 250</v>
          </cell>
          <cell r="L708" t="str">
            <v>240 ml</v>
          </cell>
          <cell r="M708" t="str">
            <v>CSD CAN</v>
          </cell>
          <cell r="N708" t="str">
            <v>7-Up</v>
          </cell>
          <cell r="V708" t="str">
            <v>08.12.2026</v>
          </cell>
          <cell r="W708">
            <v>46364</v>
          </cell>
        </row>
        <row r="709">
          <cell r="A709" t="str">
            <v>TEA PLUS NO SUGAR 500ML 4XMP_70_rPET</v>
          </cell>
          <cell r="B709">
            <v>320023120</v>
          </cell>
          <cell r="C709" t="str">
            <v>TEA PLUS NO SUGAR 500ML 4XMP_70_rPET</v>
          </cell>
          <cell r="D709">
            <v>10</v>
          </cell>
          <cell r="E709">
            <v>7</v>
          </cell>
          <cell r="F709">
            <v>70</v>
          </cell>
          <cell r="G709">
            <v>500</v>
          </cell>
          <cell r="H709">
            <v>24</v>
          </cell>
          <cell r="I709">
            <v>2.1134202183867559</v>
          </cell>
          <cell r="J709">
            <v>365</v>
          </cell>
          <cell r="K709" t="str">
            <v>PET TEA+ 500</v>
          </cell>
          <cell r="L709" t="str">
            <v>500 ml</v>
          </cell>
          <cell r="M709" t="str">
            <v>NCB PET</v>
          </cell>
          <cell r="N709" t="str">
            <v>TEA PLUS</v>
          </cell>
          <cell r="V709" t="str">
            <v>09.12.2026</v>
          </cell>
          <cell r="W709">
            <v>46365</v>
          </cell>
        </row>
        <row r="710">
          <cell r="A710" t="str">
            <v>TEA PLUS HONEY LEMON 500ML 4XMP_70_rPET</v>
          </cell>
          <cell r="B710">
            <v>320023066</v>
          </cell>
          <cell r="C710" t="str">
            <v>TEA PLUS HONEY LEMON 500ML 4XMP_70_rPET</v>
          </cell>
          <cell r="D710">
            <v>10</v>
          </cell>
          <cell r="E710">
            <v>7</v>
          </cell>
          <cell r="F710">
            <v>70</v>
          </cell>
          <cell r="G710">
            <v>500</v>
          </cell>
          <cell r="H710">
            <v>24</v>
          </cell>
          <cell r="I710">
            <v>2.1134202183867559</v>
          </cell>
          <cell r="J710">
            <v>365</v>
          </cell>
          <cell r="K710" t="str">
            <v>PET TEA+ 500</v>
          </cell>
          <cell r="L710" t="str">
            <v>500 ml</v>
          </cell>
          <cell r="M710" t="str">
            <v>NCB PET</v>
          </cell>
          <cell r="N710" t="str">
            <v>TEA PLUS</v>
          </cell>
          <cell r="V710" t="str">
            <v>10.12.2026</v>
          </cell>
          <cell r="W710">
            <v>46366</v>
          </cell>
        </row>
        <row r="711">
          <cell r="A711" t="str">
            <v>TEA PLUS TASTY 500ML 4XMP_70_rPET</v>
          </cell>
          <cell r="B711">
            <v>320023065</v>
          </cell>
          <cell r="C711" t="str">
            <v>TEA PLUS TASTY 500ML 4XMP_70_rPET</v>
          </cell>
          <cell r="D711">
            <v>10</v>
          </cell>
          <cell r="E711">
            <v>7</v>
          </cell>
          <cell r="F711">
            <v>70</v>
          </cell>
          <cell r="G711">
            <v>500</v>
          </cell>
          <cell r="H711">
            <v>24</v>
          </cell>
          <cell r="I711">
            <v>2.1134202183867559</v>
          </cell>
          <cell r="J711">
            <v>365</v>
          </cell>
          <cell r="K711" t="str">
            <v>PET TEA+ 500</v>
          </cell>
          <cell r="L711" t="str">
            <v>500 ml</v>
          </cell>
          <cell r="M711" t="str">
            <v>NCB PET</v>
          </cell>
          <cell r="N711" t="str">
            <v>TEA PLUS</v>
          </cell>
          <cell r="V711" t="str">
            <v>11.12.2026</v>
          </cell>
          <cell r="W711">
            <v>46367</v>
          </cell>
        </row>
        <row r="712">
          <cell r="A712" t="str">
            <v>PEPSI COLA MID CAL 999ML PET12X_70</v>
          </cell>
          <cell r="B712">
            <v>320022638</v>
          </cell>
          <cell r="C712" t="str">
            <v>PEPSI COLA MID CAL 999ML PET12X_70</v>
          </cell>
          <cell r="D712">
            <v>14</v>
          </cell>
          <cell r="E712">
            <v>5</v>
          </cell>
          <cell r="F712">
            <v>70</v>
          </cell>
          <cell r="G712">
            <v>999</v>
          </cell>
          <cell r="H712">
            <v>12</v>
          </cell>
          <cell r="I712">
            <v>2.1113067981683691</v>
          </cell>
          <cell r="J712">
            <v>180</v>
          </cell>
          <cell r="K712" t="str">
            <v>PET 1000</v>
          </cell>
          <cell r="L712" t="str">
            <v>999 ml</v>
          </cell>
          <cell r="M712" t="str">
            <v>CSD PET</v>
          </cell>
          <cell r="N712" t="str">
            <v>Pepsi Cola</v>
          </cell>
          <cell r="V712" t="str">
            <v>12.12.2026</v>
          </cell>
          <cell r="W712">
            <v>46368</v>
          </cell>
        </row>
        <row r="713">
          <cell r="A713" t="str">
            <v>LIPTON LEMON LS 10L BIB_New</v>
          </cell>
          <cell r="B713">
            <v>320023130</v>
          </cell>
          <cell r="C713" t="str">
            <v>LIPTON LEMON LS 10L BIB_New</v>
          </cell>
          <cell r="D713">
            <v>12</v>
          </cell>
          <cell r="E713">
            <v>4</v>
          </cell>
          <cell r="F713">
            <v>48</v>
          </cell>
          <cell r="G713">
            <v>10000</v>
          </cell>
          <cell r="H713">
            <v>5</v>
          </cell>
          <cell r="I713">
            <v>8.805917576611483</v>
          </cell>
          <cell r="J713">
            <v>180</v>
          </cell>
          <cell r="K713" t="str">
            <v>BIB NCB 10L</v>
          </cell>
          <cell r="L713" t="str">
            <v>10 L</v>
          </cell>
          <cell r="M713" t="str">
            <v>NCB PMX</v>
          </cell>
          <cell r="N713" t="str">
            <v>Lipton</v>
          </cell>
          <cell r="V713" t="str">
            <v>13.12.2026</v>
          </cell>
          <cell r="W713">
            <v>46369</v>
          </cell>
        </row>
        <row r="714">
          <cell r="A714" t="str">
            <v>BOSS CARAMEL 250ML PET 24X_96 EXP</v>
          </cell>
          <cell r="B714">
            <v>320023125</v>
          </cell>
          <cell r="C714" t="str">
            <v>BOSS CARAMEL 250ML PET 24X_96 EXP</v>
          </cell>
          <cell r="D714">
            <v>12</v>
          </cell>
          <cell r="E714">
            <v>8</v>
          </cell>
          <cell r="F714">
            <v>96</v>
          </cell>
          <cell r="G714">
            <v>250</v>
          </cell>
          <cell r="H714">
            <v>24</v>
          </cell>
          <cell r="I714">
            <v>1.0567101091933779</v>
          </cell>
          <cell r="J714">
            <v>365</v>
          </cell>
          <cell r="K714" t="str">
            <v>PET COFF 250</v>
          </cell>
          <cell r="L714" t="str">
            <v>250 ml</v>
          </cell>
          <cell r="M714" t="str">
            <v>NCB PET</v>
          </cell>
          <cell r="N714" t="str">
            <v>BOSS COFFEE</v>
          </cell>
          <cell r="V714" t="str">
            <v>14.12.2026</v>
          </cell>
          <cell r="W714">
            <v>46370</v>
          </cell>
        </row>
        <row r="715">
          <cell r="A715" t="str">
            <v>LIPTON ZA LEMON ZERO 330ML SMP PET24X_91</v>
          </cell>
          <cell r="B715">
            <v>320023118</v>
          </cell>
          <cell r="C715" t="str">
            <v>LIPTON ZA LEMON ZERO 330ML SMP PET24X_91</v>
          </cell>
          <cell r="D715">
            <v>13</v>
          </cell>
          <cell r="E715">
            <v>7</v>
          </cell>
          <cell r="F715">
            <v>91</v>
          </cell>
          <cell r="G715">
            <v>330</v>
          </cell>
          <cell r="H715">
            <v>24</v>
          </cell>
          <cell r="I715">
            <v>1.394857344135259</v>
          </cell>
          <cell r="J715">
            <v>120</v>
          </cell>
          <cell r="K715" t="str">
            <v>PET 350 P24</v>
          </cell>
          <cell r="L715" t="str">
            <v>330 ml</v>
          </cell>
          <cell r="M715" t="str">
            <v>CSD PET</v>
          </cell>
          <cell r="N715" t="str">
            <v>Lipton</v>
          </cell>
          <cell r="V715" t="str">
            <v>15.12.2026</v>
          </cell>
          <cell r="W715">
            <v>46371</v>
          </cell>
        </row>
        <row r="716">
          <cell r="A716" t="str">
            <v>TEA PLUS NO SUGAR 280ML PET 24X_104_RV2</v>
          </cell>
          <cell r="B716">
            <v>320023144</v>
          </cell>
          <cell r="C716" t="str">
            <v>TEA PLUS NO SUGAR 280ML PET 24X_104_RV2</v>
          </cell>
          <cell r="D716">
            <v>13</v>
          </cell>
          <cell r="E716">
            <v>8</v>
          </cell>
          <cell r="F716">
            <v>104</v>
          </cell>
          <cell r="G716">
            <v>280</v>
          </cell>
          <cell r="H716">
            <v>24</v>
          </cell>
          <cell r="I716">
            <v>1.1835153222965833</v>
          </cell>
          <cell r="J716">
            <v>365</v>
          </cell>
          <cell r="K716" t="str">
            <v>PET TEA+ 280</v>
          </cell>
          <cell r="L716" t="str">
            <v>280 ml</v>
          </cell>
          <cell r="M716" t="str">
            <v>NCB PET</v>
          </cell>
          <cell r="N716" t="str">
            <v>TEA PLUS</v>
          </cell>
          <cell r="V716" t="str">
            <v>16.12.2026</v>
          </cell>
          <cell r="W716">
            <v>46372</v>
          </cell>
        </row>
        <row r="717">
          <cell r="A717" t="str">
            <v>TEA PLUS NO SUGAR490ML 4XMP_70_rPET RV2</v>
          </cell>
          <cell r="B717">
            <v>320023143</v>
          </cell>
          <cell r="C717" t="str">
            <v>TEA PLUS NO SUGAR490ML 4XMP_70_rPET RV2</v>
          </cell>
          <cell r="D717">
            <v>10</v>
          </cell>
          <cell r="E717">
            <v>7</v>
          </cell>
          <cell r="F717">
            <v>70</v>
          </cell>
          <cell r="G717">
            <v>490</v>
          </cell>
          <cell r="H717">
            <v>24</v>
          </cell>
          <cell r="I717">
            <v>2.0711518140190206</v>
          </cell>
          <cell r="J717">
            <v>365</v>
          </cell>
          <cell r="K717" t="str">
            <v>PET TEA+ 500</v>
          </cell>
          <cell r="L717" t="str">
            <v>490 ml</v>
          </cell>
          <cell r="M717" t="str">
            <v>NCB PET</v>
          </cell>
          <cell r="N717" t="str">
            <v>TEA PLUS</v>
          </cell>
          <cell r="V717" t="str">
            <v>17.12.2026</v>
          </cell>
          <cell r="W717">
            <v>46373</v>
          </cell>
        </row>
        <row r="718">
          <cell r="A718" t="str">
            <v>TEA PLUS NO SUGAR 500ML 24X_70_rPET RV2</v>
          </cell>
          <cell r="B718">
            <v>320023141</v>
          </cell>
          <cell r="C718" t="str">
            <v>TEA PLUS NO SUGAR 500ML 24X_70_rPET RV2</v>
          </cell>
          <cell r="D718">
            <v>10</v>
          </cell>
          <cell r="E718">
            <v>7</v>
          </cell>
          <cell r="F718">
            <v>70</v>
          </cell>
          <cell r="G718">
            <v>500</v>
          </cell>
          <cell r="H718">
            <v>24</v>
          </cell>
          <cell r="I718">
            <v>2.1134202183867559</v>
          </cell>
          <cell r="J718">
            <v>365</v>
          </cell>
          <cell r="K718" t="str">
            <v>PET TEA+ 500</v>
          </cell>
          <cell r="L718" t="str">
            <v>500 ml</v>
          </cell>
          <cell r="M718" t="str">
            <v>NCB PET</v>
          </cell>
          <cell r="N718" t="str">
            <v>TEA PLUS</v>
          </cell>
          <cell r="V718" t="str">
            <v>18.12.2026</v>
          </cell>
          <cell r="W718">
            <v>46374</v>
          </cell>
        </row>
        <row r="719">
          <cell r="A719" t="str">
            <v>TEA PLUS NO SUGAR 500ML 4XMP_70_rPET RV2</v>
          </cell>
          <cell r="B719">
            <v>320023142</v>
          </cell>
          <cell r="C719" t="str">
            <v>TEA PLUS NO SUGAR 500ML 4XMP_70_rPET RV2</v>
          </cell>
          <cell r="D719">
            <v>10</v>
          </cell>
          <cell r="E719">
            <v>7</v>
          </cell>
          <cell r="F719">
            <v>70</v>
          </cell>
          <cell r="G719">
            <v>500</v>
          </cell>
          <cell r="H719">
            <v>24</v>
          </cell>
          <cell r="I719">
            <v>2.1134202183867559</v>
          </cell>
          <cell r="J719">
            <v>365</v>
          </cell>
          <cell r="K719" t="str">
            <v>PET TEA+ 500</v>
          </cell>
          <cell r="L719" t="str">
            <v>500 ml</v>
          </cell>
          <cell r="M719" t="str">
            <v>NCB PET</v>
          </cell>
          <cell r="N719" t="str">
            <v>TEA PLUS</v>
          </cell>
          <cell r="V719" t="str">
            <v>19.12.2026</v>
          </cell>
          <cell r="W719">
            <v>46375</v>
          </cell>
        </row>
        <row r="720">
          <cell r="A720" t="str">
            <v>TEA PLUS NO SUGAR 1L PET 6X_168_RV2</v>
          </cell>
          <cell r="B720">
            <v>320023140</v>
          </cell>
          <cell r="C720" t="str">
            <v>TEA PLUS NO SUGAR 1L PET 6X_168_RV2</v>
          </cell>
          <cell r="D720">
            <v>28</v>
          </cell>
          <cell r="E720">
            <v>6</v>
          </cell>
          <cell r="F720">
            <v>168</v>
          </cell>
          <cell r="G720">
            <v>1000</v>
          </cell>
          <cell r="H720">
            <v>6</v>
          </cell>
          <cell r="I720">
            <v>1.0567101091933779</v>
          </cell>
          <cell r="J720">
            <v>365</v>
          </cell>
          <cell r="K720" t="str">
            <v>PET TEA+ 1000</v>
          </cell>
          <cell r="L720" t="str">
            <v>1000 ml</v>
          </cell>
          <cell r="M720" t="str">
            <v>NCB PET</v>
          </cell>
          <cell r="N720" t="str">
            <v>TEA PLUS</v>
          </cell>
          <cell r="V720" t="str">
            <v>20.12.2026</v>
          </cell>
          <cell r="W720">
            <v>46376</v>
          </cell>
        </row>
        <row r="721">
          <cell r="A721" t="str">
            <v>TEA PLUS TASTY 280ML PET 24X_104_RV2</v>
          </cell>
          <cell r="B721">
            <v>320023148</v>
          </cell>
          <cell r="C721" t="str">
            <v>TEA PLUS TASTY 280ML PET 24X_104_RV2</v>
          </cell>
          <cell r="D721">
            <v>13</v>
          </cell>
          <cell r="E721">
            <v>8</v>
          </cell>
          <cell r="F721">
            <v>104</v>
          </cell>
          <cell r="G721">
            <v>280</v>
          </cell>
          <cell r="H721">
            <v>24</v>
          </cell>
          <cell r="I721">
            <v>1.1835153222965833</v>
          </cell>
          <cell r="J721">
            <v>365</v>
          </cell>
          <cell r="K721" t="str">
            <v>PET TEA+ 280</v>
          </cell>
          <cell r="L721" t="str">
            <v>280 ml</v>
          </cell>
          <cell r="M721" t="str">
            <v>NCB PET</v>
          </cell>
          <cell r="N721" t="str">
            <v>TEA PLUS</v>
          </cell>
          <cell r="V721" t="str">
            <v>21.12.2026</v>
          </cell>
          <cell r="W721">
            <v>46377</v>
          </cell>
        </row>
        <row r="722">
          <cell r="A722" t="str">
            <v>TEA PLUS TASTY 490ML 4X MP_70_rPET RV2</v>
          </cell>
          <cell r="B722">
            <v>320023147</v>
          </cell>
          <cell r="C722" t="str">
            <v>TEA PLUS TASTY 490ML 4X MP_70_rPET RV2</v>
          </cell>
          <cell r="D722">
            <v>10</v>
          </cell>
          <cell r="E722">
            <v>7</v>
          </cell>
          <cell r="F722">
            <v>70</v>
          </cell>
          <cell r="G722">
            <v>490</v>
          </cell>
          <cell r="H722">
            <v>24</v>
          </cell>
          <cell r="I722">
            <v>2.0711518140190206</v>
          </cell>
          <cell r="J722">
            <v>365</v>
          </cell>
          <cell r="K722" t="str">
            <v>PET TEA+ 500</v>
          </cell>
          <cell r="L722" t="str">
            <v>490 ml</v>
          </cell>
          <cell r="M722" t="str">
            <v>NCB PET</v>
          </cell>
          <cell r="N722" t="str">
            <v>TEA PLUS</v>
          </cell>
          <cell r="V722" t="str">
            <v>22.12.2026</v>
          </cell>
          <cell r="W722">
            <v>46378</v>
          </cell>
        </row>
        <row r="723">
          <cell r="A723" t="str">
            <v>TEA PLUS TASTY 500ML 24X_70_rPET RV2</v>
          </cell>
          <cell r="B723">
            <v>320023145</v>
          </cell>
          <cell r="C723" t="str">
            <v>TEA PLUS TASTY 500ML 24X_70_rPET RV2</v>
          </cell>
          <cell r="D723">
            <v>10</v>
          </cell>
          <cell r="E723">
            <v>7</v>
          </cell>
          <cell r="F723">
            <v>70</v>
          </cell>
          <cell r="G723">
            <v>500</v>
          </cell>
          <cell r="H723">
            <v>24</v>
          </cell>
          <cell r="I723">
            <v>2.1134202183867559</v>
          </cell>
          <cell r="J723">
            <v>365</v>
          </cell>
          <cell r="K723" t="str">
            <v>PET TEA+ 500</v>
          </cell>
          <cell r="L723" t="str">
            <v>500 ml</v>
          </cell>
          <cell r="M723" t="str">
            <v>NCB PET</v>
          </cell>
          <cell r="N723" t="str">
            <v>TEA PLUS</v>
          </cell>
          <cell r="V723" t="str">
            <v>23.12.2026</v>
          </cell>
          <cell r="W723">
            <v>46379</v>
          </cell>
        </row>
        <row r="724">
          <cell r="A724" t="str">
            <v>TEA PLUS TASTY 500ML 4XMP_70_rPET RV2</v>
          </cell>
          <cell r="B724">
            <v>320023146</v>
          </cell>
          <cell r="C724" t="str">
            <v>TEA PLUS TASTY 500ML 4XMP_70_rPET RV2</v>
          </cell>
          <cell r="D724">
            <v>10</v>
          </cell>
          <cell r="E724">
            <v>7</v>
          </cell>
          <cell r="F724">
            <v>70</v>
          </cell>
          <cell r="G724">
            <v>500</v>
          </cell>
          <cell r="H724">
            <v>24</v>
          </cell>
          <cell r="I724">
            <v>2.1134202183867559</v>
          </cell>
          <cell r="J724">
            <v>365</v>
          </cell>
          <cell r="K724" t="str">
            <v>PET TEA+ 500</v>
          </cell>
          <cell r="L724" t="str">
            <v>500 ml</v>
          </cell>
          <cell r="M724" t="str">
            <v>NCB PET</v>
          </cell>
          <cell r="N724" t="str">
            <v>TEA PLUS</v>
          </cell>
          <cell r="V724" t="str">
            <v>24.12.2026</v>
          </cell>
          <cell r="W724">
            <v>46380</v>
          </cell>
        </row>
        <row r="725">
          <cell r="A725" t="str">
            <v>TEA PLUS Barley Brown sugar 500 rPET</v>
          </cell>
          <cell r="B725">
            <v>320023108</v>
          </cell>
          <cell r="C725" t="str">
            <v>TEA PLUS Barley Brown sugar 500 rPET</v>
          </cell>
          <cell r="D725">
            <v>10</v>
          </cell>
          <cell r="E725">
            <v>7</v>
          </cell>
          <cell r="F725">
            <v>70</v>
          </cell>
          <cell r="G725">
            <v>490</v>
          </cell>
          <cell r="H725">
            <v>24</v>
          </cell>
          <cell r="I725">
            <v>2.0711518140190206</v>
          </cell>
          <cell r="J725">
            <v>365</v>
          </cell>
          <cell r="K725" t="str">
            <v>PET TEA+ 500</v>
          </cell>
          <cell r="L725" t="str">
            <v>490 ml</v>
          </cell>
          <cell r="M725" t="str">
            <v>NCB PET</v>
          </cell>
          <cell r="N725" t="str">
            <v>TEA PLUS</v>
          </cell>
          <cell r="V725" t="str">
            <v>25.12.2026</v>
          </cell>
          <cell r="W725">
            <v>46381</v>
          </cell>
        </row>
        <row r="726">
          <cell r="A726" t="str">
            <v>TEA PLUS BARLEY BROWN 280ML PET 24X_104</v>
          </cell>
          <cell r="B726">
            <v>320023122</v>
          </cell>
          <cell r="C726" t="str">
            <v>TEA PLUS BARLEY BROWN 280ML PET 24X_104</v>
          </cell>
          <cell r="D726">
            <v>13</v>
          </cell>
          <cell r="E726">
            <v>8</v>
          </cell>
          <cell r="F726">
            <v>104</v>
          </cell>
          <cell r="G726">
            <v>280</v>
          </cell>
          <cell r="H726">
            <v>24</v>
          </cell>
          <cell r="I726">
            <v>1.1835153222965833</v>
          </cell>
          <cell r="J726">
            <v>365</v>
          </cell>
          <cell r="K726" t="str">
            <v>PET TEA+ 280</v>
          </cell>
          <cell r="L726" t="str">
            <v>280 ml</v>
          </cell>
          <cell r="M726" t="str">
            <v>NCB PET</v>
          </cell>
          <cell r="N726" t="str">
            <v>TEA PLUS</v>
          </cell>
          <cell r="V726" t="str">
            <v>26.12.2026</v>
          </cell>
          <cell r="W726">
            <v>46382</v>
          </cell>
        </row>
        <row r="727">
          <cell r="A727" t="str">
            <v>PEPSI COLA MID CAL 1.45L PET 12X_48 rPET</v>
          </cell>
          <cell r="B727">
            <v>320023027</v>
          </cell>
          <cell r="C727" t="str">
            <v>PEPSI COLA MID CAL 1.45L PET 12X_48 rPET</v>
          </cell>
          <cell r="D727">
            <v>12</v>
          </cell>
          <cell r="E727">
            <v>4</v>
          </cell>
          <cell r="F727">
            <v>48</v>
          </cell>
          <cell r="G727">
            <v>1450</v>
          </cell>
          <cell r="H727">
            <v>12</v>
          </cell>
          <cell r="I727">
            <v>3.0644593166607961</v>
          </cell>
          <cell r="J727">
            <v>180</v>
          </cell>
          <cell r="K727" t="str">
            <v>PET 1500</v>
          </cell>
          <cell r="L727" t="str">
            <v>1450 ml</v>
          </cell>
          <cell r="M727" t="str">
            <v>CSD PET</v>
          </cell>
          <cell r="N727" t="str">
            <v>Pepsi Cola</v>
          </cell>
          <cell r="V727" t="str">
            <v>27.12.2026</v>
          </cell>
          <cell r="W727">
            <v>46383</v>
          </cell>
        </row>
        <row r="728">
          <cell r="A728" t="str">
            <v>PEPSI COLA MID CAL 545ML PET 12X _132</v>
          </cell>
          <cell r="B728">
            <v>320023124</v>
          </cell>
          <cell r="C728" t="str">
            <v>PEPSI COLA MID CAL 545ML PET 12X _132</v>
          </cell>
          <cell r="D728">
            <v>22</v>
          </cell>
          <cell r="E728">
            <v>6</v>
          </cell>
          <cell r="F728">
            <v>132</v>
          </cell>
          <cell r="G728">
            <v>545</v>
          </cell>
          <cell r="H728">
            <v>12</v>
          </cell>
          <cell r="I728">
            <v>1.151814019020782</v>
          </cell>
          <cell r="J728">
            <v>180</v>
          </cell>
          <cell r="K728" t="str">
            <v>PET 550</v>
          </cell>
          <cell r="L728" t="str">
            <v>545 ml</v>
          </cell>
          <cell r="M728" t="str">
            <v>CSD PET</v>
          </cell>
          <cell r="N728" t="str">
            <v>Pepsi Cola</v>
          </cell>
          <cell r="V728" t="str">
            <v>28.12.2026</v>
          </cell>
          <cell r="W728">
            <v>46384</v>
          </cell>
        </row>
        <row r="729">
          <cell r="A729" t="str">
            <v>PEPSI NO SUGAR 1.45L PET 12X_48 rPET</v>
          </cell>
          <cell r="B729">
            <v>320023028</v>
          </cell>
          <cell r="C729" t="str">
            <v>PEPSI NO SUGAR 1.45L PET 12X_48 rPET</v>
          </cell>
          <cell r="D729">
            <v>12</v>
          </cell>
          <cell r="E729">
            <v>4</v>
          </cell>
          <cell r="F729">
            <v>48</v>
          </cell>
          <cell r="G729">
            <v>1450</v>
          </cell>
          <cell r="H729">
            <v>12</v>
          </cell>
          <cell r="I729">
            <v>3.0644593166607961</v>
          </cell>
          <cell r="J729">
            <v>180</v>
          </cell>
          <cell r="K729" t="str">
            <v>PET 1500</v>
          </cell>
          <cell r="L729" t="str">
            <v>1450 ml</v>
          </cell>
          <cell r="M729" t="str">
            <v>CSD PET</v>
          </cell>
          <cell r="N729" t="str">
            <v>PEPSI NO SUGAR</v>
          </cell>
          <cell r="V729" t="str">
            <v>29.12.2026</v>
          </cell>
          <cell r="W729">
            <v>46385</v>
          </cell>
        </row>
        <row r="730">
          <cell r="A730" t="str">
            <v>PEPSI NO SUGAR 1.45L 12X_48 rPET POP</v>
          </cell>
          <cell r="B730">
            <v>320023127</v>
          </cell>
          <cell r="C730" t="str">
            <v>PEPSI NO SUGAR 1.45L 12X_48 rPET POP</v>
          </cell>
          <cell r="D730">
            <v>12</v>
          </cell>
          <cell r="E730">
            <v>4</v>
          </cell>
          <cell r="F730">
            <v>48</v>
          </cell>
          <cell r="G730">
            <v>1450</v>
          </cell>
          <cell r="H730">
            <v>12</v>
          </cell>
          <cell r="I730">
            <v>3.0644593166607961</v>
          </cell>
          <cell r="J730">
            <v>180</v>
          </cell>
          <cell r="K730" t="str">
            <v>PET 1500</v>
          </cell>
          <cell r="L730" t="str">
            <v>1450 ml</v>
          </cell>
          <cell r="M730" t="str">
            <v>CSD PET</v>
          </cell>
          <cell r="N730" t="str">
            <v>PEPSI NO SUGAR</v>
          </cell>
          <cell r="V730" t="str">
            <v>30.12.2026</v>
          </cell>
          <cell r="W730">
            <v>46386</v>
          </cell>
        </row>
        <row r="731">
          <cell r="A731" t="str">
            <v>PEPSI COLA LIME 1.45L PET 12X_48 rPET</v>
          </cell>
          <cell r="B731">
            <v>320023029</v>
          </cell>
          <cell r="C731" t="str">
            <v>PEPSI COLA LIME 1.45L PET 12X_48 rPET</v>
          </cell>
          <cell r="D731">
            <v>12</v>
          </cell>
          <cell r="E731">
            <v>4</v>
          </cell>
          <cell r="F731">
            <v>48</v>
          </cell>
          <cell r="G731">
            <v>1450</v>
          </cell>
          <cell r="H731">
            <v>12</v>
          </cell>
          <cell r="I731">
            <v>3.0644593166607961</v>
          </cell>
          <cell r="J731">
            <v>180</v>
          </cell>
          <cell r="K731" t="str">
            <v>PET 1500</v>
          </cell>
          <cell r="L731" t="str">
            <v>1450 ml</v>
          </cell>
          <cell r="M731" t="str">
            <v>CSD PET</v>
          </cell>
          <cell r="N731" t="str">
            <v>PEPSI LIME</v>
          </cell>
          <cell r="V731" t="str">
            <v>31.12.2026</v>
          </cell>
          <cell r="W731">
            <v>46387</v>
          </cell>
        </row>
        <row r="732">
          <cell r="A732" t="str">
            <v>Pepsi BIB 5L High Yield</v>
          </cell>
          <cell r="B732">
            <v>320023074</v>
          </cell>
          <cell r="C732" t="str">
            <v>Pepsi BIB 5L High Yield</v>
          </cell>
          <cell r="D732">
            <v>16</v>
          </cell>
          <cell r="E732">
            <v>4</v>
          </cell>
          <cell r="F732">
            <v>64</v>
          </cell>
          <cell r="G732">
            <v>5000</v>
          </cell>
          <cell r="H732">
            <v>9.5</v>
          </cell>
          <cell r="I732">
            <v>8.3656216977809095</v>
          </cell>
          <cell r="J732">
            <v>120</v>
          </cell>
          <cell r="K732" t="str">
            <v>BIB 5L</v>
          </cell>
          <cell r="L732" t="str">
            <v>5 L</v>
          </cell>
          <cell r="M732" t="str">
            <v>CSD PMX</v>
          </cell>
          <cell r="N732" t="str">
            <v>PEPSI NO SUGAR</v>
          </cell>
          <cell r="V732" t="str">
            <v>01.01.2027</v>
          </cell>
          <cell r="W732">
            <v>46388</v>
          </cell>
        </row>
        <row r="733">
          <cell r="A733" t="str">
            <v>PEPSI COLA MID CAL 545ML PET 12X 17B_132</v>
          </cell>
          <cell r="B733">
            <v>320023123</v>
          </cell>
          <cell r="C733" t="str">
            <v>PEPSI COLA MID CAL 545ML PET 12X 17B_132</v>
          </cell>
          <cell r="D733">
            <v>22</v>
          </cell>
          <cell r="E733">
            <v>6</v>
          </cell>
          <cell r="F733">
            <v>132</v>
          </cell>
          <cell r="G733">
            <v>545</v>
          </cell>
          <cell r="H733">
            <v>12</v>
          </cell>
          <cell r="I733">
            <v>1.151814019020782</v>
          </cell>
          <cell r="J733">
            <v>180</v>
          </cell>
          <cell r="K733" t="str">
            <v>PET 550</v>
          </cell>
          <cell r="L733" t="str">
            <v>545 ml</v>
          </cell>
          <cell r="M733" t="str">
            <v>CSD PET</v>
          </cell>
          <cell r="N733" t="str">
            <v>Pepsi Cola</v>
          </cell>
          <cell r="V733" t="str">
            <v>02.01.2027</v>
          </cell>
          <cell r="W733">
            <v>46389</v>
          </cell>
        </row>
        <row r="734">
          <cell r="A734" t="str">
            <v>7Up No Sugar BIB 5L</v>
          </cell>
          <cell r="B734">
            <v>320023086</v>
          </cell>
          <cell r="C734" t="str">
            <v>7Up No Sugar BIB 5L</v>
          </cell>
          <cell r="D734">
            <v>16</v>
          </cell>
          <cell r="E734">
            <v>4</v>
          </cell>
          <cell r="F734">
            <v>64</v>
          </cell>
          <cell r="G734">
            <v>5000</v>
          </cell>
          <cell r="H734">
            <v>6</v>
          </cell>
          <cell r="I734">
            <v>5.2835505459668894</v>
          </cell>
          <cell r="J734">
            <v>120</v>
          </cell>
          <cell r="K734" t="str">
            <v>BIB 5L</v>
          </cell>
          <cell r="L734" t="str">
            <v>5 L</v>
          </cell>
          <cell r="M734" t="str">
            <v>CSD PMX</v>
          </cell>
          <cell r="N734" t="str">
            <v>7-Up</v>
          </cell>
          <cell r="V734" t="str">
            <v>03.01.2027</v>
          </cell>
          <cell r="W734">
            <v>46390</v>
          </cell>
        </row>
        <row r="735">
          <cell r="A735" t="str">
            <v>TEA PLUS Barley Brown sugar 490 rPET</v>
          </cell>
          <cell r="B735">
            <v>320023107</v>
          </cell>
          <cell r="C735" t="str">
            <v>TEA PLUS Barley Brown sugar 490 rPET</v>
          </cell>
          <cell r="D735">
            <v>10</v>
          </cell>
          <cell r="E735">
            <v>7</v>
          </cell>
          <cell r="F735">
            <v>70</v>
          </cell>
          <cell r="G735">
            <v>490</v>
          </cell>
          <cell r="H735">
            <v>24</v>
          </cell>
          <cell r="I735">
            <v>2.0711518140190206</v>
          </cell>
          <cell r="J735">
            <v>365</v>
          </cell>
          <cell r="K735" t="str">
            <v>PET TEA+ 500</v>
          </cell>
          <cell r="L735" t="str">
            <v>490 ml</v>
          </cell>
          <cell r="M735" t="str">
            <v>NCB PET</v>
          </cell>
          <cell r="N735" t="str">
            <v>TEA PLUS</v>
          </cell>
          <cell r="V735" t="str">
            <v>04.01.2027</v>
          </cell>
          <cell r="W735">
            <v>46391</v>
          </cell>
        </row>
        <row r="736">
          <cell r="A736" t="str">
            <v>PEPSI COLA MID CAL 330ML PET 4X MP_91</v>
          </cell>
          <cell r="B736">
            <v>320023131</v>
          </cell>
          <cell r="C736" t="str">
            <v>PEPSI COLA MID CAL 330ML PET 4X MP_91</v>
          </cell>
          <cell r="D736">
            <v>13</v>
          </cell>
          <cell r="E736">
            <v>7</v>
          </cell>
          <cell r="F736">
            <v>91</v>
          </cell>
          <cell r="G736">
            <v>330</v>
          </cell>
          <cell r="H736">
            <v>24</v>
          </cell>
          <cell r="I736">
            <v>1.394857344135259</v>
          </cell>
          <cell r="J736">
            <v>120</v>
          </cell>
          <cell r="K736" t="str">
            <v>PET 350 P24</v>
          </cell>
          <cell r="L736" t="str">
            <v>330 ml</v>
          </cell>
          <cell r="M736" t="str">
            <v>CSD PET</v>
          </cell>
          <cell r="N736" t="str">
            <v>Pepsi Cola</v>
          </cell>
          <cell r="V736" t="str">
            <v>05.01.2027</v>
          </cell>
          <cell r="W736">
            <v>46392</v>
          </cell>
        </row>
        <row r="737">
          <cell r="A737" t="str">
            <v>PEPSI COLA MID CAL 330ML PET 24X_98 NP</v>
          </cell>
          <cell r="B737">
            <v>320023152</v>
          </cell>
          <cell r="C737" t="str">
            <v>PEPSI COLA MID CAL 330ML PET 24X_98 NP</v>
          </cell>
          <cell r="D737">
            <v>14</v>
          </cell>
          <cell r="E737">
            <v>7</v>
          </cell>
          <cell r="F737">
            <v>98</v>
          </cell>
          <cell r="G737">
            <v>330</v>
          </cell>
          <cell r="H737">
            <v>24</v>
          </cell>
          <cell r="I737">
            <v>1.394857344135259</v>
          </cell>
          <cell r="J737">
            <v>120</v>
          </cell>
          <cell r="K737" t="str">
            <v>PET 350 P24</v>
          </cell>
          <cell r="L737" t="str">
            <v>330 ml</v>
          </cell>
          <cell r="M737" t="str">
            <v>CSD PET</v>
          </cell>
          <cell r="N737" t="str">
            <v>Pepsi Cola</v>
          </cell>
          <cell r="V737" t="str">
            <v>06.01.2027</v>
          </cell>
          <cell r="W737">
            <v>46393</v>
          </cell>
        </row>
        <row r="738">
          <cell r="A738" t="str">
            <v>PEPSI NO SUGAR 330ML PET 24X_98 NP</v>
          </cell>
          <cell r="B738">
            <v>320023153</v>
          </cell>
          <cell r="C738" t="str">
            <v>PEPSI NO SUGAR 330ML PET 24X_98 NP</v>
          </cell>
          <cell r="D738">
            <v>14</v>
          </cell>
          <cell r="E738">
            <v>7</v>
          </cell>
          <cell r="F738">
            <v>98</v>
          </cell>
          <cell r="G738">
            <v>330</v>
          </cell>
          <cell r="H738">
            <v>24</v>
          </cell>
          <cell r="I738">
            <v>1.394857344135259</v>
          </cell>
          <cell r="J738">
            <v>120</v>
          </cell>
          <cell r="K738" t="str">
            <v>PET 350 P24</v>
          </cell>
          <cell r="L738" t="str">
            <v>330 ml</v>
          </cell>
          <cell r="M738" t="str">
            <v>CSD PET</v>
          </cell>
          <cell r="N738" t="str">
            <v>PEPSI NO SUGAR</v>
          </cell>
          <cell r="V738" t="str">
            <v>07.01.2027</v>
          </cell>
          <cell r="W738">
            <v>46394</v>
          </cell>
        </row>
        <row r="739">
          <cell r="A739" t="str">
            <v>MIRINDA STRWB LS 330ML PET 24X_98 NP</v>
          </cell>
          <cell r="B739">
            <v>320023151</v>
          </cell>
          <cell r="C739" t="str">
            <v>MIRINDA STRWB LS 330ML PET 24X_98 NP</v>
          </cell>
          <cell r="D739">
            <v>14</v>
          </cell>
          <cell r="E739">
            <v>7</v>
          </cell>
          <cell r="F739">
            <v>98</v>
          </cell>
          <cell r="G739">
            <v>330</v>
          </cell>
          <cell r="H739">
            <v>24</v>
          </cell>
          <cell r="I739">
            <v>1.394857344135259</v>
          </cell>
          <cell r="J739">
            <v>120</v>
          </cell>
          <cell r="K739" t="str">
            <v>PET 350 P24</v>
          </cell>
          <cell r="L739" t="str">
            <v>330 ml</v>
          </cell>
          <cell r="M739" t="str">
            <v>CSD PET</v>
          </cell>
          <cell r="N739" t="str">
            <v>MRD Strawberry</v>
          </cell>
          <cell r="V739" t="str">
            <v>08.01.2027</v>
          </cell>
          <cell r="W739">
            <v>46395</v>
          </cell>
        </row>
        <row r="740">
          <cell r="A740" t="str">
            <v>PEPSI NO SUGAR ELECTRIC 550ML PET 24X_66</v>
          </cell>
          <cell r="B740">
            <v>320023156</v>
          </cell>
          <cell r="C740" t="str">
            <v>PEPSI NO SUGAR ELECTRIC 550ML PET 24X_66</v>
          </cell>
          <cell r="D740">
            <v>11</v>
          </cell>
          <cell r="E740">
            <v>6</v>
          </cell>
          <cell r="F740">
            <v>66</v>
          </cell>
          <cell r="G740">
            <v>550</v>
          </cell>
          <cell r="H740">
            <v>24</v>
          </cell>
          <cell r="I740">
            <v>2.3247622402254313</v>
          </cell>
          <cell r="J740">
            <v>180</v>
          </cell>
          <cell r="K740" t="str">
            <v>PET 550</v>
          </cell>
          <cell r="L740" t="str">
            <v>550ml</v>
          </cell>
          <cell r="M740" t="str">
            <v>CSD PET</v>
          </cell>
          <cell r="N740" t="str">
            <v>PEPSI NO SUGAR</v>
          </cell>
          <cell r="V740" t="str">
            <v>09.01.2027</v>
          </cell>
          <cell r="W740">
            <v>46396</v>
          </cell>
        </row>
        <row r="741">
          <cell r="A741" t="str">
            <v>PEPSI NO SUGAR ELECTRIC 345ML PET12X_192</v>
          </cell>
          <cell r="B741">
            <v>320023157</v>
          </cell>
          <cell r="C741" t="str">
            <v>PEPSI NO SUGAR ELECTRIC 345ML PET12X_192</v>
          </cell>
          <cell r="D741">
            <v>32</v>
          </cell>
          <cell r="E741">
            <v>6</v>
          </cell>
          <cell r="F741">
            <v>192</v>
          </cell>
          <cell r="G741">
            <v>345</v>
          </cell>
          <cell r="H741">
            <v>12</v>
          </cell>
          <cell r="I741">
            <v>0.72912997534343083</v>
          </cell>
          <cell r="J741">
            <v>120</v>
          </cell>
          <cell r="K741" t="str">
            <v>PET 350 P12</v>
          </cell>
          <cell r="L741" t="str">
            <v>345 ml</v>
          </cell>
          <cell r="M741" t="str">
            <v>CSD PET</v>
          </cell>
          <cell r="N741" t="str">
            <v>PEPSI NO SUGAR</v>
          </cell>
          <cell r="V741" t="str">
            <v>10.01.2027</v>
          </cell>
          <cell r="W741">
            <v>46397</v>
          </cell>
        </row>
        <row r="742">
          <cell r="A742" t="str">
            <v>PEPSI NO SUGAR ELECTRIC 1.45L PET 12X_48</v>
          </cell>
          <cell r="B742">
            <v>320023158</v>
          </cell>
          <cell r="C742" t="str">
            <v>PEPSI NO SUGAR ELECTRIC 1.45L PET 12X_48</v>
          </cell>
          <cell r="D742">
            <v>12</v>
          </cell>
          <cell r="E742">
            <v>4</v>
          </cell>
          <cell r="F742">
            <v>48</v>
          </cell>
          <cell r="G742">
            <v>1450</v>
          </cell>
          <cell r="H742">
            <v>12</v>
          </cell>
          <cell r="I742">
            <v>3.0644593166607961</v>
          </cell>
          <cell r="J742">
            <v>180</v>
          </cell>
          <cell r="K742" t="str">
            <v>PET 1500</v>
          </cell>
          <cell r="L742" t="str">
            <v>1450 ml</v>
          </cell>
          <cell r="M742" t="str">
            <v>CSD PET</v>
          </cell>
          <cell r="N742" t="str">
            <v>PEPSI NO SUGAR</v>
          </cell>
          <cell r="V742" t="str">
            <v>11.01.2027</v>
          </cell>
          <cell r="W742">
            <v>46398</v>
          </cell>
        </row>
        <row r="743">
          <cell r="A743" t="str">
            <v>PEPSI NO SUGAR ELECTRIC 1L PET 12X_70</v>
          </cell>
          <cell r="B743">
            <v>320023159</v>
          </cell>
          <cell r="C743" t="str">
            <v>PEPSI NO SUGAR ELECTRIC 1L PET 12X_70</v>
          </cell>
          <cell r="D743">
            <v>14</v>
          </cell>
          <cell r="E743">
            <v>5</v>
          </cell>
          <cell r="F743">
            <v>70</v>
          </cell>
          <cell r="G743">
            <v>1000</v>
          </cell>
          <cell r="H743">
            <v>12</v>
          </cell>
          <cell r="I743">
            <v>2.1134202183867559</v>
          </cell>
          <cell r="J743">
            <v>180</v>
          </cell>
          <cell r="K743" t="str">
            <v>PET 1000</v>
          </cell>
          <cell r="L743" t="str">
            <v>1000 ml</v>
          </cell>
          <cell r="M743" t="str">
            <v>CSD PET</v>
          </cell>
          <cell r="N743" t="str">
            <v>PEPSI NO SUGAR</v>
          </cell>
          <cell r="V743" t="str">
            <v>12.01.2027</v>
          </cell>
          <cell r="W743">
            <v>46399</v>
          </cell>
        </row>
        <row r="744">
          <cell r="A744" t="str">
            <v>PEPSI COLA MID CAL 2L PET 6X_64</v>
          </cell>
          <cell r="B744">
            <v>320023178</v>
          </cell>
          <cell r="C744" t="str">
            <v>PEPSI COLA MID CAL 2L PET 6X_64</v>
          </cell>
          <cell r="D744">
            <v>16</v>
          </cell>
          <cell r="E744">
            <v>4</v>
          </cell>
          <cell r="F744">
            <v>64</v>
          </cell>
          <cell r="G744">
            <v>2000</v>
          </cell>
          <cell r="H744">
            <v>6</v>
          </cell>
          <cell r="I744">
            <v>2.1134202183867559</v>
          </cell>
          <cell r="J744">
            <v>180</v>
          </cell>
          <cell r="K744" t="str">
            <v>PET 2000</v>
          </cell>
          <cell r="L744" t="str">
            <v>2000 ml</v>
          </cell>
          <cell r="M744" t="str">
            <v>CSD PET</v>
          </cell>
          <cell r="N744" t="str">
            <v>Pepsi Cola</v>
          </cell>
          <cell r="V744" t="str">
            <v>13.01.2027</v>
          </cell>
          <cell r="W744">
            <v>46400</v>
          </cell>
        </row>
        <row r="745">
          <cell r="A745" t="str">
            <v>PEPSI COLA MID CAL 999ML PET12X_80 NP</v>
          </cell>
          <cell r="B745">
            <v>320023174</v>
          </cell>
          <cell r="C745" t="str">
            <v>PEPSI COLA MID CAL 999ML PET12X_80 NP</v>
          </cell>
          <cell r="D745">
            <v>16</v>
          </cell>
          <cell r="E745">
            <v>5</v>
          </cell>
          <cell r="F745">
            <v>80</v>
          </cell>
          <cell r="G745">
            <v>999</v>
          </cell>
          <cell r="H745">
            <v>12</v>
          </cell>
          <cell r="I745">
            <v>2.1113067981683691</v>
          </cell>
          <cell r="J745">
            <v>180</v>
          </cell>
          <cell r="K745" t="str">
            <v>PET 1000</v>
          </cell>
          <cell r="L745" t="str">
            <v>999 ml</v>
          </cell>
          <cell r="M745" t="str">
            <v>CSD PET</v>
          </cell>
          <cell r="N745" t="str">
            <v>Pepsi Cola</v>
          </cell>
          <cell r="V745" t="str">
            <v>14.01.2027</v>
          </cell>
          <cell r="W745">
            <v>46401</v>
          </cell>
        </row>
        <row r="746">
          <cell r="A746" t="str">
            <v>PEPSI COLA MIDCAL 1.26L PET 12X_60 L&amp;P</v>
          </cell>
          <cell r="B746">
            <v>320023226</v>
          </cell>
          <cell r="C746" t="str">
            <v>PEPSI COLA MIDCAL 1.26L PET 12X_60 L&amp;P</v>
          </cell>
          <cell r="D746">
            <v>12</v>
          </cell>
          <cell r="E746">
            <v>5</v>
          </cell>
          <cell r="F746">
            <v>60</v>
          </cell>
          <cell r="G746">
            <v>1260</v>
          </cell>
          <cell r="H746">
            <v>12</v>
          </cell>
          <cell r="I746">
            <v>2.6629094751673126</v>
          </cell>
          <cell r="J746">
            <v>180</v>
          </cell>
          <cell r="K746" t="str">
            <v>PET 1250</v>
          </cell>
          <cell r="L746" t="str">
            <v>1260 ml</v>
          </cell>
          <cell r="M746" t="str">
            <v>CSD PET</v>
          </cell>
          <cell r="N746" t="str">
            <v>Pepsi Cola</v>
          </cell>
          <cell r="V746" t="str">
            <v>15.01.2027</v>
          </cell>
          <cell r="W746">
            <v>46402</v>
          </cell>
        </row>
        <row r="747">
          <cell r="A747" t="str">
            <v>MIRINDA LEMONADE 10L BIB 1X</v>
          </cell>
          <cell r="B747">
            <v>320023132</v>
          </cell>
          <cell r="C747" t="str">
            <v>MIRINDA LEMONADE 10L BIB 1X</v>
          </cell>
          <cell r="D747">
            <v>12</v>
          </cell>
          <cell r="E747">
            <v>4</v>
          </cell>
          <cell r="F747">
            <v>48</v>
          </cell>
          <cell r="G747">
            <v>10000</v>
          </cell>
          <cell r="H747">
            <v>6</v>
          </cell>
          <cell r="I747">
            <v>10.567101091933779</v>
          </cell>
          <cell r="J747">
            <v>120</v>
          </cell>
          <cell r="K747" t="str">
            <v>BIB 10L</v>
          </cell>
          <cell r="L747" t="str">
            <v>10 L</v>
          </cell>
          <cell r="M747" t="str">
            <v>CSD PMX</v>
          </cell>
          <cell r="N747" t="str">
            <v>MRD Lemonade</v>
          </cell>
          <cell r="V747" t="str">
            <v>16.01.2027</v>
          </cell>
          <cell r="W747">
            <v>46403</v>
          </cell>
        </row>
        <row r="748">
          <cell r="A748" t="str">
            <v>PEPSI MID CAL HIGH YIELD 20L BIB 1X_36</v>
          </cell>
          <cell r="B748">
            <v>320023025</v>
          </cell>
          <cell r="C748" t="str">
            <v>PEPSI MID CAL HIGH YIELD 20L BIB 1X_36</v>
          </cell>
          <cell r="D748">
            <v>9</v>
          </cell>
          <cell r="E748">
            <v>4</v>
          </cell>
          <cell r="F748">
            <v>36</v>
          </cell>
          <cell r="G748">
            <v>20000</v>
          </cell>
          <cell r="H748">
            <v>9.5</v>
          </cell>
          <cell r="I748">
            <v>33.462486791123638</v>
          </cell>
          <cell r="J748">
            <v>180</v>
          </cell>
          <cell r="K748" t="str">
            <v>BIB 20L</v>
          </cell>
          <cell r="L748" t="str">
            <v>20 L</v>
          </cell>
          <cell r="M748" t="str">
            <v>CSD PMX</v>
          </cell>
          <cell r="N748" t="str">
            <v>Pepsi Cola</v>
          </cell>
          <cell r="V748" t="str">
            <v>17.01.2027</v>
          </cell>
          <cell r="W748">
            <v>46404</v>
          </cell>
        </row>
        <row r="749">
          <cell r="A749" t="str">
            <v>PEPSI COLA MIDCAL1.26L PET12X STH POP_60</v>
          </cell>
          <cell r="B749">
            <v>320023170</v>
          </cell>
          <cell r="C749" t="str">
            <v>PEPSI COLA MIDCAL1.26L PET12X STH POP_60</v>
          </cell>
          <cell r="D749">
            <v>12</v>
          </cell>
          <cell r="E749">
            <v>5</v>
          </cell>
          <cell r="F749">
            <v>60</v>
          </cell>
          <cell r="G749">
            <v>1260</v>
          </cell>
          <cell r="H749">
            <v>12</v>
          </cell>
          <cell r="I749">
            <v>2.6629094751673126</v>
          </cell>
          <cell r="J749">
            <v>180</v>
          </cell>
          <cell r="K749" t="str">
            <v>PET 1250</v>
          </cell>
          <cell r="L749" t="str">
            <v>1260 ml</v>
          </cell>
          <cell r="M749" t="str">
            <v>CSD PET</v>
          </cell>
          <cell r="N749" t="str">
            <v>Pepsi Cola</v>
          </cell>
          <cell r="V749" t="str">
            <v>18.01.2027</v>
          </cell>
          <cell r="W749">
            <v>46405</v>
          </cell>
        </row>
        <row r="750">
          <cell r="A750" t="str">
            <v>PEPSI COLA MIDCAL 1.25L PET 12X_48</v>
          </cell>
          <cell r="B750">
            <v>320023128</v>
          </cell>
          <cell r="C750" t="str">
            <v>PEPSI COLA MIDCAL 1.25L PET 12X_48</v>
          </cell>
          <cell r="D750">
            <v>12</v>
          </cell>
          <cell r="E750">
            <v>4</v>
          </cell>
          <cell r="F750">
            <v>48</v>
          </cell>
          <cell r="G750">
            <v>1250</v>
          </cell>
          <cell r="H750">
            <v>12</v>
          </cell>
          <cell r="I750">
            <v>2.6417752729834447</v>
          </cell>
          <cell r="J750">
            <v>180</v>
          </cell>
          <cell r="K750" t="str">
            <v>PET 1250</v>
          </cell>
          <cell r="L750" t="str">
            <v>1250 ml</v>
          </cell>
          <cell r="M750" t="str">
            <v>CSD PET</v>
          </cell>
          <cell r="N750" t="str">
            <v>Pepsi Cola</v>
          </cell>
          <cell r="V750" t="str">
            <v>19.01.2027</v>
          </cell>
          <cell r="W750">
            <v>46406</v>
          </cell>
        </row>
        <row r="751">
          <cell r="A751" t="str">
            <v>PEPSI COLA MID CAL 1.49L PET 12X_48 r</v>
          </cell>
          <cell r="B751">
            <v>320023262</v>
          </cell>
          <cell r="C751" t="str">
            <v>PEPSI COLA MID CAL 1.49L PET 12X_48 r</v>
          </cell>
          <cell r="D751">
            <v>12</v>
          </cell>
          <cell r="E751">
            <v>4</v>
          </cell>
          <cell r="F751">
            <v>48</v>
          </cell>
          <cell r="G751">
            <v>1490</v>
          </cell>
          <cell r="H751">
            <v>12</v>
          </cell>
          <cell r="I751">
            <v>3.1489961253962662</v>
          </cell>
          <cell r="J751">
            <v>180</v>
          </cell>
          <cell r="K751" t="str">
            <v>PET 1500</v>
          </cell>
          <cell r="L751" t="str">
            <v>1490 ml</v>
          </cell>
          <cell r="M751" t="str">
            <v>CSD PET</v>
          </cell>
          <cell r="N751" t="str">
            <v>Pepsi Cola</v>
          </cell>
          <cell r="V751" t="str">
            <v>20.01.2027</v>
          </cell>
          <cell r="W751">
            <v>46407</v>
          </cell>
        </row>
        <row r="752">
          <cell r="A752" t="str">
            <v>PEPSI COLA MID CAL 1.5L PET 12X_48 r</v>
          </cell>
          <cell r="B752">
            <v>320023263</v>
          </cell>
          <cell r="C752" t="str">
            <v>PEPSI COLA MID CAL 1.5L PET 12X_48 r</v>
          </cell>
          <cell r="D752">
            <v>12</v>
          </cell>
          <cell r="E752">
            <v>4</v>
          </cell>
          <cell r="F752">
            <v>48</v>
          </cell>
          <cell r="G752">
            <v>1500</v>
          </cell>
          <cell r="H752">
            <v>12</v>
          </cell>
          <cell r="I752">
            <v>3.170130327580134</v>
          </cell>
          <cell r="J752">
            <v>180</v>
          </cell>
          <cell r="K752" t="str">
            <v>PET 1500</v>
          </cell>
          <cell r="L752" t="str">
            <v>1500 ml</v>
          </cell>
          <cell r="M752" t="str">
            <v>CSD PET</v>
          </cell>
          <cell r="N752" t="str">
            <v>Pepsi Cola</v>
          </cell>
          <cell r="V752" t="str">
            <v>21.01.2027</v>
          </cell>
          <cell r="W752">
            <v>46408</v>
          </cell>
        </row>
        <row r="753">
          <cell r="A753" t="str">
            <v>LIPTON ZA LEMON ZERO 445ML PET 2X6_150</v>
          </cell>
          <cell r="B753">
            <v>320023179</v>
          </cell>
          <cell r="C753" t="str">
            <v>LIPTON ZA LEMON ZERO 445ML PET 2X6_150</v>
          </cell>
          <cell r="D753">
            <v>25</v>
          </cell>
          <cell r="E753">
            <v>6</v>
          </cell>
          <cell r="F753">
            <v>150</v>
          </cell>
          <cell r="G753">
            <v>445</v>
          </cell>
          <cell r="H753">
            <v>12</v>
          </cell>
          <cell r="I753">
            <v>0.94047199718210639</v>
          </cell>
          <cell r="J753">
            <v>180</v>
          </cell>
          <cell r="K753" t="str">
            <v>PET AQ 450</v>
          </cell>
          <cell r="L753" t="str">
            <v>445 ml</v>
          </cell>
          <cell r="M753" t="str">
            <v>CSD PET</v>
          </cell>
          <cell r="N753" t="str">
            <v>Lipton</v>
          </cell>
          <cell r="V753" t="str">
            <v>22.01.2027</v>
          </cell>
          <cell r="W753">
            <v>46409</v>
          </cell>
        </row>
        <row r="754">
          <cell r="A754" t="str">
            <v>PEPSI MIDCAL 1.26L PET12X STH POP_48</v>
          </cell>
          <cell r="B754">
            <v>320023285</v>
          </cell>
          <cell r="C754" t="str">
            <v>PEPSI MIDCAL 1.26L PET12X STH POP_48</v>
          </cell>
          <cell r="D754">
            <v>12</v>
          </cell>
          <cell r="E754">
            <v>4</v>
          </cell>
          <cell r="F754">
            <v>48</v>
          </cell>
          <cell r="G754">
            <v>1260</v>
          </cell>
          <cell r="H754">
            <v>12</v>
          </cell>
          <cell r="I754">
            <v>2.6629094751673126</v>
          </cell>
          <cell r="J754">
            <v>180</v>
          </cell>
          <cell r="K754" t="str">
            <v>PET 1250</v>
          </cell>
          <cell r="L754" t="str">
            <v>1260 ml</v>
          </cell>
          <cell r="M754" t="str">
            <v>CSD PET</v>
          </cell>
          <cell r="N754" t="str">
            <v>Pepsi Cola</v>
          </cell>
          <cell r="V754" t="str">
            <v>23.01.2027</v>
          </cell>
          <cell r="W754">
            <v>46410</v>
          </cell>
        </row>
        <row r="755">
          <cell r="A755" t="str">
            <v>BOSS YUZU BLACK 250ML PET 24X_96</v>
          </cell>
          <cell r="B755">
            <v>320023163</v>
          </cell>
          <cell r="C755" t="str">
            <v>BOSS YUZU BLACK 250ML PET 24X_96</v>
          </cell>
          <cell r="D755">
            <v>12</v>
          </cell>
          <cell r="E755">
            <v>8</v>
          </cell>
          <cell r="F755">
            <v>96</v>
          </cell>
          <cell r="G755">
            <v>250</v>
          </cell>
          <cell r="H755">
            <v>24</v>
          </cell>
          <cell r="I755">
            <v>1.0567101091933779</v>
          </cell>
          <cell r="J755">
            <v>365</v>
          </cell>
          <cell r="K755" t="str">
            <v>PET COFF 250</v>
          </cell>
          <cell r="L755" t="str">
            <v>250 ml</v>
          </cell>
          <cell r="M755" t="str">
            <v>NCB PET</v>
          </cell>
          <cell r="N755" t="str">
            <v>BOSS COFFEE</v>
          </cell>
          <cell r="V755" t="str">
            <v>24.01.2027</v>
          </cell>
          <cell r="W755">
            <v>46411</v>
          </cell>
        </row>
        <row r="756">
          <cell r="A756" t="str">
            <v>PEPSICOLA MID CAL 545MLPET24XNO POP_66 r</v>
          </cell>
          <cell r="B756">
            <v>320023221</v>
          </cell>
          <cell r="C756" t="str">
            <v>PEPSICOLA MID CAL 545MLPET24XNO POP_66 r</v>
          </cell>
          <cell r="D756">
            <v>11</v>
          </cell>
          <cell r="E756">
            <v>6</v>
          </cell>
          <cell r="F756">
            <v>66</v>
          </cell>
          <cell r="G756">
            <v>545</v>
          </cell>
          <cell r="H756">
            <v>24</v>
          </cell>
          <cell r="I756">
            <v>2.3036280380415639</v>
          </cell>
          <cell r="J756">
            <v>180</v>
          </cell>
          <cell r="K756" t="str">
            <v>PET 550</v>
          </cell>
          <cell r="L756" t="str">
            <v>545 ml</v>
          </cell>
          <cell r="M756" t="str">
            <v>CSD PET</v>
          </cell>
          <cell r="N756" t="str">
            <v>Pepsi Cola</v>
          </cell>
          <cell r="V756" t="str">
            <v>25.01.2027</v>
          </cell>
          <cell r="W756">
            <v>46412</v>
          </cell>
        </row>
        <row r="757">
          <cell r="A757" t="str">
            <v>PEPSICOLA MID CAL 545MLPET12X 17B_132 r</v>
          </cell>
          <cell r="B757">
            <v>320023222</v>
          </cell>
          <cell r="C757" t="str">
            <v>PEPSICOLA MID CAL 545MLPET12X 17B_132 r</v>
          </cell>
          <cell r="D757">
            <v>22</v>
          </cell>
          <cell r="E757">
            <v>6</v>
          </cell>
          <cell r="F757">
            <v>132</v>
          </cell>
          <cell r="G757">
            <v>545</v>
          </cell>
          <cell r="H757">
            <v>12</v>
          </cell>
          <cell r="I757">
            <v>1.151814019020782</v>
          </cell>
          <cell r="J757">
            <v>180</v>
          </cell>
          <cell r="K757" t="str">
            <v>PET 550</v>
          </cell>
          <cell r="L757" t="str">
            <v>545 ml</v>
          </cell>
          <cell r="M757" t="str">
            <v>CSD PET</v>
          </cell>
          <cell r="N757" t="str">
            <v>Pepsi Cola</v>
          </cell>
          <cell r="V757" t="str">
            <v>26.01.2027</v>
          </cell>
          <cell r="W757">
            <v>46413</v>
          </cell>
        </row>
        <row r="758">
          <cell r="A758" t="str">
            <v>LIPTON ZA BERRIES 445ML PET 24X_72</v>
          </cell>
          <cell r="B758">
            <v>320023084</v>
          </cell>
          <cell r="C758" t="str">
            <v>LIPTON ZA BERRIES 445ML PET 24X_72</v>
          </cell>
          <cell r="D758">
            <v>12</v>
          </cell>
          <cell r="E758">
            <v>6</v>
          </cell>
          <cell r="F758">
            <v>72</v>
          </cell>
          <cell r="G758">
            <v>445</v>
          </cell>
          <cell r="H758">
            <v>24</v>
          </cell>
          <cell r="I758">
            <v>1.8809439943642128</v>
          </cell>
          <cell r="J758">
            <v>180</v>
          </cell>
          <cell r="K758" t="str">
            <v>PET AQ 450</v>
          </cell>
          <cell r="L758" t="str">
            <v>445 ml</v>
          </cell>
          <cell r="M758" t="str">
            <v>CSD PET</v>
          </cell>
          <cell r="N758" t="str">
            <v>Lipton</v>
          </cell>
          <cell r="V758" t="str">
            <v>27.01.2027</v>
          </cell>
          <cell r="W758">
            <v>46414</v>
          </cell>
        </row>
        <row r="759">
          <cell r="A759" t="str">
            <v>LIPTON ZA BERRIES 325ML CAN 4XMP_104</v>
          </cell>
          <cell r="B759">
            <v>320023081</v>
          </cell>
          <cell r="C759" t="str">
            <v>LIPTON ZA BERRIES 325ML CAN 4XMP_104</v>
          </cell>
          <cell r="D759">
            <v>13</v>
          </cell>
          <cell r="E759">
            <v>8</v>
          </cell>
          <cell r="F759">
            <v>104</v>
          </cell>
          <cell r="G759">
            <v>325</v>
          </cell>
          <cell r="H759">
            <v>24</v>
          </cell>
          <cell r="I759">
            <v>1.3737231419513913</v>
          </cell>
          <cell r="J759">
            <v>270</v>
          </cell>
          <cell r="K759" t="str">
            <v>CAN 330</v>
          </cell>
          <cell r="L759" t="str">
            <v>325 ml</v>
          </cell>
          <cell r="M759" t="str">
            <v>CSD CAN</v>
          </cell>
          <cell r="N759" t="str">
            <v>Lipton</v>
          </cell>
          <cell r="V759" t="str">
            <v>28.01.2027</v>
          </cell>
          <cell r="W759">
            <v>46415</v>
          </cell>
        </row>
        <row r="760">
          <cell r="A760" t="str">
            <v>LIPTON ZA SUMMER FRUITS 445ML PET 24X_72</v>
          </cell>
          <cell r="B760">
            <v>320023190</v>
          </cell>
          <cell r="C760" t="str">
            <v>LIPTON ZA SUMMER FRUITS 445ML PET 24X_72</v>
          </cell>
          <cell r="D760">
            <v>12</v>
          </cell>
          <cell r="E760">
            <v>6</v>
          </cell>
          <cell r="F760">
            <v>72</v>
          </cell>
          <cell r="G760">
            <v>445</v>
          </cell>
          <cell r="H760">
            <v>24</v>
          </cell>
          <cell r="I760">
            <v>1.8809439943642128</v>
          </cell>
          <cell r="J760">
            <v>180</v>
          </cell>
          <cell r="K760" t="str">
            <v>PET AQ 450</v>
          </cell>
          <cell r="L760" t="str">
            <v>445 ml</v>
          </cell>
          <cell r="M760" t="str">
            <v>CSD PET</v>
          </cell>
          <cell r="N760" t="str">
            <v>Lipton</v>
          </cell>
          <cell r="V760" t="str">
            <v>29.01.2027</v>
          </cell>
          <cell r="W760">
            <v>46416</v>
          </cell>
        </row>
        <row r="761">
          <cell r="A761" t="str">
            <v>LIPTON ZA SUMMER 330ML SMP PET24X_91</v>
          </cell>
          <cell r="B761">
            <v>320023281</v>
          </cell>
          <cell r="C761" t="str">
            <v>LIPTON ZA SUMMER 330ML SMP PET24X_91</v>
          </cell>
          <cell r="D761">
            <v>13</v>
          </cell>
          <cell r="E761">
            <v>7</v>
          </cell>
          <cell r="F761">
            <v>91</v>
          </cell>
          <cell r="G761">
            <v>330</v>
          </cell>
          <cell r="H761">
            <v>24</v>
          </cell>
          <cell r="I761">
            <v>1.394857344135259</v>
          </cell>
          <cell r="J761">
            <v>120</v>
          </cell>
          <cell r="K761" t="str">
            <v>PET 350 P24</v>
          </cell>
          <cell r="L761" t="str">
            <v>330 ml</v>
          </cell>
          <cell r="M761" t="str">
            <v>CSD PET</v>
          </cell>
          <cell r="N761" t="str">
            <v>Lipton</v>
          </cell>
          <cell r="V761" t="str">
            <v>30.01.2027</v>
          </cell>
          <cell r="W761">
            <v>46417</v>
          </cell>
        </row>
        <row r="762">
          <cell r="A762" t="str">
            <v>LIPTON ZA BERRY 330ML SMP PET24X_91</v>
          </cell>
          <cell r="B762">
            <v>320023282</v>
          </cell>
          <cell r="C762" t="str">
            <v>LIPTON ZA BERRY 330ML SMP PET24X_91</v>
          </cell>
          <cell r="D762">
            <v>13</v>
          </cell>
          <cell r="E762">
            <v>7</v>
          </cell>
          <cell r="F762">
            <v>91</v>
          </cell>
          <cell r="G762">
            <v>330</v>
          </cell>
          <cell r="H762">
            <v>24</v>
          </cell>
          <cell r="I762">
            <v>1.394857344135259</v>
          </cell>
          <cell r="J762">
            <v>120</v>
          </cell>
          <cell r="K762" t="str">
            <v>PET 350 P24</v>
          </cell>
          <cell r="L762" t="str">
            <v>330 ml</v>
          </cell>
          <cell r="M762" t="str">
            <v>CSD PET</v>
          </cell>
          <cell r="N762" t="str">
            <v>Lipton</v>
          </cell>
          <cell r="V762" t="str">
            <v>31.01.2027</v>
          </cell>
          <cell r="W762">
            <v>46418</v>
          </cell>
        </row>
        <row r="763">
          <cell r="A763" t="str">
            <v>STING STRAWBERRY 245ML SMP</v>
          </cell>
          <cell r="B763">
            <v>320023302</v>
          </cell>
          <cell r="C763" t="str">
            <v>STING STRAWBERRY 245ML SMP</v>
          </cell>
          <cell r="D763">
            <v>15</v>
          </cell>
          <cell r="E763">
            <v>7</v>
          </cell>
          <cell r="F763">
            <v>105</v>
          </cell>
          <cell r="G763">
            <v>245</v>
          </cell>
          <cell r="H763">
            <v>24</v>
          </cell>
          <cell r="I763">
            <v>1.0356000000000001</v>
          </cell>
          <cell r="J763">
            <v>180</v>
          </cell>
          <cell r="K763" t="str">
            <v>PET LN 250 P24</v>
          </cell>
          <cell r="L763" t="str">
            <v>245 ml</v>
          </cell>
          <cell r="M763" t="str">
            <v>CSD PET</v>
          </cell>
          <cell r="N763" t="str">
            <v>STING</v>
          </cell>
          <cell r="V763" t="str">
            <v>01.02.2027</v>
          </cell>
          <cell r="W763">
            <v>46419</v>
          </cell>
        </row>
        <row r="764">
          <cell r="A764" t="str">
            <v>STING Strawberry 250ML PET 12X_224</v>
          </cell>
          <cell r="B764">
            <v>320023280</v>
          </cell>
          <cell r="C764" t="str">
            <v>STING Strawberry 250ML PET 12X_224</v>
          </cell>
          <cell r="D764">
            <v>32</v>
          </cell>
          <cell r="E764">
            <v>7</v>
          </cell>
          <cell r="F764">
            <v>224</v>
          </cell>
          <cell r="G764">
            <v>250</v>
          </cell>
          <cell r="H764">
            <v>12</v>
          </cell>
          <cell r="I764">
            <v>0.52839999999999998</v>
          </cell>
          <cell r="J764">
            <v>180</v>
          </cell>
          <cell r="K764" t="str">
            <v>PET LN 250 P12</v>
          </cell>
          <cell r="L764" t="str">
            <v>250 ml</v>
          </cell>
          <cell r="M764" t="str">
            <v>CSD PET</v>
          </cell>
          <cell r="N764" t="str">
            <v>STING</v>
          </cell>
          <cell r="V764" t="str">
            <v>02.02.2027</v>
          </cell>
          <cell r="W764">
            <v>46420</v>
          </cell>
        </row>
        <row r="765">
          <cell r="A765" t="str">
            <v>STING Strawberry 250ML PET 24X_105</v>
          </cell>
          <cell r="B765">
            <v>320023290</v>
          </cell>
          <cell r="C765" t="str">
            <v>STING Strawberry 250ML PET 24X_105</v>
          </cell>
          <cell r="D765">
            <v>15</v>
          </cell>
          <cell r="E765">
            <v>7</v>
          </cell>
          <cell r="F765">
            <v>105</v>
          </cell>
          <cell r="G765">
            <v>250</v>
          </cell>
          <cell r="H765">
            <v>24</v>
          </cell>
          <cell r="I765">
            <v>1.0567</v>
          </cell>
          <cell r="J765">
            <v>180</v>
          </cell>
          <cell r="K765" t="str">
            <v>PET LN 250 P24</v>
          </cell>
          <cell r="L765" t="str">
            <v>250 ml</v>
          </cell>
          <cell r="M765" t="str">
            <v>CSD PET</v>
          </cell>
          <cell r="N765" t="str">
            <v>STING</v>
          </cell>
          <cell r="V765" t="str">
            <v>03.02.2027</v>
          </cell>
          <cell r="W765">
            <v>46421</v>
          </cell>
        </row>
        <row r="766">
          <cell r="A766" t="str">
            <v>PEPSI LOW CAL PLUM 345ML PET 24X_102</v>
          </cell>
          <cell r="B766">
            <v>320023247</v>
          </cell>
          <cell r="C766" t="str">
            <v>PEPSI LOW CAL PLUM 345ML PET 24X_102</v>
          </cell>
          <cell r="D766">
            <v>17</v>
          </cell>
          <cell r="E766">
            <v>6</v>
          </cell>
          <cell r="F766">
            <v>102</v>
          </cell>
          <cell r="G766">
            <v>345</v>
          </cell>
          <cell r="H766">
            <v>24</v>
          </cell>
          <cell r="I766">
            <v>1.4582599506868617</v>
          </cell>
          <cell r="J766">
            <v>120</v>
          </cell>
          <cell r="K766" t="str">
            <v>PET 350 P24</v>
          </cell>
          <cell r="L766" t="str">
            <v>345 ml</v>
          </cell>
          <cell r="M766" t="str">
            <v>CSD PET</v>
          </cell>
          <cell r="N766" t="str">
            <v>PEPSI LOW CAL PLUM</v>
          </cell>
          <cell r="V766" t="str">
            <v>04.02.2027</v>
          </cell>
          <cell r="W766">
            <v>46422</v>
          </cell>
        </row>
        <row r="767">
          <cell r="A767" t="str">
            <v>PEPSI LOW CAL PLUM 550ML PET 24X_66  r</v>
          </cell>
          <cell r="B767">
            <v>320023248</v>
          </cell>
          <cell r="C767" t="str">
            <v>PEPSI LOW CAL PLUM 550ML PET 24X_66  r</v>
          </cell>
          <cell r="D767">
            <v>11</v>
          </cell>
          <cell r="E767">
            <v>6</v>
          </cell>
          <cell r="F767">
            <v>66</v>
          </cell>
          <cell r="G767">
            <v>550</v>
          </cell>
          <cell r="H767">
            <v>24</v>
          </cell>
          <cell r="I767">
            <v>2.3247622402254313</v>
          </cell>
          <cell r="J767">
            <v>180</v>
          </cell>
          <cell r="K767" t="str">
            <v>PET 550</v>
          </cell>
          <cell r="L767" t="str">
            <v>550 ml</v>
          </cell>
          <cell r="M767" t="str">
            <v>CSD PET</v>
          </cell>
          <cell r="N767" t="str">
            <v>PEPSI LOW CAL PLUM</v>
          </cell>
          <cell r="V767" t="str">
            <v>05.02.2027</v>
          </cell>
          <cell r="W767">
            <v>46423</v>
          </cell>
        </row>
        <row r="768">
          <cell r="A768" t="str">
            <v>PEPSI LOW CAL PLUM 1.45L PET 12X_48 r</v>
          </cell>
          <cell r="B768">
            <v>320023249</v>
          </cell>
          <cell r="C768" t="str">
            <v>PEPSI LOW CAL PLUM 1.45L PET 12X_48 r</v>
          </cell>
          <cell r="D768">
            <v>12</v>
          </cell>
          <cell r="E768">
            <v>4</v>
          </cell>
          <cell r="F768">
            <v>48</v>
          </cell>
          <cell r="G768">
            <v>1450</v>
          </cell>
          <cell r="H768">
            <v>12</v>
          </cell>
          <cell r="I768">
            <v>3.0644593166607961</v>
          </cell>
          <cell r="J768">
            <v>180</v>
          </cell>
          <cell r="K768" t="str">
            <v>PET 1500</v>
          </cell>
          <cell r="L768" t="str">
            <v>1450 ml</v>
          </cell>
          <cell r="M768" t="str">
            <v>CSD PET</v>
          </cell>
          <cell r="N768" t="str">
            <v>PEPSI LOW CAL PLUM</v>
          </cell>
          <cell r="V768" t="str">
            <v>06.02.2027</v>
          </cell>
          <cell r="W768">
            <v>46424</v>
          </cell>
        </row>
        <row r="769">
          <cell r="A769" t="str">
            <v>PEPSI NO SUGAR PLUM 325ML CAN 4X MP_104</v>
          </cell>
          <cell r="B769">
            <v>320023256</v>
          </cell>
          <cell r="C769" t="str">
            <v>PEPSI NO SUGAR PLUM 325ML CAN 4X MP_104</v>
          </cell>
          <cell r="D769">
            <v>13</v>
          </cell>
          <cell r="E769">
            <v>8</v>
          </cell>
          <cell r="F769">
            <v>104</v>
          </cell>
          <cell r="G769">
            <v>325</v>
          </cell>
          <cell r="H769">
            <v>24</v>
          </cell>
          <cell r="I769">
            <v>1.3737231419513913</v>
          </cell>
          <cell r="J769">
            <v>180</v>
          </cell>
          <cell r="K769" t="str">
            <v>CAN 330</v>
          </cell>
          <cell r="L769" t="str">
            <v>325 ml</v>
          </cell>
          <cell r="M769" t="str">
            <v>CSD CAN</v>
          </cell>
          <cell r="N769" t="str">
            <v>PEPSI NO SUGAR PLUM</v>
          </cell>
          <cell r="V769" t="str">
            <v>07.02.2027</v>
          </cell>
          <cell r="W769">
            <v>46425</v>
          </cell>
        </row>
        <row r="770">
          <cell r="A770" t="str">
            <v>PEPSI NO SUGAR PLUM 345ML PET 12X_192</v>
          </cell>
          <cell r="B770">
            <v>320023257</v>
          </cell>
          <cell r="C770" t="str">
            <v>PEPSI NO SUGAR PLUM 345ML PET 12X_192</v>
          </cell>
          <cell r="D770">
            <v>32</v>
          </cell>
          <cell r="E770">
            <v>6</v>
          </cell>
          <cell r="F770">
            <v>192</v>
          </cell>
          <cell r="G770">
            <v>345</v>
          </cell>
          <cell r="H770">
            <v>12</v>
          </cell>
          <cell r="I770">
            <v>0.72912997534343083</v>
          </cell>
          <cell r="J770">
            <v>120</v>
          </cell>
          <cell r="K770" t="str">
            <v>PET 350 P12</v>
          </cell>
          <cell r="L770" t="str">
            <v>345 ml</v>
          </cell>
          <cell r="M770" t="str">
            <v>CSD PET</v>
          </cell>
          <cell r="N770" t="str">
            <v>PEPSI NO SUGAR PLUM</v>
          </cell>
          <cell r="V770" t="str">
            <v>08.02.2027</v>
          </cell>
          <cell r="W770">
            <v>46426</v>
          </cell>
        </row>
        <row r="771">
          <cell r="A771" t="str">
            <v>PEPSI NO SUGAR PLUM 550ML PET 24X_66 r</v>
          </cell>
          <cell r="B771">
            <v>320023258</v>
          </cell>
          <cell r="C771" t="str">
            <v>PEPSI NO SUGAR PLUM 550ML PET 24X_66 r</v>
          </cell>
          <cell r="D771">
            <v>11</v>
          </cell>
          <cell r="E771">
            <v>6</v>
          </cell>
          <cell r="F771">
            <v>66</v>
          </cell>
          <cell r="G771">
            <v>550</v>
          </cell>
          <cell r="H771">
            <v>24</v>
          </cell>
          <cell r="I771">
            <v>2.3247622402254313</v>
          </cell>
          <cell r="J771">
            <v>180</v>
          </cell>
          <cell r="K771" t="str">
            <v>PET 550</v>
          </cell>
          <cell r="L771" t="str">
            <v>550 ml</v>
          </cell>
          <cell r="M771" t="str">
            <v>CSD PET</v>
          </cell>
          <cell r="N771" t="str">
            <v>PEPSI NO SUGAR PLUM</v>
          </cell>
          <cell r="V771" t="str">
            <v>09.02.2027</v>
          </cell>
          <cell r="W771">
            <v>46427</v>
          </cell>
        </row>
        <row r="772">
          <cell r="A772" t="str">
            <v>PEPSI LOW CAL PLUM 1L PET 12X_70</v>
          </cell>
          <cell r="B772">
            <v>320023259</v>
          </cell>
          <cell r="C772" t="str">
            <v>PEPSI LOW CAL PLUM 1L PET 12X_70</v>
          </cell>
          <cell r="D772">
            <v>14</v>
          </cell>
          <cell r="E772">
            <v>5</v>
          </cell>
          <cell r="F772">
            <v>70</v>
          </cell>
          <cell r="G772">
            <v>1000</v>
          </cell>
          <cell r="H772">
            <v>12</v>
          </cell>
          <cell r="I772">
            <v>2.1134202183867559</v>
          </cell>
          <cell r="J772">
            <v>180</v>
          </cell>
          <cell r="K772" t="str">
            <v>PET 1000</v>
          </cell>
          <cell r="L772" t="str">
            <v>1000 ml</v>
          </cell>
          <cell r="M772" t="str">
            <v>CSD PET</v>
          </cell>
          <cell r="N772" t="str">
            <v>PEPSI LOW CAL PLUM</v>
          </cell>
          <cell r="V772" t="str">
            <v>10.02.2027</v>
          </cell>
          <cell r="W772">
            <v>46428</v>
          </cell>
        </row>
        <row r="773">
          <cell r="A773" t="str">
            <v>PEPSI LOW CAL PLUM 325ML CAN 4X MP_104</v>
          </cell>
          <cell r="B773">
            <v>320023165</v>
          </cell>
          <cell r="C773" t="str">
            <v>PEPSI LOW CAL PLUM 325ML CAN 4X MP_104</v>
          </cell>
          <cell r="D773">
            <v>13</v>
          </cell>
          <cell r="E773">
            <v>8</v>
          </cell>
          <cell r="F773">
            <v>104</v>
          </cell>
          <cell r="G773">
            <v>325</v>
          </cell>
          <cell r="H773">
            <v>24</v>
          </cell>
          <cell r="I773">
            <v>1.3737231419513913</v>
          </cell>
          <cell r="J773">
            <v>270</v>
          </cell>
          <cell r="K773" t="str">
            <v>CAN 330</v>
          </cell>
          <cell r="L773" t="str">
            <v>325 ml</v>
          </cell>
          <cell r="M773" t="str">
            <v>CSD CAN</v>
          </cell>
          <cell r="N773" t="str">
            <v>PEPSI LOW CAL PLUM</v>
          </cell>
          <cell r="V773" t="str">
            <v>11.02.2027</v>
          </cell>
          <cell r="W773">
            <v>46429</v>
          </cell>
        </row>
        <row r="774">
          <cell r="A774" t="str">
            <v>PEPSI NO SUGAR PLUM 1.45L PET 12X_48 r</v>
          </cell>
          <cell r="B774">
            <v>320023166</v>
          </cell>
          <cell r="C774" t="str">
            <v>PEPSI NO SUGAR PLUM 1.45L PET 12X_48 r</v>
          </cell>
          <cell r="D774">
            <v>12</v>
          </cell>
          <cell r="E774">
            <v>4</v>
          </cell>
          <cell r="F774">
            <v>48</v>
          </cell>
          <cell r="G774">
            <v>1450</v>
          </cell>
          <cell r="H774">
            <v>12</v>
          </cell>
          <cell r="I774">
            <v>3.0644593166607961</v>
          </cell>
          <cell r="J774">
            <v>180</v>
          </cell>
          <cell r="K774" t="str">
            <v>PET 1500</v>
          </cell>
          <cell r="L774" t="str">
            <v>1450 ml</v>
          </cell>
          <cell r="M774" t="str">
            <v>CSD PET</v>
          </cell>
          <cell r="N774" t="str">
            <v>PEPSI NO SUGAR PLUM</v>
          </cell>
          <cell r="V774" t="str">
            <v>12.02.2027</v>
          </cell>
          <cell r="W774">
            <v>46430</v>
          </cell>
        </row>
        <row r="775">
          <cell r="A775" t="str">
            <v>GATORADE NO SUGAR GRAPE 500ML PET12X_120</v>
          </cell>
          <cell r="B775">
            <v>320023191</v>
          </cell>
          <cell r="C775" t="str">
            <v>GATORADE NO SUGAR GRAPE 500ML PET12X_120</v>
          </cell>
          <cell r="D775">
            <v>20</v>
          </cell>
          <cell r="E775">
            <v>6</v>
          </cell>
          <cell r="F775">
            <v>120</v>
          </cell>
          <cell r="G775">
            <v>500</v>
          </cell>
          <cell r="H775">
            <v>12</v>
          </cell>
          <cell r="I775">
            <v>1.0567101091933779</v>
          </cell>
          <cell r="J775">
            <v>270</v>
          </cell>
          <cell r="K775" t="str">
            <v>PET GTR 500 P12</v>
          </cell>
          <cell r="L775" t="str">
            <v>500ml</v>
          </cell>
          <cell r="M775" t="str">
            <v>NCB PET</v>
          </cell>
          <cell r="N775" t="str">
            <v>GATORADE</v>
          </cell>
          <cell r="V775" t="str">
            <v>13.02.2027</v>
          </cell>
          <cell r="W775">
            <v>46431</v>
          </cell>
        </row>
        <row r="776">
          <cell r="A776" t="str">
            <v>PEPSI COLA MID CAL 1.45L PET 4X_120 r</v>
          </cell>
          <cell r="B776">
            <v>320023291</v>
          </cell>
          <cell r="C776" t="str">
            <v>PEPSI COLA MID CAL 1.45L PET 4X_120 r</v>
          </cell>
          <cell r="D776">
            <v>30</v>
          </cell>
          <cell r="E776">
            <v>4</v>
          </cell>
          <cell r="F776">
            <v>120</v>
          </cell>
          <cell r="G776">
            <v>1450</v>
          </cell>
          <cell r="H776">
            <v>4</v>
          </cell>
          <cell r="I776">
            <v>1.021486438886932</v>
          </cell>
          <cell r="J776">
            <v>180</v>
          </cell>
          <cell r="K776" t="str">
            <v>PET 1500</v>
          </cell>
          <cell r="L776" t="str">
            <v>1450 ml</v>
          </cell>
          <cell r="M776" t="str">
            <v>CSD PET</v>
          </cell>
          <cell r="N776" t="str">
            <v>Pepsi Cola</v>
          </cell>
          <cell r="V776" t="str">
            <v>14.02.2027</v>
          </cell>
          <cell r="W776">
            <v>46432</v>
          </cell>
        </row>
        <row r="777">
          <cell r="A777" t="str">
            <v>PEPSI COLA LOW CAL 1.45L PET 4X_120 r</v>
          </cell>
          <cell r="B777">
            <v>320023270</v>
          </cell>
          <cell r="C777" t="str">
            <v>PEPSI COLA LOW CAL 1.45L PET 4X_120 r</v>
          </cell>
          <cell r="D777">
            <v>30</v>
          </cell>
          <cell r="E777">
            <v>4</v>
          </cell>
          <cell r="F777">
            <v>120</v>
          </cell>
          <cell r="G777">
            <v>1450</v>
          </cell>
          <cell r="H777">
            <v>4</v>
          </cell>
          <cell r="I777">
            <v>1.021486438886932</v>
          </cell>
          <cell r="J777">
            <v>180</v>
          </cell>
          <cell r="K777" t="str">
            <v>PET 1500</v>
          </cell>
          <cell r="L777" t="str">
            <v>1450 ml</v>
          </cell>
          <cell r="M777" t="str">
            <v>CSD PET</v>
          </cell>
          <cell r="N777" t="str">
            <v>Pepsi Cola</v>
          </cell>
          <cell r="V777" t="str">
            <v>15.02.2027</v>
          </cell>
          <cell r="W777">
            <v>46433</v>
          </cell>
        </row>
        <row r="778">
          <cell r="A778" t="str">
            <v>7UP NS PINEAPPLE PEACH325ML CAN4XMP_104</v>
          </cell>
          <cell r="B778">
            <v>320023229</v>
          </cell>
          <cell r="C778" t="str">
            <v>7UP NS PINEAPPLE PEACH325ML CAN4XMP_104</v>
          </cell>
          <cell r="D778">
            <v>13</v>
          </cell>
          <cell r="E778">
            <v>8</v>
          </cell>
          <cell r="F778">
            <v>104</v>
          </cell>
          <cell r="G778">
            <v>325</v>
          </cell>
          <cell r="H778">
            <v>24</v>
          </cell>
          <cell r="I778">
            <v>1.3737231419513913</v>
          </cell>
          <cell r="J778">
            <v>180</v>
          </cell>
          <cell r="K778" t="str">
            <v>CAN 330</v>
          </cell>
          <cell r="L778" t="str">
            <v>325 ml</v>
          </cell>
          <cell r="M778" t="str">
            <v>CSD CAN</v>
          </cell>
          <cell r="N778" t="str">
            <v>7-Up</v>
          </cell>
          <cell r="V778" t="str">
            <v>16.02.2027</v>
          </cell>
          <cell r="W778">
            <v>46434</v>
          </cell>
        </row>
        <row r="779">
          <cell r="A779" t="str">
            <v>7UP NS STRAWBERRY LEMON325ML CAN4XMP_104</v>
          </cell>
          <cell r="B779">
            <v>320023230</v>
          </cell>
          <cell r="C779" t="str">
            <v>7UP NS STRAWBERRY LEMON325ML CAN4XMP_104</v>
          </cell>
          <cell r="D779">
            <v>13</v>
          </cell>
          <cell r="E779">
            <v>8</v>
          </cell>
          <cell r="F779">
            <v>104</v>
          </cell>
          <cell r="G779">
            <v>325</v>
          </cell>
          <cell r="H779">
            <v>24</v>
          </cell>
          <cell r="I779">
            <v>1.3737231419513913</v>
          </cell>
          <cell r="J779">
            <v>180</v>
          </cell>
          <cell r="K779" t="str">
            <v>CAN 330</v>
          </cell>
          <cell r="L779" t="str">
            <v>325 ml</v>
          </cell>
          <cell r="M779" t="str">
            <v>CSD CAN</v>
          </cell>
          <cell r="N779" t="str">
            <v>7-Up</v>
          </cell>
          <cell r="V779" t="str">
            <v>17.02.2027</v>
          </cell>
          <cell r="W779">
            <v>46435</v>
          </cell>
        </row>
        <row r="780">
          <cell r="A780" t="str">
            <v>MIRINDA BB ORANGE 440ML PET 24X_72</v>
          </cell>
          <cell r="B780">
            <v>320023235</v>
          </cell>
          <cell r="C780" t="str">
            <v>MIRINDA BB ORANGE 440ML PET 24X_72</v>
          </cell>
          <cell r="D780">
            <v>12</v>
          </cell>
          <cell r="E780">
            <v>6</v>
          </cell>
          <cell r="F780">
            <v>72</v>
          </cell>
          <cell r="G780">
            <v>440</v>
          </cell>
          <cell r="H780">
            <v>24</v>
          </cell>
          <cell r="I780">
            <v>1.8598097921803451</v>
          </cell>
          <cell r="J780">
            <v>180</v>
          </cell>
          <cell r="K780" t="str">
            <v>PET AQ 450</v>
          </cell>
          <cell r="L780" t="str">
            <v>440 ml</v>
          </cell>
          <cell r="M780" t="str">
            <v>CSD PET</v>
          </cell>
          <cell r="N780" t="str">
            <v>MRD BB Orange</v>
          </cell>
          <cell r="V780" t="str">
            <v>18.02.2027</v>
          </cell>
          <cell r="W780">
            <v>46436</v>
          </cell>
        </row>
        <row r="781">
          <cell r="A781" t="str">
            <v>PEPSI COLA LOW CAL 1.45L PET 12X_48 rPET</v>
          </cell>
          <cell r="B781">
            <v>320023032</v>
          </cell>
          <cell r="C781" t="str">
            <v>PEPSI COLA LOW CAL 1.45L PET 12X_48 rPET</v>
          </cell>
          <cell r="D781">
            <v>12</v>
          </cell>
          <cell r="E781">
            <v>4</v>
          </cell>
          <cell r="F781">
            <v>48</v>
          </cell>
          <cell r="G781">
            <v>1450</v>
          </cell>
          <cell r="H781">
            <v>12</v>
          </cell>
          <cell r="I781">
            <v>3.0644593166607961</v>
          </cell>
          <cell r="J781">
            <v>180</v>
          </cell>
          <cell r="K781" t="str">
            <v>PET 1500</v>
          </cell>
          <cell r="L781" t="str">
            <v>1450 ml</v>
          </cell>
          <cell r="M781" t="str">
            <v>CSD PET</v>
          </cell>
          <cell r="N781" t="str">
            <v>Pepsi Cola</v>
          </cell>
          <cell r="V781" t="str">
            <v>19.02.2027</v>
          </cell>
          <cell r="W781">
            <v>46437</v>
          </cell>
        </row>
        <row r="782">
          <cell r="A782" t="str">
            <v>MIRINDA ORANGE LS 10L BIB 1X_48_EXP</v>
          </cell>
          <cell r="B782">
            <v>320023294</v>
          </cell>
          <cell r="C782" t="str">
            <v>MIRINDA ORANGE LS 10L BIB 1X_48_EXP</v>
          </cell>
          <cell r="D782">
            <v>12</v>
          </cell>
          <cell r="E782">
            <v>4</v>
          </cell>
          <cell r="F782">
            <v>48</v>
          </cell>
          <cell r="G782">
            <v>10000</v>
          </cell>
          <cell r="H782">
            <v>6</v>
          </cell>
          <cell r="I782">
            <v>10.567101091933779</v>
          </cell>
          <cell r="J782">
            <v>180</v>
          </cell>
          <cell r="K782" t="str">
            <v>BIB 10L</v>
          </cell>
          <cell r="L782" t="str">
            <v>10 L</v>
          </cell>
          <cell r="M782" t="str">
            <v>CSD PMX</v>
          </cell>
          <cell r="N782" t="str">
            <v>MRD Orange</v>
          </cell>
          <cell r="V782" t="str">
            <v>20.02.2027</v>
          </cell>
          <cell r="W782">
            <v>46438</v>
          </cell>
        </row>
        <row r="783">
          <cell r="A783" t="str">
            <v>PEPSI COLA LOW CAL 1.26L PET 12X_48</v>
          </cell>
          <cell r="B783">
            <v>320023182</v>
          </cell>
          <cell r="C783" t="str">
            <v>PEPSI COLA LOW CAL 1.26L PET 12X_48</v>
          </cell>
          <cell r="D783">
            <v>12</v>
          </cell>
          <cell r="E783">
            <v>4</v>
          </cell>
          <cell r="F783">
            <v>48</v>
          </cell>
          <cell r="G783">
            <v>1260</v>
          </cell>
          <cell r="H783">
            <v>12</v>
          </cell>
          <cell r="I783">
            <v>2.6629094751673126</v>
          </cell>
          <cell r="J783">
            <v>180</v>
          </cell>
          <cell r="K783" t="str">
            <v>PET 1250</v>
          </cell>
          <cell r="L783" t="str">
            <v>1260 ml</v>
          </cell>
          <cell r="M783" t="str">
            <v>CSD PET</v>
          </cell>
          <cell r="N783" t="str">
            <v>Pepsi Cola</v>
          </cell>
          <cell r="V783" t="str">
            <v>21.02.2027</v>
          </cell>
          <cell r="W783">
            <v>46439</v>
          </cell>
        </row>
        <row r="784">
          <cell r="A784" t="str">
            <v>7UP No Sugar 10L BIB NEW 1X_48_EXP</v>
          </cell>
          <cell r="B784">
            <v>320023293</v>
          </cell>
          <cell r="C784" t="str">
            <v>7UP No Sugar 10L BIB NEW 1X_48_EXP</v>
          </cell>
          <cell r="D784">
            <v>12</v>
          </cell>
          <cell r="E784">
            <v>4</v>
          </cell>
          <cell r="F784">
            <v>48</v>
          </cell>
          <cell r="G784">
            <v>10000</v>
          </cell>
          <cell r="H784">
            <v>6</v>
          </cell>
          <cell r="I784">
            <v>10.567101091933779</v>
          </cell>
          <cell r="J784">
            <v>180</v>
          </cell>
          <cell r="K784" t="str">
            <v>BIB 10L</v>
          </cell>
          <cell r="L784" t="str">
            <v>10 L</v>
          </cell>
          <cell r="M784" t="str">
            <v>CSD PMX</v>
          </cell>
          <cell r="N784" t="str">
            <v>7-Up</v>
          </cell>
          <cell r="V784" t="str">
            <v>22.02.2027</v>
          </cell>
          <cell r="W784">
            <v>46440</v>
          </cell>
        </row>
        <row r="785">
          <cell r="A785" t="str">
            <v>PEPSI COLA MID CAL 20L BIB 1X_EXP</v>
          </cell>
          <cell r="B785">
            <v>320023292</v>
          </cell>
          <cell r="C785" t="str">
            <v>PEPSI COLA MID CAL 20L BIB 1X_EXP</v>
          </cell>
          <cell r="D785">
            <v>9</v>
          </cell>
          <cell r="E785">
            <v>4</v>
          </cell>
          <cell r="F785">
            <v>36</v>
          </cell>
          <cell r="G785">
            <v>20000</v>
          </cell>
          <cell r="H785">
            <v>6</v>
          </cell>
          <cell r="I785">
            <v>21.134202183867558</v>
          </cell>
          <cell r="J785">
            <v>180</v>
          </cell>
          <cell r="K785" t="str">
            <v>BIB 20L</v>
          </cell>
          <cell r="L785" t="str">
            <v>20 L</v>
          </cell>
          <cell r="M785" t="str">
            <v>CSD PMX</v>
          </cell>
          <cell r="N785" t="str">
            <v>Pepsi Cola</v>
          </cell>
          <cell r="V785" t="str">
            <v>23.02.2027</v>
          </cell>
          <cell r="W785">
            <v>46441</v>
          </cell>
        </row>
        <row r="786">
          <cell r="A786" t="str">
            <v>PEPSI COLA LOW CAL 1L PET12X_70</v>
          </cell>
          <cell r="B786">
            <v>320023061</v>
          </cell>
          <cell r="C786" t="str">
            <v>PEPSI COLA LOW CAL 1L PET12X_70</v>
          </cell>
          <cell r="D786">
            <v>14</v>
          </cell>
          <cell r="E786">
            <v>5</v>
          </cell>
          <cell r="F786">
            <v>70</v>
          </cell>
          <cell r="G786">
            <v>1000</v>
          </cell>
          <cell r="H786">
            <v>12</v>
          </cell>
          <cell r="I786">
            <v>2.1134202183867559</v>
          </cell>
          <cell r="J786">
            <v>180</v>
          </cell>
          <cell r="K786" t="str">
            <v>PET 1000</v>
          </cell>
          <cell r="L786" t="str">
            <v>1000 ml</v>
          </cell>
          <cell r="M786" t="str">
            <v>CSD PET</v>
          </cell>
          <cell r="N786" t="str">
            <v>Pepsi Cola</v>
          </cell>
          <cell r="V786" t="str">
            <v>24.02.2027</v>
          </cell>
          <cell r="W786">
            <v>46442</v>
          </cell>
        </row>
        <row r="787">
          <cell r="A787" t="str">
            <v>PEPSI COLA LOW CAL 1.95L PET 6X_64</v>
          </cell>
          <cell r="B787">
            <v>320023060</v>
          </cell>
          <cell r="C787" t="str">
            <v>PEPSI COLA LOW CAL 1.95L PET 6X_64</v>
          </cell>
          <cell r="D787">
            <v>16</v>
          </cell>
          <cell r="E787">
            <v>4</v>
          </cell>
          <cell r="F787">
            <v>64</v>
          </cell>
          <cell r="G787">
            <v>1950</v>
          </cell>
          <cell r="H787">
            <v>6</v>
          </cell>
          <cell r="I787">
            <v>2.0605847129270871</v>
          </cell>
          <cell r="J787">
            <v>180</v>
          </cell>
          <cell r="K787" t="str">
            <v>PET 2000</v>
          </cell>
          <cell r="L787" t="str">
            <v>1950 ml</v>
          </cell>
          <cell r="M787" t="str">
            <v>CSD PET</v>
          </cell>
          <cell r="N787" t="str">
            <v>Pepsi Cola</v>
          </cell>
          <cell r="V787" t="str">
            <v>25.02.2027</v>
          </cell>
          <cell r="W787">
            <v>46443</v>
          </cell>
        </row>
        <row r="788">
          <cell r="A788" t="str">
            <v>PEPSI COLA LOW CAL 1.5L PET 12X_48 r</v>
          </cell>
          <cell r="B788">
            <v>320023059</v>
          </cell>
          <cell r="C788" t="str">
            <v>PEPSI COLA LOW CAL 1.5L PET 12X_48 r</v>
          </cell>
          <cell r="D788">
            <v>12</v>
          </cell>
          <cell r="E788">
            <v>4</v>
          </cell>
          <cell r="F788">
            <v>48</v>
          </cell>
          <cell r="G788">
            <v>1500</v>
          </cell>
          <cell r="H788">
            <v>12</v>
          </cell>
          <cell r="I788">
            <v>3.170130327580134</v>
          </cell>
          <cell r="J788">
            <v>180</v>
          </cell>
          <cell r="K788" t="str">
            <v>PET 1500</v>
          </cell>
          <cell r="L788" t="str">
            <v>1500 ml</v>
          </cell>
          <cell r="M788" t="str">
            <v>CSD PET</v>
          </cell>
          <cell r="N788" t="str">
            <v>Pepsi Cola</v>
          </cell>
          <cell r="V788" t="str">
            <v>26.02.2027</v>
          </cell>
          <cell r="W788">
            <v>46444</v>
          </cell>
        </row>
        <row r="789">
          <cell r="A789" t="str">
            <v>PEPSI LIME LOW CAL 1.45L PET 12X_48 rPET</v>
          </cell>
          <cell r="B789">
            <v>320023033</v>
          </cell>
          <cell r="C789" t="str">
            <v>PEPSI LIME LOW CAL 1.45L PET 12X_48 rPET</v>
          </cell>
          <cell r="D789">
            <v>12</v>
          </cell>
          <cell r="E789">
            <v>4</v>
          </cell>
          <cell r="F789">
            <v>48</v>
          </cell>
          <cell r="G789">
            <v>1450</v>
          </cell>
          <cell r="H789">
            <v>12</v>
          </cell>
          <cell r="I789">
            <v>3.0644593166607961</v>
          </cell>
          <cell r="J789">
            <v>180</v>
          </cell>
          <cell r="K789" t="str">
            <v>PET 1500</v>
          </cell>
          <cell r="L789" t="str">
            <v>1450 ml</v>
          </cell>
          <cell r="M789" t="str">
            <v>CSD PET</v>
          </cell>
          <cell r="N789" t="str">
            <v>PEPSI LIME</v>
          </cell>
          <cell r="V789" t="str">
            <v>27.02.2027</v>
          </cell>
          <cell r="W789">
            <v>46445</v>
          </cell>
        </row>
        <row r="790">
          <cell r="A790" t="str">
            <v>PEPSI COLA LOW CAL 1.26L PET12X_48 L&amp;P r</v>
          </cell>
          <cell r="B790">
            <v>320023056</v>
          </cell>
          <cell r="C790" t="str">
            <v>PEPSI COLA LOW CAL 1.26L PET12X_48 L&amp;P r</v>
          </cell>
          <cell r="D790">
            <v>12</v>
          </cell>
          <cell r="E790">
            <v>4</v>
          </cell>
          <cell r="F790">
            <v>48</v>
          </cell>
          <cell r="G790">
            <v>1260</v>
          </cell>
          <cell r="H790">
            <v>12</v>
          </cell>
          <cell r="I790">
            <v>2.6629094751673126</v>
          </cell>
          <cell r="J790">
            <v>180</v>
          </cell>
          <cell r="K790" t="str">
            <v>PET 1250</v>
          </cell>
          <cell r="L790" t="str">
            <v>1260 ml</v>
          </cell>
          <cell r="M790" t="str">
            <v>CSD PET</v>
          </cell>
          <cell r="N790" t="str">
            <v>Pepsi Cola</v>
          </cell>
          <cell r="V790" t="str">
            <v>28.02.2027</v>
          </cell>
          <cell r="W790">
            <v>46446</v>
          </cell>
        </row>
        <row r="791">
          <cell r="A791" t="str">
            <v>PEPSI COLA LOW CAL 1.49L PET 12X_48</v>
          </cell>
          <cell r="B791">
            <v>320023057</v>
          </cell>
          <cell r="C791" t="str">
            <v>PEPSI COLA LOW CAL 1.49L PET 12X_48</v>
          </cell>
          <cell r="D791">
            <v>12</v>
          </cell>
          <cell r="E791">
            <v>4</v>
          </cell>
          <cell r="F791">
            <v>48</v>
          </cell>
          <cell r="G791">
            <v>1490</v>
          </cell>
          <cell r="H791">
            <v>12</v>
          </cell>
          <cell r="I791">
            <v>3.1489961253962662</v>
          </cell>
          <cell r="J791">
            <v>180</v>
          </cell>
          <cell r="K791" t="str">
            <v>PET 1500</v>
          </cell>
          <cell r="L791" t="str">
            <v>1490 ml</v>
          </cell>
          <cell r="M791" t="str">
            <v>CSD PET</v>
          </cell>
          <cell r="N791" t="str">
            <v>Pepsi Cola</v>
          </cell>
          <cell r="V791" t="str">
            <v>01.03.2027</v>
          </cell>
          <cell r="W791">
            <v>46447</v>
          </cell>
        </row>
        <row r="792">
          <cell r="A792" t="str">
            <v>PEPSI COLA LOW CAL 1.5L PET 12X_48</v>
          </cell>
          <cell r="B792">
            <v>320023058</v>
          </cell>
          <cell r="C792" t="str">
            <v>PEPSI COLA LOW CAL 1.5L PET 12X_48</v>
          </cell>
          <cell r="D792">
            <v>12</v>
          </cell>
          <cell r="E792">
            <v>4</v>
          </cell>
          <cell r="F792">
            <v>48</v>
          </cell>
          <cell r="G792">
            <v>1500</v>
          </cell>
          <cell r="H792">
            <v>12</v>
          </cell>
          <cell r="I792">
            <v>3.170130327580134</v>
          </cell>
          <cell r="J792">
            <v>180</v>
          </cell>
          <cell r="K792" t="str">
            <v>PET 1500</v>
          </cell>
          <cell r="L792" t="str">
            <v>1500 ml</v>
          </cell>
          <cell r="M792" t="str">
            <v>CSD PET</v>
          </cell>
          <cell r="N792" t="str">
            <v>Pepsi Cola</v>
          </cell>
          <cell r="V792" t="str">
            <v>02.03.2027</v>
          </cell>
          <cell r="W792">
            <v>46448</v>
          </cell>
        </row>
        <row r="793">
          <cell r="A793" t="str">
            <v>PEPSI LOW CAL 1.26L PET12X STH P_48</v>
          </cell>
          <cell r="B793">
            <v>320023094</v>
          </cell>
          <cell r="C793" t="str">
            <v>PEPSI LOW CAL 1.26L PET12X STH P_48</v>
          </cell>
          <cell r="D793">
            <v>12</v>
          </cell>
          <cell r="E793">
            <v>4</v>
          </cell>
          <cell r="F793">
            <v>48</v>
          </cell>
          <cell r="G793">
            <v>1260</v>
          </cell>
          <cell r="H793">
            <v>12</v>
          </cell>
          <cell r="I793">
            <v>2.6629094751673126</v>
          </cell>
          <cell r="J793">
            <v>180</v>
          </cell>
          <cell r="K793" t="str">
            <v>PET 1250</v>
          </cell>
          <cell r="L793" t="str">
            <v>1260 ml</v>
          </cell>
          <cell r="M793" t="str">
            <v>CSD PET</v>
          </cell>
          <cell r="N793" t="str">
            <v>Pepsi Cola</v>
          </cell>
          <cell r="V793" t="str">
            <v>03.03.2027</v>
          </cell>
          <cell r="W793">
            <v>46449</v>
          </cell>
        </row>
        <row r="794">
          <cell r="A794" t="str">
            <v>PEPSI COLA LOW CAL 1.49L PET 12X_48 r</v>
          </cell>
          <cell r="B794">
            <v>320023095</v>
          </cell>
          <cell r="C794" t="str">
            <v>PEPSI COLA LOW CAL 1.49L PET 12X_48 r</v>
          </cell>
          <cell r="D794">
            <v>12</v>
          </cell>
          <cell r="E794">
            <v>4</v>
          </cell>
          <cell r="F794">
            <v>48</v>
          </cell>
          <cell r="G794">
            <v>1490</v>
          </cell>
          <cell r="H794">
            <v>12</v>
          </cell>
          <cell r="I794">
            <v>3.1489961253962662</v>
          </cell>
          <cell r="J794">
            <v>180</v>
          </cell>
          <cell r="K794" t="str">
            <v>PET 1500</v>
          </cell>
          <cell r="L794" t="str">
            <v>1490 ml</v>
          </cell>
          <cell r="M794" t="str">
            <v>CSD PET</v>
          </cell>
          <cell r="N794" t="str">
            <v>Pepsi Cola</v>
          </cell>
          <cell r="V794" t="str">
            <v>04.03.2027</v>
          </cell>
          <cell r="W794">
            <v>46450</v>
          </cell>
        </row>
        <row r="795">
          <cell r="A795" t="str">
            <v>PEPSI COLA LOW CAL PET999ML 12X_80 NP</v>
          </cell>
          <cell r="B795">
            <v>320023223</v>
          </cell>
          <cell r="C795" t="str">
            <v>PEPSI COLA LOW CAL PET999ML 12X_80 NP</v>
          </cell>
          <cell r="D795">
            <v>16</v>
          </cell>
          <cell r="E795">
            <v>5</v>
          </cell>
          <cell r="F795">
            <v>80</v>
          </cell>
          <cell r="G795">
            <v>999</v>
          </cell>
          <cell r="H795">
            <v>12</v>
          </cell>
          <cell r="I795">
            <v>2.1113067981683691</v>
          </cell>
          <cell r="J795">
            <v>180</v>
          </cell>
          <cell r="K795" t="str">
            <v>PET 1000</v>
          </cell>
          <cell r="L795" t="str">
            <v>999 ml</v>
          </cell>
          <cell r="M795" t="str">
            <v>CSD PET</v>
          </cell>
          <cell r="N795" t="str">
            <v>Pepsi Cola</v>
          </cell>
          <cell r="V795" t="str">
            <v>05.03.2027</v>
          </cell>
          <cell r="W795">
            <v>46451</v>
          </cell>
        </row>
        <row r="796">
          <cell r="A796" t="str">
            <v>PEPSI LOW CAL 1.9L PET 6X_64 r</v>
          </cell>
          <cell r="B796">
            <v>320023224</v>
          </cell>
          <cell r="C796" t="str">
            <v>PEPSI LOW CAL 1.9L PET 6X_64 r</v>
          </cell>
          <cell r="D796">
            <v>16</v>
          </cell>
          <cell r="E796">
            <v>4</v>
          </cell>
          <cell r="F796">
            <v>64</v>
          </cell>
          <cell r="G796">
            <v>1900</v>
          </cell>
          <cell r="H796">
            <v>6</v>
          </cell>
          <cell r="I796">
            <v>2.0077492074674179</v>
          </cell>
          <cell r="J796">
            <v>180</v>
          </cell>
          <cell r="K796" t="str">
            <v>PET 2000</v>
          </cell>
          <cell r="L796" t="str">
            <v>1900 ml</v>
          </cell>
          <cell r="M796" t="str">
            <v>CSD PET</v>
          </cell>
          <cell r="N796" t="str">
            <v>Pepsi Cola</v>
          </cell>
          <cell r="V796" t="str">
            <v>06.03.2027</v>
          </cell>
          <cell r="W796">
            <v>46452</v>
          </cell>
        </row>
        <row r="797">
          <cell r="A797" t="str">
            <v>PEPSI COLA LOW CAL 2L PET 6X_64</v>
          </cell>
          <cell r="B797">
            <v>320023225</v>
          </cell>
          <cell r="C797" t="str">
            <v>PEPSI COLA LOW CAL 2L PET 6X_64</v>
          </cell>
          <cell r="D797">
            <v>16</v>
          </cell>
          <cell r="E797">
            <v>4</v>
          </cell>
          <cell r="F797">
            <v>64</v>
          </cell>
          <cell r="G797">
            <v>2000</v>
          </cell>
          <cell r="H797">
            <v>6</v>
          </cell>
          <cell r="I797">
            <v>2.1134202183867559</v>
          </cell>
          <cell r="J797">
            <v>180</v>
          </cell>
          <cell r="K797" t="str">
            <v>PET 2000</v>
          </cell>
          <cell r="L797" t="str">
            <v>2000 ml</v>
          </cell>
          <cell r="M797" t="str">
            <v>CSD PET</v>
          </cell>
          <cell r="N797" t="str">
            <v>Pepsi Cola</v>
          </cell>
          <cell r="V797" t="str">
            <v>07.03.2027</v>
          </cell>
          <cell r="W797">
            <v>46453</v>
          </cell>
        </row>
        <row r="798">
          <cell r="A798" t="str">
            <v>PEPSI COLA LOW CAL 1.26L PET12X_48 L&amp;P</v>
          </cell>
          <cell r="B798">
            <v>320023283</v>
          </cell>
          <cell r="C798" t="str">
            <v>PEPSI COLA LOW CAL 1.26L PET12X_48 L&amp;P</v>
          </cell>
          <cell r="D798">
            <v>12</v>
          </cell>
          <cell r="E798">
            <v>4</v>
          </cell>
          <cell r="F798">
            <v>48</v>
          </cell>
          <cell r="G798">
            <v>1260</v>
          </cell>
          <cell r="H798">
            <v>12</v>
          </cell>
          <cell r="I798">
            <v>2.6629094751673126</v>
          </cell>
          <cell r="J798">
            <v>180</v>
          </cell>
          <cell r="K798" t="str">
            <v>PET 1250</v>
          </cell>
          <cell r="L798" t="str">
            <v>1260 ml</v>
          </cell>
          <cell r="M798" t="str">
            <v>CSD PET</v>
          </cell>
          <cell r="N798" t="str">
            <v>Pepsi Cola</v>
          </cell>
          <cell r="V798" t="str">
            <v>08.03.2027</v>
          </cell>
          <cell r="W798">
            <v>46454</v>
          </cell>
        </row>
        <row r="799">
          <cell r="A799" t="str">
            <v>PEPSI LOW CAL 1.26L PET12X STH POP_48</v>
          </cell>
          <cell r="B799">
            <v>320023284</v>
          </cell>
          <cell r="C799" t="str">
            <v>PEPSI LOW CAL 1.26L PET12X STH POP_48</v>
          </cell>
          <cell r="D799">
            <v>12</v>
          </cell>
          <cell r="E799">
            <v>4</v>
          </cell>
          <cell r="F799">
            <v>48</v>
          </cell>
          <cell r="G799">
            <v>1260</v>
          </cell>
          <cell r="H799">
            <v>12</v>
          </cell>
          <cell r="I799">
            <v>2.6629094751673126</v>
          </cell>
          <cell r="J799">
            <v>180</v>
          </cell>
          <cell r="K799" t="str">
            <v>PET 1250</v>
          </cell>
          <cell r="L799" t="str">
            <v>1260 ml</v>
          </cell>
          <cell r="M799" t="str">
            <v>CSD PET</v>
          </cell>
          <cell r="N799" t="str">
            <v>Pepsi Cola</v>
          </cell>
          <cell r="V799" t="str">
            <v>09.03.2027</v>
          </cell>
          <cell r="W799">
            <v>46455</v>
          </cell>
        </row>
        <row r="800">
          <cell r="A800" t="str">
            <v>PEPSI COLA LOWCAL 1.25L PET 12X_48</v>
          </cell>
          <cell r="B800">
            <v>320023304</v>
          </cell>
          <cell r="C800" t="str">
            <v>PEPSI COLA LOWCAL 1.25L PET 12X_48</v>
          </cell>
          <cell r="D800">
            <v>12</v>
          </cell>
          <cell r="E800">
            <v>4</v>
          </cell>
          <cell r="F800">
            <v>48</v>
          </cell>
          <cell r="G800">
            <v>1250</v>
          </cell>
          <cell r="H800">
            <v>12</v>
          </cell>
          <cell r="I800">
            <v>2.6417752729834447</v>
          </cell>
          <cell r="J800">
            <v>180</v>
          </cell>
          <cell r="K800" t="str">
            <v>PET 1250</v>
          </cell>
          <cell r="L800" t="str">
            <v>1250 ml</v>
          </cell>
          <cell r="M800" t="str">
            <v>CSD PET</v>
          </cell>
          <cell r="N800" t="str">
            <v>Pepsi Cola</v>
          </cell>
          <cell r="V800" t="str">
            <v>10.03.2027</v>
          </cell>
          <cell r="W800">
            <v>46456</v>
          </cell>
        </row>
        <row r="801">
          <cell r="A801" t="str">
            <v>PEPSI COLA LOW CAL 1L PET12X_70 R</v>
          </cell>
          <cell r="B801">
            <v>320023306</v>
          </cell>
          <cell r="C801" t="str">
            <v>PEPSI COLA LOW CAL 1L PET12X_70 R</v>
          </cell>
          <cell r="D801">
            <v>14</v>
          </cell>
          <cell r="E801">
            <v>5</v>
          </cell>
          <cell r="F801">
            <v>70</v>
          </cell>
          <cell r="G801">
            <v>1000</v>
          </cell>
          <cell r="H801">
            <v>12</v>
          </cell>
          <cell r="I801">
            <v>2.1134202183867559</v>
          </cell>
          <cell r="J801">
            <v>180</v>
          </cell>
          <cell r="K801" t="str">
            <v>PET 1000</v>
          </cell>
          <cell r="L801" t="str">
            <v>1000 ml</v>
          </cell>
          <cell r="M801" t="str">
            <v>CSD PET</v>
          </cell>
          <cell r="N801" t="str">
            <v>Pepsi Cola</v>
          </cell>
          <cell r="V801" t="str">
            <v>11.03.2027</v>
          </cell>
          <cell r="W801">
            <v>46457</v>
          </cell>
        </row>
        <row r="802">
          <cell r="A802" t="str">
            <v>7UP NS LEMON SODA 325ML CAN 24X_104_EXP</v>
          </cell>
          <cell r="B802">
            <v>320023295</v>
          </cell>
          <cell r="C802" t="str">
            <v>7UP NS LEMON SODA 325ML CAN 24X_104_EXP</v>
          </cell>
          <cell r="D802">
            <v>13</v>
          </cell>
          <cell r="E802">
            <v>8</v>
          </cell>
          <cell r="F802">
            <v>104</v>
          </cell>
          <cell r="G802">
            <v>325</v>
          </cell>
          <cell r="H802">
            <v>24</v>
          </cell>
          <cell r="I802">
            <v>1.3737231419513913</v>
          </cell>
          <cell r="J802">
            <v>180</v>
          </cell>
          <cell r="K802" t="str">
            <v>CAN 330</v>
          </cell>
          <cell r="L802" t="str">
            <v>325 ml</v>
          </cell>
          <cell r="M802" t="str">
            <v>CSD CAN</v>
          </cell>
          <cell r="N802" t="str">
            <v>7-Up</v>
          </cell>
          <cell r="V802" t="str">
            <v>12.03.2027</v>
          </cell>
          <cell r="W802">
            <v>46458</v>
          </cell>
        </row>
        <row r="803">
          <cell r="A803" t="str">
            <v>TEA PLUS HONEY LEMON 495ML 24X_70_rPET</v>
          </cell>
          <cell r="B803">
            <v>320023305</v>
          </cell>
          <cell r="C803" t="str">
            <v>TEA PLUS HONEY LEMON 495ML 24X_70_rPET</v>
          </cell>
          <cell r="D803">
            <v>10</v>
          </cell>
          <cell r="E803">
            <v>7</v>
          </cell>
          <cell r="F803">
            <v>70</v>
          </cell>
          <cell r="G803">
            <v>495</v>
          </cell>
          <cell r="H803">
            <v>24</v>
          </cell>
          <cell r="I803">
            <v>2.0711518140190206</v>
          </cell>
          <cell r="J803">
            <v>365</v>
          </cell>
          <cell r="K803" t="str">
            <v>PET TEA+ 500</v>
          </cell>
          <cell r="L803" t="str">
            <v>495 ml</v>
          </cell>
          <cell r="M803" t="str">
            <v>NCB PET</v>
          </cell>
          <cell r="N803" t="str">
            <v>TEA PLUS</v>
          </cell>
          <cell r="V803" t="str">
            <v>13.03.2027</v>
          </cell>
          <cell r="W803">
            <v>46459</v>
          </cell>
        </row>
        <row r="804">
          <cell r="A804" t="str">
            <v>MIRINDA BB ORANGE 345ML PET 12X_192</v>
          </cell>
          <cell r="B804">
            <v>320023233</v>
          </cell>
          <cell r="C804" t="str">
            <v>MIRINDA BB ORANGE 345ML PET 12X_192</v>
          </cell>
          <cell r="D804">
            <v>32</v>
          </cell>
          <cell r="E804">
            <v>6</v>
          </cell>
          <cell r="F804">
            <v>192</v>
          </cell>
          <cell r="G804">
            <v>345</v>
          </cell>
          <cell r="H804">
            <v>12</v>
          </cell>
          <cell r="I804">
            <v>0.72912997534343083</v>
          </cell>
          <cell r="J804">
            <v>120</v>
          </cell>
          <cell r="K804" t="str">
            <v>PET 350 P12</v>
          </cell>
          <cell r="L804" t="str">
            <v>345ml</v>
          </cell>
          <cell r="M804" t="str">
            <v>CSD PET</v>
          </cell>
          <cell r="N804" t="str">
            <v>MRD BB Orange</v>
          </cell>
          <cell r="V804" t="str">
            <v>14.03.2027</v>
          </cell>
          <cell r="W804">
            <v>46460</v>
          </cell>
        </row>
        <row r="805">
          <cell r="A805" t="str">
            <v>MIRINDA STRAW KOREA 330ML PET 24X_98 NP</v>
          </cell>
          <cell r="B805">
            <v>320023333</v>
          </cell>
          <cell r="C805" t="str">
            <v>MIRINDA STRAW KOREA 330ML PET 24X_98 NP</v>
          </cell>
          <cell r="D805">
            <v>14</v>
          </cell>
          <cell r="E805">
            <v>7</v>
          </cell>
          <cell r="F805">
            <v>98</v>
          </cell>
          <cell r="G805">
            <v>330</v>
          </cell>
          <cell r="H805">
            <v>24</v>
          </cell>
          <cell r="I805">
            <v>1.394857344135259</v>
          </cell>
          <cell r="J805">
            <v>120</v>
          </cell>
          <cell r="K805" t="str">
            <v>PET 350 P24</v>
          </cell>
          <cell r="L805" t="str">
            <v>330 ml</v>
          </cell>
          <cell r="M805" t="str">
            <v>CSD PET</v>
          </cell>
          <cell r="N805" t="str">
            <v>MRD Strawberry</v>
          </cell>
          <cell r="V805" t="str">
            <v>15.03.2027</v>
          </cell>
          <cell r="W805">
            <v>46461</v>
          </cell>
        </row>
        <row r="806">
          <cell r="A806" t="str">
            <v>PEPSI NO SUGAR 1L PET 12X_70 r</v>
          </cell>
          <cell r="B806">
            <v>320023184</v>
          </cell>
          <cell r="C806" t="str">
            <v>PEPSI NO SUGAR 1L PET 12X_70 r</v>
          </cell>
          <cell r="D806">
            <v>14</v>
          </cell>
          <cell r="E806">
            <v>5</v>
          </cell>
          <cell r="F806">
            <v>70</v>
          </cell>
          <cell r="G806">
            <v>1000</v>
          </cell>
          <cell r="H806">
            <v>12</v>
          </cell>
          <cell r="I806">
            <v>2.1134202183867559</v>
          </cell>
          <cell r="J806">
            <v>180</v>
          </cell>
          <cell r="K806" t="str">
            <v>PET 1000</v>
          </cell>
          <cell r="L806" t="str">
            <v>1000 ml</v>
          </cell>
          <cell r="M806" t="str">
            <v>CSD PET</v>
          </cell>
          <cell r="N806" t="str">
            <v>PEPSI NO SUGAR</v>
          </cell>
          <cell r="V806" t="str">
            <v>16.03.2027</v>
          </cell>
          <cell r="W806">
            <v>46462</v>
          </cell>
        </row>
        <row r="807">
          <cell r="A807" t="str">
            <v>BOSS YUZU BLACK 230ML PET 4X_96</v>
          </cell>
          <cell r="B807">
            <v>320023171</v>
          </cell>
          <cell r="C807" t="str">
            <v>BOSS YUZU BLACK 230ML PET 4X_96</v>
          </cell>
          <cell r="D807">
            <v>12</v>
          </cell>
          <cell r="E807">
            <v>8</v>
          </cell>
          <cell r="F807">
            <v>96</v>
          </cell>
          <cell r="G807">
            <v>230</v>
          </cell>
          <cell r="H807">
            <v>24</v>
          </cell>
          <cell r="I807">
            <v>0.97217330045790773</v>
          </cell>
          <cell r="J807">
            <v>365</v>
          </cell>
          <cell r="K807" t="str">
            <v>PET COFF 250</v>
          </cell>
          <cell r="L807" t="str">
            <v>230 ml</v>
          </cell>
          <cell r="M807" t="str">
            <v>NCB PET</v>
          </cell>
          <cell r="N807" t="str">
            <v>BOSS COFFEE</v>
          </cell>
          <cell r="V807" t="str">
            <v>17.03.2027</v>
          </cell>
          <cell r="W807">
            <v>46463</v>
          </cell>
        </row>
        <row r="808">
          <cell r="A808" t="str">
            <v>PEPSI COLA MID CAL295MLPET24XSTH10B_119R</v>
          </cell>
          <cell r="B808">
            <v>320023315</v>
          </cell>
          <cell r="C808" t="str">
            <v>PEPSI COLA MID CAL295MLPET24XSTH10B_119R</v>
          </cell>
          <cell r="D808">
            <v>17</v>
          </cell>
          <cell r="E808">
            <v>7</v>
          </cell>
          <cell r="F808">
            <v>119</v>
          </cell>
          <cell r="G808">
            <v>295</v>
          </cell>
          <cell r="H808">
            <v>24</v>
          </cell>
          <cell r="I808">
            <v>1.246917928848186</v>
          </cell>
          <cell r="J808">
            <v>120</v>
          </cell>
          <cell r="K808" t="str">
            <v>PET 300 EMN P24</v>
          </cell>
          <cell r="L808" t="str">
            <v>295 ml</v>
          </cell>
          <cell r="M808" t="str">
            <v>CSD PET</v>
          </cell>
          <cell r="N808" t="str">
            <v>Pepsi Cola</v>
          </cell>
          <cell r="V808" t="str">
            <v>18.03.2027</v>
          </cell>
          <cell r="W808">
            <v>46464</v>
          </cell>
        </row>
        <row r="809">
          <cell r="A809" t="str">
            <v>PEPSI COLA MID CAL 300MLPET24X POP_119 R</v>
          </cell>
          <cell r="B809">
            <v>320023316</v>
          </cell>
          <cell r="C809" t="str">
            <v>PEPSI COLA MID CAL 300MLPET24X POP_119 R</v>
          </cell>
          <cell r="D809">
            <v>17</v>
          </cell>
          <cell r="E809">
            <v>7</v>
          </cell>
          <cell r="F809">
            <v>119</v>
          </cell>
          <cell r="G809">
            <v>300</v>
          </cell>
          <cell r="H809">
            <v>24</v>
          </cell>
          <cell r="I809">
            <v>1.2680521310320536</v>
          </cell>
          <cell r="J809">
            <v>120</v>
          </cell>
          <cell r="K809" t="str">
            <v>PET 300 EMN P24</v>
          </cell>
          <cell r="L809" t="str">
            <v>300 ml</v>
          </cell>
          <cell r="M809" t="str">
            <v>CSD PET</v>
          </cell>
          <cell r="N809" t="str">
            <v>Pepsi Cola</v>
          </cell>
          <cell r="V809" t="str">
            <v>19.03.2027</v>
          </cell>
          <cell r="W809">
            <v>46465</v>
          </cell>
        </row>
        <row r="810">
          <cell r="A810" t="str">
            <v>PEPSI COLA LOW CAL PET999ML 12X_80 NP R</v>
          </cell>
          <cell r="B810">
            <v>320023321</v>
          </cell>
          <cell r="C810" t="str">
            <v>PEPSI COLA LOW CAL PET999ML 12X_80 NP R</v>
          </cell>
          <cell r="D810">
            <v>16</v>
          </cell>
          <cell r="E810">
            <v>5</v>
          </cell>
          <cell r="F810">
            <v>80</v>
          </cell>
          <cell r="G810">
            <v>999</v>
          </cell>
          <cell r="H810">
            <v>12</v>
          </cell>
          <cell r="I810">
            <v>2.1113067981683691</v>
          </cell>
          <cell r="J810">
            <v>180</v>
          </cell>
          <cell r="K810" t="str">
            <v>PET 1000</v>
          </cell>
          <cell r="L810" t="str">
            <v>999 ml</v>
          </cell>
          <cell r="M810" t="str">
            <v>CSD PET</v>
          </cell>
          <cell r="N810" t="str">
            <v>Pepsi Cola</v>
          </cell>
          <cell r="V810" t="str">
            <v>20.03.2027</v>
          </cell>
          <cell r="W810">
            <v>46466</v>
          </cell>
        </row>
        <row r="811">
          <cell r="A811" t="str">
            <v>PEPSI LOW CAL PLUM 345ML PET 12X_192</v>
          </cell>
          <cell r="B811">
            <v>320023320</v>
          </cell>
          <cell r="C811" t="str">
            <v>PEPSI LOW CAL PLUM 345ML PET 12X_192</v>
          </cell>
          <cell r="D811">
            <v>32</v>
          </cell>
          <cell r="E811">
            <v>6</v>
          </cell>
          <cell r="F811">
            <v>192</v>
          </cell>
          <cell r="G811">
            <v>345</v>
          </cell>
          <cell r="H811">
            <v>12</v>
          </cell>
          <cell r="I811">
            <v>0.72912997534343083</v>
          </cell>
          <cell r="J811">
            <v>120</v>
          </cell>
          <cell r="K811" t="str">
            <v>PET 350 P12</v>
          </cell>
          <cell r="L811" t="str">
            <v>345 ml</v>
          </cell>
          <cell r="M811" t="str">
            <v>CSD PET</v>
          </cell>
          <cell r="N811" t="str">
            <v>PEPSI LOW CAL PLUM</v>
          </cell>
          <cell r="V811" t="str">
            <v>21.03.2027</v>
          </cell>
          <cell r="W811">
            <v>46467</v>
          </cell>
        </row>
        <row r="812">
          <cell r="A812" t="str">
            <v>PEPSI COLA LOWCAL 1.25L PET 12X_48 R</v>
          </cell>
          <cell r="B812">
            <v>320023317</v>
          </cell>
          <cell r="C812" t="str">
            <v>PEPSI COLA LOWCAL 1.25L PET 12X_48 R</v>
          </cell>
          <cell r="D812">
            <v>12</v>
          </cell>
          <cell r="E812">
            <v>4</v>
          </cell>
          <cell r="F812">
            <v>48</v>
          </cell>
          <cell r="G812">
            <v>1250</v>
          </cell>
          <cell r="H812">
            <v>12</v>
          </cell>
          <cell r="I812">
            <v>2.6417752729834447</v>
          </cell>
          <cell r="J812">
            <v>180</v>
          </cell>
          <cell r="K812" t="str">
            <v>PET 1250</v>
          </cell>
          <cell r="L812" t="str">
            <v>1250 ml</v>
          </cell>
          <cell r="M812" t="str">
            <v>CSD PET</v>
          </cell>
          <cell r="N812" t="str">
            <v>Pepsi Cola</v>
          </cell>
          <cell r="V812" t="str">
            <v>22.03.2027</v>
          </cell>
          <cell r="W812">
            <v>46468</v>
          </cell>
        </row>
        <row r="813">
          <cell r="A813" t="str">
            <v>PEPSI LOW CAL 1.26L PET12X STH POP_48 R</v>
          </cell>
          <cell r="B813">
            <v>320023318</v>
          </cell>
          <cell r="C813" t="str">
            <v>PEPSI LOW CAL 1.26L PET12X STH POP_48 R</v>
          </cell>
          <cell r="D813">
            <v>12</v>
          </cell>
          <cell r="E813">
            <v>4</v>
          </cell>
          <cell r="F813">
            <v>48</v>
          </cell>
          <cell r="G813">
            <v>1260</v>
          </cell>
          <cell r="H813">
            <v>12</v>
          </cell>
          <cell r="I813">
            <v>2.6629094751673126</v>
          </cell>
          <cell r="J813">
            <v>180</v>
          </cell>
          <cell r="K813" t="str">
            <v>PET 1250</v>
          </cell>
          <cell r="L813" t="str">
            <v>1260 ml</v>
          </cell>
          <cell r="M813" t="str">
            <v>CSD PET</v>
          </cell>
          <cell r="N813" t="str">
            <v>Pepsi Cola</v>
          </cell>
          <cell r="V813" t="str">
            <v>23.03.2027</v>
          </cell>
          <cell r="W813">
            <v>46469</v>
          </cell>
        </row>
        <row r="814">
          <cell r="A814" t="str">
            <v>PEPSI NO SUGAR CLEAR 330ML PET24X_98</v>
          </cell>
          <cell r="B814">
            <v>320023339</v>
          </cell>
          <cell r="C814" t="str">
            <v>PEPSI NO SUGAR CLEAR 330ML PET24X_98</v>
          </cell>
          <cell r="D814">
            <v>14</v>
          </cell>
          <cell r="E814">
            <v>7</v>
          </cell>
          <cell r="F814">
            <v>98</v>
          </cell>
          <cell r="G814">
            <v>330</v>
          </cell>
          <cell r="H814">
            <v>24</v>
          </cell>
          <cell r="I814">
            <v>1.394857344135259</v>
          </cell>
          <cell r="J814">
            <v>120</v>
          </cell>
          <cell r="K814" t="str">
            <v>PET 350 P24</v>
          </cell>
          <cell r="L814" t="str">
            <v>330 ml</v>
          </cell>
          <cell r="M814" t="str">
            <v>CSD PET</v>
          </cell>
          <cell r="N814" t="str">
            <v>PEPSI NO SUGAR</v>
          </cell>
          <cell r="V814" t="str">
            <v>24.03.2027</v>
          </cell>
          <cell r="W814">
            <v>46470</v>
          </cell>
        </row>
        <row r="815">
          <cell r="A815" t="str">
            <v>PEPSI LOW CAL 295ML PET 24XSTH10B_119 R</v>
          </cell>
          <cell r="B815">
            <v>320023337</v>
          </cell>
          <cell r="C815" t="str">
            <v>PEPSI LOW CAL 295ML PET 24XSTH10B_119 R</v>
          </cell>
          <cell r="D815">
            <v>17</v>
          </cell>
          <cell r="E815">
            <v>7</v>
          </cell>
          <cell r="F815">
            <v>119</v>
          </cell>
          <cell r="G815">
            <v>295</v>
          </cell>
          <cell r="H815">
            <v>24</v>
          </cell>
          <cell r="I815">
            <v>1.246917928848186</v>
          </cell>
          <cell r="J815">
            <v>120</v>
          </cell>
          <cell r="K815" t="str">
            <v>PET 300 EMN P24</v>
          </cell>
          <cell r="L815" t="str">
            <v>295 ml</v>
          </cell>
          <cell r="M815" t="str">
            <v>CSD PET</v>
          </cell>
          <cell r="N815" t="str">
            <v>Pepsi Cola</v>
          </cell>
          <cell r="V815" t="str">
            <v>25.03.2027</v>
          </cell>
          <cell r="W815">
            <v>46471</v>
          </cell>
        </row>
        <row r="816">
          <cell r="A816" t="str">
            <v>PEPSI LOW CAL 300ML PET 24X POP_119 R</v>
          </cell>
          <cell r="B816">
            <v>320023338</v>
          </cell>
          <cell r="C816" t="str">
            <v>PEPSI LOW CAL 300ML PET 24X POP_119 R</v>
          </cell>
          <cell r="D816">
            <v>17</v>
          </cell>
          <cell r="E816">
            <v>7</v>
          </cell>
          <cell r="F816">
            <v>119</v>
          </cell>
          <cell r="G816">
            <v>300</v>
          </cell>
          <cell r="H816">
            <v>24</v>
          </cell>
          <cell r="I816">
            <v>1.2680521310320536</v>
          </cell>
          <cell r="J816">
            <v>120</v>
          </cell>
          <cell r="K816" t="str">
            <v>PET 300 EMN P24</v>
          </cell>
          <cell r="L816" t="str">
            <v>300 ml</v>
          </cell>
          <cell r="M816" t="str">
            <v>CSD PET</v>
          </cell>
          <cell r="N816" t="str">
            <v>Pepsi Cola</v>
          </cell>
          <cell r="V816" t="str">
            <v>26.03.2027</v>
          </cell>
          <cell r="W816">
            <v>46472</v>
          </cell>
        </row>
        <row r="817">
          <cell r="A817" t="str">
            <v>BOSS YUZU BLACK 230ML PET 4X_96 rPET C</v>
          </cell>
          <cell r="B817">
            <v>320023340</v>
          </cell>
          <cell r="C817" t="str">
            <v>BOSS YUZU BLACK 230ML PET 4X_96 rPET C</v>
          </cell>
          <cell r="D817">
            <v>12</v>
          </cell>
          <cell r="E817">
            <v>8</v>
          </cell>
          <cell r="F817">
            <v>96</v>
          </cell>
          <cell r="G817">
            <v>230</v>
          </cell>
          <cell r="H817">
            <v>24</v>
          </cell>
          <cell r="I817">
            <v>0.97217330045790773</v>
          </cell>
          <cell r="J817">
            <v>365</v>
          </cell>
          <cell r="K817" t="str">
            <v>PET COFF 250</v>
          </cell>
          <cell r="L817" t="str">
            <v>230 ml</v>
          </cell>
          <cell r="M817" t="str">
            <v>NCB PET</v>
          </cell>
          <cell r="N817" t="str">
            <v>BOSS COFFEE</v>
          </cell>
          <cell r="V817" t="str">
            <v>27.03.2027</v>
          </cell>
          <cell r="W817">
            <v>46473</v>
          </cell>
        </row>
        <row r="818">
          <cell r="A818" t="str">
            <v>PEPSI COLA MID CAL 250ML PET 24X POP_105</v>
          </cell>
          <cell r="B818">
            <v>320023350</v>
          </cell>
          <cell r="C818" t="str">
            <v>PEPSI COLA MID CAL 250ML PET 24X POP_105</v>
          </cell>
          <cell r="D818">
            <v>15</v>
          </cell>
          <cell r="E818">
            <v>7</v>
          </cell>
          <cell r="F818">
            <v>105</v>
          </cell>
          <cell r="G818">
            <v>250</v>
          </cell>
          <cell r="H818">
            <v>24</v>
          </cell>
          <cell r="I818">
            <v>1.0567</v>
          </cell>
          <cell r="J818">
            <v>180</v>
          </cell>
          <cell r="K818" t="str">
            <v>PET LN 250 P24</v>
          </cell>
          <cell r="L818" t="str">
            <v>250 ml</v>
          </cell>
          <cell r="M818" t="str">
            <v>CSD PET</v>
          </cell>
          <cell r="N818" t="str">
            <v>Pepsi Cola</v>
          </cell>
          <cell r="V818" t="str">
            <v>28.03.2027</v>
          </cell>
          <cell r="W818">
            <v>46474</v>
          </cell>
        </row>
        <row r="819">
          <cell r="A819" t="str">
            <v>LIPTON ZA LEMON 345ML PET 12X 180</v>
          </cell>
          <cell r="B819">
            <v>320023351</v>
          </cell>
          <cell r="C819" t="str">
            <v>LIPTON ZA LEMON 345ML PET 12X 180</v>
          </cell>
          <cell r="D819">
            <v>30</v>
          </cell>
          <cell r="E819">
            <v>6</v>
          </cell>
          <cell r="F819">
            <v>180</v>
          </cell>
          <cell r="G819">
            <v>345</v>
          </cell>
          <cell r="H819">
            <v>12</v>
          </cell>
          <cell r="I819">
            <v>0.72912997534343083</v>
          </cell>
          <cell r="J819">
            <v>120</v>
          </cell>
          <cell r="K819" t="str">
            <v>PET AQ 350</v>
          </cell>
          <cell r="L819" t="str">
            <v>345 ml</v>
          </cell>
          <cell r="M819" t="str">
            <v>CSD PET</v>
          </cell>
          <cell r="N819" t="str">
            <v>Lipton</v>
          </cell>
          <cell r="V819" t="str">
            <v>29.03.2027</v>
          </cell>
          <cell r="W819">
            <v>46475</v>
          </cell>
        </row>
        <row r="820">
          <cell r="A820" t="str">
            <v>PEPSI LOW CAL 1.26L PET12X POP_48</v>
          </cell>
          <cell r="B820">
            <v>320023347</v>
          </cell>
          <cell r="C820" t="str">
            <v>PEPSI LOW CAL 1.26L PET12X POP_48</v>
          </cell>
          <cell r="D820">
            <v>12</v>
          </cell>
          <cell r="E820">
            <v>4</v>
          </cell>
          <cell r="F820">
            <v>48</v>
          </cell>
          <cell r="G820">
            <v>1260</v>
          </cell>
          <cell r="H820">
            <v>12</v>
          </cell>
          <cell r="I820">
            <v>2.6629094751673126</v>
          </cell>
          <cell r="J820">
            <v>180</v>
          </cell>
          <cell r="K820" t="str">
            <v>PET 1250</v>
          </cell>
          <cell r="L820" t="str">
            <v>1260 ml</v>
          </cell>
          <cell r="M820" t="str">
            <v>CSD PET</v>
          </cell>
          <cell r="N820" t="str">
            <v>Pepsi Cola</v>
          </cell>
          <cell r="V820" t="str">
            <v>30.03.2027</v>
          </cell>
          <cell r="W820">
            <v>46476</v>
          </cell>
        </row>
        <row r="821">
          <cell r="A821" t="str">
            <v>PEPSI COLA LOW CAL 250ML PET 24X POP_105</v>
          </cell>
          <cell r="B821">
            <v>320023346</v>
          </cell>
          <cell r="C821" t="str">
            <v>PEPSI COLA LOW CAL 250ML PET 24X POP_105</v>
          </cell>
          <cell r="D821">
            <v>15</v>
          </cell>
          <cell r="E821">
            <v>7</v>
          </cell>
          <cell r="F821">
            <v>105</v>
          </cell>
          <cell r="G821">
            <v>250</v>
          </cell>
          <cell r="H821">
            <v>24</v>
          </cell>
          <cell r="I821">
            <v>1.0567</v>
          </cell>
          <cell r="J821">
            <v>180</v>
          </cell>
          <cell r="K821" t="str">
            <v>PET LN 250 P24</v>
          </cell>
          <cell r="L821" t="str">
            <v>250 ml</v>
          </cell>
          <cell r="M821" t="str">
            <v>CSD PET</v>
          </cell>
          <cell r="N821" t="str">
            <v>Pepsi Cola</v>
          </cell>
          <cell r="V821" t="str">
            <v>31.03.2027</v>
          </cell>
          <cell r="W821">
            <v>46477</v>
          </cell>
        </row>
        <row r="822">
          <cell r="A822" t="str">
            <v>MIRINDA STRAW KOREA 345ML PET12X 10B_192</v>
          </cell>
          <cell r="B822">
            <v>320023334</v>
          </cell>
          <cell r="C822" t="str">
            <v>MIRINDA STRAW KOREA 345ML PET12X 10B_192</v>
          </cell>
          <cell r="D822">
            <v>32</v>
          </cell>
          <cell r="E822">
            <v>6</v>
          </cell>
          <cell r="F822">
            <v>192</v>
          </cell>
          <cell r="G822">
            <v>345</v>
          </cell>
          <cell r="H822">
            <v>12</v>
          </cell>
          <cell r="I822">
            <v>0.72912997534343083</v>
          </cell>
          <cell r="J822">
            <v>120</v>
          </cell>
          <cell r="K822" t="str">
            <v>PET 350 P12</v>
          </cell>
          <cell r="L822" t="str">
            <v>345 ml</v>
          </cell>
          <cell r="M822" t="str">
            <v>CSD PET</v>
          </cell>
          <cell r="N822" t="str">
            <v>MRD Strawberry</v>
          </cell>
          <cell r="V822" t="str">
            <v>01.04.2027</v>
          </cell>
          <cell r="W822">
            <v>46478</v>
          </cell>
        </row>
        <row r="823">
          <cell r="A823" t="str">
            <v>TEA PLUS HONEY LEMON 350ML 12X_150</v>
          </cell>
          <cell r="B823">
            <v>320023349</v>
          </cell>
          <cell r="C823" t="str">
            <v>TEA PLUS HONEY LEMON 350ML 12X_150</v>
          </cell>
          <cell r="D823">
            <v>25</v>
          </cell>
          <cell r="E823">
            <v>6</v>
          </cell>
          <cell r="F823">
            <v>150</v>
          </cell>
          <cell r="G823">
            <v>350</v>
          </cell>
          <cell r="H823">
            <v>12</v>
          </cell>
          <cell r="I823">
            <v>0.73969707643536453</v>
          </cell>
          <cell r="J823">
            <v>365</v>
          </cell>
          <cell r="K823" t="str">
            <v>PET TEA+ 350</v>
          </cell>
          <cell r="L823" t="str">
            <v>350 ml</v>
          </cell>
          <cell r="M823" t="str">
            <v>NCB PET</v>
          </cell>
          <cell r="N823" t="str">
            <v>TEA PLUS</v>
          </cell>
          <cell r="V823" t="str">
            <v>02.04.2027</v>
          </cell>
          <cell r="W823">
            <v>46479</v>
          </cell>
        </row>
        <row r="824">
          <cell r="A824" t="str">
            <v>TEA PLUS TASTY 350ML 12X_150</v>
          </cell>
          <cell r="B824">
            <v>320023348</v>
          </cell>
          <cell r="C824" t="str">
            <v>TEA PLUS TASTY 350ML 12X_150</v>
          </cell>
          <cell r="D824">
            <v>25</v>
          </cell>
          <cell r="E824">
            <v>6</v>
          </cell>
          <cell r="F824">
            <v>150</v>
          </cell>
          <cell r="G824">
            <v>350</v>
          </cell>
          <cell r="H824">
            <v>12</v>
          </cell>
          <cell r="I824">
            <v>0.73969707643536453</v>
          </cell>
          <cell r="J824">
            <v>365</v>
          </cell>
          <cell r="K824" t="str">
            <v>PET TEA+ 350</v>
          </cell>
          <cell r="L824" t="str">
            <v>350 ml</v>
          </cell>
          <cell r="M824" t="str">
            <v>NCB PET</v>
          </cell>
          <cell r="N824" t="str">
            <v>TEA PLUS</v>
          </cell>
          <cell r="V824" t="str">
            <v>03.04.2027</v>
          </cell>
          <cell r="W824">
            <v>46480</v>
          </cell>
        </row>
        <row r="825">
          <cell r="A825" t="str">
            <v>MIRINDA STRAW KOREA 1.45L PET 12X_48</v>
          </cell>
          <cell r="B825">
            <v>320023335</v>
          </cell>
          <cell r="C825" t="str">
            <v>MIRINDA STRAW KOREA 1.45L PET 12X_48</v>
          </cell>
          <cell r="D825">
            <v>12</v>
          </cell>
          <cell r="E825">
            <v>4</v>
          </cell>
          <cell r="F825">
            <v>48</v>
          </cell>
          <cell r="G825">
            <v>1450</v>
          </cell>
          <cell r="H825">
            <v>12</v>
          </cell>
          <cell r="I825">
            <v>3.0644593166607961</v>
          </cell>
          <cell r="J825">
            <v>180</v>
          </cell>
          <cell r="K825" t="str">
            <v>PET 1500</v>
          </cell>
          <cell r="L825" t="str">
            <v>1450 ml</v>
          </cell>
          <cell r="M825" t="str">
            <v>CSD PET</v>
          </cell>
          <cell r="N825" t="str">
            <v>MRD Strawberry</v>
          </cell>
          <cell r="V825" t="str">
            <v>04.04.2027</v>
          </cell>
          <cell r="W825">
            <v>46481</v>
          </cell>
        </row>
        <row r="826">
          <cell r="A826" t="str">
            <v>BOSS LATTE 250ML PET 24X_96_4.0 EXP_COBO</v>
          </cell>
          <cell r="B826">
            <v>320023341</v>
          </cell>
          <cell r="C826" t="str">
            <v>BOSS LATTE 250ML PET 24X_96_4.0 EXP_COBO</v>
          </cell>
          <cell r="D826">
            <v>12</v>
          </cell>
          <cell r="E826">
            <v>9</v>
          </cell>
          <cell r="F826">
            <v>108</v>
          </cell>
          <cell r="G826">
            <v>250</v>
          </cell>
          <cell r="H826">
            <v>24</v>
          </cell>
          <cell r="I826">
            <v>1.0567101091933779</v>
          </cell>
          <cell r="J826">
            <v>365</v>
          </cell>
          <cell r="K826" t="str">
            <v>PET COFF 250</v>
          </cell>
          <cell r="L826" t="str">
            <v>250 ml</v>
          </cell>
          <cell r="M826" t="str">
            <v>NCB PET</v>
          </cell>
          <cell r="N826" t="str">
            <v>BOSS COFFEE</v>
          </cell>
          <cell r="V826" t="str">
            <v>05.04.2027</v>
          </cell>
          <cell r="W826">
            <v>46482</v>
          </cell>
        </row>
        <row r="827">
          <cell r="A827" t="str">
            <v>TEA PLUS NO SUGAR 500ML 4XMP_70_rPET_C</v>
          </cell>
          <cell r="B827">
            <v>320023342</v>
          </cell>
          <cell r="C827" t="str">
            <v>TEA PLUS NO SUGAR 500ML 4XMP_70_rPET_C</v>
          </cell>
          <cell r="D827">
            <v>10</v>
          </cell>
          <cell r="E827">
            <v>7</v>
          </cell>
          <cell r="F827">
            <v>70</v>
          </cell>
          <cell r="G827">
            <v>500</v>
          </cell>
          <cell r="H827">
            <v>24</v>
          </cell>
          <cell r="I827">
            <v>2.1134202183867559</v>
          </cell>
          <cell r="J827">
            <v>365</v>
          </cell>
          <cell r="K827" t="str">
            <v>PET TEA+ 500</v>
          </cell>
          <cell r="L827" t="str">
            <v>500 ml</v>
          </cell>
          <cell r="M827" t="str">
            <v>NCB PET</v>
          </cell>
          <cell r="N827" t="str">
            <v>TEA PLUS</v>
          </cell>
          <cell r="V827" t="str">
            <v>06.04.2027</v>
          </cell>
          <cell r="W827">
            <v>46483</v>
          </cell>
        </row>
        <row r="828">
          <cell r="A828" t="str">
            <v>BOSS YUZU BLACK 250ML PET 24X_96 COBO</v>
          </cell>
          <cell r="B828">
            <v>320023343</v>
          </cell>
          <cell r="C828" t="str">
            <v>BOSS YUZU BLACK 250ML PET 24X_96 COBO</v>
          </cell>
          <cell r="D828">
            <v>12</v>
          </cell>
          <cell r="E828">
            <v>9</v>
          </cell>
          <cell r="F828">
            <v>108</v>
          </cell>
          <cell r="G828">
            <v>250</v>
          </cell>
          <cell r="H828">
            <v>24</v>
          </cell>
          <cell r="I828">
            <v>1.0567101091933779</v>
          </cell>
          <cell r="J828">
            <v>365</v>
          </cell>
          <cell r="K828" t="str">
            <v>PET COFF 250</v>
          </cell>
          <cell r="L828" t="str">
            <v>250 ml</v>
          </cell>
          <cell r="M828" t="str">
            <v>NCB PET</v>
          </cell>
          <cell r="N828" t="str">
            <v>BOSS COFFEE</v>
          </cell>
          <cell r="V828" t="str">
            <v>07.04.2027</v>
          </cell>
          <cell r="W828">
            <v>46484</v>
          </cell>
        </row>
        <row r="829">
          <cell r="A829" t="str">
            <v>PEPSI NO SUGAR CLEAR 550ML PET 24X_66</v>
          </cell>
          <cell r="B829">
            <v>320023311</v>
          </cell>
          <cell r="C829" t="str">
            <v>PEPSI NO SUGAR CLEAR 550ML PET 24X_66</v>
          </cell>
          <cell r="D829">
            <v>11</v>
          </cell>
          <cell r="E829">
            <v>6</v>
          </cell>
          <cell r="F829">
            <v>66</v>
          </cell>
          <cell r="G829">
            <v>550</v>
          </cell>
          <cell r="H829">
            <v>24</v>
          </cell>
          <cell r="I829">
            <v>2.3247622402254313</v>
          </cell>
          <cell r="J829">
            <v>180</v>
          </cell>
          <cell r="K829" t="str">
            <v>PET 550</v>
          </cell>
          <cell r="L829" t="str">
            <v>550 ml</v>
          </cell>
          <cell r="M829" t="str">
            <v>CSD PET</v>
          </cell>
          <cell r="N829" t="str">
            <v>PEPSI NO SUGAR CLEAR</v>
          </cell>
          <cell r="V829" t="str">
            <v>08.04.2027</v>
          </cell>
          <cell r="W829">
            <v>46485</v>
          </cell>
        </row>
        <row r="830">
          <cell r="A830" t="str">
            <v>PEPSI NO SUGAR CLEAR 345ML PET12X_192</v>
          </cell>
          <cell r="B830">
            <v>320023312</v>
          </cell>
          <cell r="C830" t="str">
            <v>PEPSI NO SUGAR CLEAR 345ML PET12X_192</v>
          </cell>
          <cell r="D830">
            <v>32</v>
          </cell>
          <cell r="E830">
            <v>6</v>
          </cell>
          <cell r="F830">
            <v>192</v>
          </cell>
          <cell r="G830">
            <v>345</v>
          </cell>
          <cell r="H830">
            <v>12</v>
          </cell>
          <cell r="I830">
            <v>0.72912997534343083</v>
          </cell>
          <cell r="J830">
            <v>120</v>
          </cell>
          <cell r="K830" t="str">
            <v>PET 350 P12</v>
          </cell>
          <cell r="L830" t="str">
            <v>345 ml</v>
          </cell>
          <cell r="M830" t="str">
            <v>CSD PET</v>
          </cell>
          <cell r="N830" t="str">
            <v>PEPSI NO SUGAR CLEAR</v>
          </cell>
          <cell r="V830" t="str">
            <v>09.04.2027</v>
          </cell>
          <cell r="W830">
            <v>46486</v>
          </cell>
        </row>
        <row r="831">
          <cell r="A831" t="str">
            <v>PEPSI NO SUGAR CLEAR 1.45L PET 12X_48</v>
          </cell>
          <cell r="B831">
            <v>320023313</v>
          </cell>
          <cell r="C831" t="str">
            <v>PEPSI NO SUGAR CLEAR 1.45L PET 12X_48</v>
          </cell>
          <cell r="D831">
            <v>12</v>
          </cell>
          <cell r="E831">
            <v>4</v>
          </cell>
          <cell r="F831">
            <v>48</v>
          </cell>
          <cell r="G831">
            <v>1450</v>
          </cell>
          <cell r="H831">
            <v>12</v>
          </cell>
          <cell r="I831">
            <v>3.0644593166607961</v>
          </cell>
          <cell r="J831">
            <v>180</v>
          </cell>
          <cell r="K831" t="str">
            <v>PET 1500</v>
          </cell>
          <cell r="L831" t="str">
            <v>1450 ml</v>
          </cell>
          <cell r="M831" t="str">
            <v>CSD PET</v>
          </cell>
          <cell r="N831" t="str">
            <v>PEPSI NO SUGAR CLEAR</v>
          </cell>
          <cell r="V831" t="str">
            <v>10.04.2027</v>
          </cell>
          <cell r="W831">
            <v>46487</v>
          </cell>
        </row>
        <row r="832">
          <cell r="A832" t="str">
            <v>PEPSI NO SUGAR CLEAR 1L PET 12X_70 R</v>
          </cell>
          <cell r="B832">
            <v>320023314</v>
          </cell>
          <cell r="C832" t="str">
            <v>PEPSI NO SUGAR CLEAR 1L PET 12X_70 R</v>
          </cell>
          <cell r="D832">
            <v>14</v>
          </cell>
          <cell r="E832">
            <v>5</v>
          </cell>
          <cell r="F832">
            <v>70</v>
          </cell>
          <cell r="G832">
            <v>1000</v>
          </cell>
          <cell r="H832">
            <v>12</v>
          </cell>
          <cell r="I832">
            <v>2.1134202183867559</v>
          </cell>
          <cell r="J832">
            <v>180</v>
          </cell>
          <cell r="K832" t="str">
            <v>PET 1000</v>
          </cell>
          <cell r="L832" t="str">
            <v>1000 ml</v>
          </cell>
          <cell r="M832" t="str">
            <v>CSD PET</v>
          </cell>
          <cell r="N832" t="str">
            <v>PEPSI NO SUGAR CLEAR</v>
          </cell>
          <cell r="V832" t="str">
            <v>11.04.2027</v>
          </cell>
          <cell r="W832">
            <v>46488</v>
          </cell>
        </row>
        <row r="833">
          <cell r="A833" t="str">
            <v>STING Original Boost 250ML PET 12X_224</v>
          </cell>
          <cell r="B833">
            <v>320023352</v>
          </cell>
          <cell r="C833" t="str">
            <v>STING Original Boost 250ML PET 12X_224</v>
          </cell>
          <cell r="D833">
            <v>32</v>
          </cell>
          <cell r="E833">
            <v>7</v>
          </cell>
          <cell r="F833">
            <v>224</v>
          </cell>
          <cell r="G833">
            <v>250</v>
          </cell>
          <cell r="H833">
            <v>12</v>
          </cell>
          <cell r="I833">
            <v>0.52839999999999998</v>
          </cell>
          <cell r="J833">
            <v>180</v>
          </cell>
          <cell r="K833" t="str">
            <v>PET LN 250 P12</v>
          </cell>
          <cell r="L833" t="str">
            <v>250 ml</v>
          </cell>
          <cell r="M833" t="str">
            <v>CSD PET</v>
          </cell>
          <cell r="N833" t="str">
            <v>STING</v>
          </cell>
          <cell r="V833" t="str">
            <v>12.04.2027</v>
          </cell>
          <cell r="W833">
            <v>46489</v>
          </cell>
        </row>
        <row r="834">
          <cell r="A834" t="str">
            <v>STING ORIGINAL BOOST 245MLPET12X_224SMP</v>
          </cell>
          <cell r="B834">
            <v>320023353</v>
          </cell>
          <cell r="C834" t="str">
            <v>STING ORIGINAL BOOST 245MLPET12X_224SMP</v>
          </cell>
          <cell r="D834">
            <v>32</v>
          </cell>
          <cell r="E834">
            <v>7</v>
          </cell>
          <cell r="F834">
            <v>224</v>
          </cell>
          <cell r="G834">
            <v>250</v>
          </cell>
          <cell r="H834">
            <v>12</v>
          </cell>
          <cell r="I834">
            <v>0.52839999999999998</v>
          </cell>
          <cell r="J834">
            <v>180</v>
          </cell>
          <cell r="K834" t="str">
            <v>PET LN 250 P12</v>
          </cell>
          <cell r="L834" t="str">
            <v>250 ml</v>
          </cell>
          <cell r="M834" t="str">
            <v>CSD PET</v>
          </cell>
          <cell r="N834" t="str">
            <v>STING</v>
          </cell>
          <cell r="V834" t="str">
            <v>13.04.2027</v>
          </cell>
          <cell r="W834">
            <v>46490</v>
          </cell>
        </row>
        <row r="835">
          <cell r="A835" t="str">
            <v>PEPSI NO SUGAR CLEAR 1.45L PET 4X_120</v>
          </cell>
          <cell r="B835">
            <v>320023354</v>
          </cell>
          <cell r="C835" t="str">
            <v>PEPSI NO SUGAR CLEAR 1.45L PET 4X_120</v>
          </cell>
          <cell r="D835">
            <v>30</v>
          </cell>
          <cell r="E835">
            <v>4</v>
          </cell>
          <cell r="F835">
            <v>120</v>
          </cell>
          <cell r="G835">
            <v>1450</v>
          </cell>
          <cell r="H835">
            <v>4</v>
          </cell>
          <cell r="I835">
            <v>1.021486438886932</v>
          </cell>
          <cell r="J835">
            <v>180</v>
          </cell>
          <cell r="K835" t="str">
            <v>PET 1500</v>
          </cell>
          <cell r="L835" t="str">
            <v>1450 ml</v>
          </cell>
          <cell r="M835" t="str">
            <v>CSD PET</v>
          </cell>
          <cell r="N835" t="str">
            <v>PEPSI NO SUGAR CLEAR</v>
          </cell>
          <cell r="V835" t="str">
            <v>14.04.2027</v>
          </cell>
          <cell r="W835">
            <v>46491</v>
          </cell>
        </row>
        <row r="836">
          <cell r="A836" t="str">
            <v>PEPSI LOW CAL 1.24L PET12X STH POP_48 R</v>
          </cell>
          <cell r="B836">
            <v>320023355</v>
          </cell>
          <cell r="C836" t="str">
            <v>PEPSI LOW CAL 1.24L PET12X STH POP_48 R</v>
          </cell>
          <cell r="D836">
            <v>12</v>
          </cell>
          <cell r="E836">
            <v>4</v>
          </cell>
          <cell r="F836">
            <v>48</v>
          </cell>
          <cell r="G836">
            <v>1240</v>
          </cell>
          <cell r="H836">
            <v>12</v>
          </cell>
          <cell r="I836">
            <v>2.6206410707995773</v>
          </cell>
          <cell r="J836">
            <v>180</v>
          </cell>
          <cell r="K836" t="str">
            <v>PET 1250</v>
          </cell>
          <cell r="L836" t="str">
            <v>1240 ml</v>
          </cell>
          <cell r="M836" t="str">
            <v>CSD PET</v>
          </cell>
          <cell r="N836" t="str">
            <v>Pepsi Cola</v>
          </cell>
          <cell r="V836" t="str">
            <v>15.04.2027</v>
          </cell>
          <cell r="W836">
            <v>46492</v>
          </cell>
        </row>
        <row r="837">
          <cell r="A837" t="str">
            <v>PEPSI LOW CAL 1.24L PET12X STH POP_48</v>
          </cell>
          <cell r="B837">
            <v>320023356</v>
          </cell>
          <cell r="C837" t="str">
            <v>PEPSI LOW CAL 1.24L PET12X STH POP_48</v>
          </cell>
          <cell r="D837">
            <v>12</v>
          </cell>
          <cell r="E837">
            <v>4</v>
          </cell>
          <cell r="F837">
            <v>48</v>
          </cell>
          <cell r="G837">
            <v>1240</v>
          </cell>
          <cell r="H837">
            <v>12</v>
          </cell>
          <cell r="I837">
            <v>2.6206410707995773</v>
          </cell>
          <cell r="J837">
            <v>180</v>
          </cell>
          <cell r="K837" t="str">
            <v>PET 1250</v>
          </cell>
          <cell r="L837" t="str">
            <v>1240 ml</v>
          </cell>
          <cell r="M837" t="str">
            <v>CSD PET</v>
          </cell>
          <cell r="N837" t="str">
            <v>Pepsi Cola</v>
          </cell>
          <cell r="V837" t="str">
            <v>16.04.2027</v>
          </cell>
          <cell r="W837">
            <v>46493</v>
          </cell>
        </row>
        <row r="838">
          <cell r="A838" t="str">
            <v>PEPSI LOW CAL 640ML PET12X _110 R</v>
          </cell>
          <cell r="B838">
            <v>320023357</v>
          </cell>
          <cell r="C838" t="str">
            <v>PEPSI LOW CAL 640ML PET12X _110 R</v>
          </cell>
          <cell r="D838">
            <v>22</v>
          </cell>
          <cell r="E838">
            <v>5</v>
          </cell>
          <cell r="F838">
            <v>110</v>
          </cell>
          <cell r="G838">
            <v>640</v>
          </cell>
          <cell r="H838">
            <v>12</v>
          </cell>
          <cell r="I838">
            <v>1.3525889397675237</v>
          </cell>
          <cell r="J838">
            <v>180</v>
          </cell>
          <cell r="K838" t="str">
            <v>PET 640</v>
          </cell>
          <cell r="L838" t="str">
            <v>640 ml</v>
          </cell>
          <cell r="M838" t="str">
            <v>CSD PET</v>
          </cell>
          <cell r="N838" t="str">
            <v>Pepsi Cola</v>
          </cell>
          <cell r="V838" t="str">
            <v>17.04.2027</v>
          </cell>
          <cell r="W838">
            <v>46494</v>
          </cell>
        </row>
        <row r="839">
          <cell r="A839" t="str">
            <v>PEPSI LOW CAL 1.26L PET12X POP_48 R</v>
          </cell>
          <cell r="B839">
            <v>320023358</v>
          </cell>
          <cell r="C839" t="str">
            <v>PEPSI LOW CAL 1.26L PET12X POP_48 R</v>
          </cell>
          <cell r="D839">
            <v>12</v>
          </cell>
          <cell r="E839">
            <v>4</v>
          </cell>
          <cell r="F839">
            <v>48</v>
          </cell>
          <cell r="G839">
            <v>1260</v>
          </cell>
          <cell r="H839">
            <v>12</v>
          </cell>
          <cell r="I839">
            <v>2.6629094751673126</v>
          </cell>
          <cell r="J839">
            <v>180</v>
          </cell>
          <cell r="K839" t="str">
            <v>PET 1250</v>
          </cell>
          <cell r="L839" t="str">
            <v>1260 ml</v>
          </cell>
          <cell r="M839" t="str">
            <v>CSD PET</v>
          </cell>
          <cell r="N839" t="str">
            <v>Pepsi Cola</v>
          </cell>
          <cell r="V839" t="str">
            <v>18.04.2027</v>
          </cell>
          <cell r="W839">
            <v>46495</v>
          </cell>
        </row>
        <row r="840">
          <cell r="A840" t="str">
            <v>PEPSI NO SUGAR 5L BIB 1X_64</v>
          </cell>
          <cell r="B840">
            <v>320023363</v>
          </cell>
          <cell r="C840" t="str">
            <v>PEPSI NO SUGAR 5L BIB 1X_64</v>
          </cell>
          <cell r="D840">
            <v>16</v>
          </cell>
          <cell r="E840">
            <v>4</v>
          </cell>
          <cell r="F840">
            <v>64</v>
          </cell>
          <cell r="G840">
            <v>5000</v>
          </cell>
          <cell r="H840">
            <v>6</v>
          </cell>
          <cell r="I840">
            <v>5.2835505459668894</v>
          </cell>
          <cell r="J840">
            <v>180</v>
          </cell>
          <cell r="K840" t="str">
            <v>BIB 5L</v>
          </cell>
          <cell r="L840" t="str">
            <v>5 L</v>
          </cell>
          <cell r="M840" t="str">
            <v>CSD PMX</v>
          </cell>
          <cell r="N840" t="str">
            <v>PEPSI NO SUGAR</v>
          </cell>
          <cell r="V840" t="str">
            <v>19.04.2027</v>
          </cell>
          <cell r="W840">
            <v>46496</v>
          </cell>
        </row>
        <row r="841">
          <cell r="A841" t="str">
            <v>PEPSI COLA MID CAL 640ML PET 12X _110 R</v>
          </cell>
          <cell r="B841">
            <v>320023364</v>
          </cell>
          <cell r="C841" t="str">
            <v>PEPSI COLA MID CAL 640ML PET 12X _110 R</v>
          </cell>
          <cell r="D841">
            <v>22</v>
          </cell>
          <cell r="E841">
            <v>5</v>
          </cell>
          <cell r="F841">
            <v>110</v>
          </cell>
          <cell r="G841">
            <v>640</v>
          </cell>
          <cell r="H841">
            <v>12</v>
          </cell>
          <cell r="I841">
            <v>1.3525889397675237</v>
          </cell>
          <cell r="J841">
            <v>180</v>
          </cell>
          <cell r="K841" t="str">
            <v>PET 640</v>
          </cell>
          <cell r="L841" t="str">
            <v>640 ml</v>
          </cell>
          <cell r="M841" t="str">
            <v>CSD PET</v>
          </cell>
          <cell r="N841" t="str">
            <v>Pepsi Cola</v>
          </cell>
          <cell r="V841" t="str">
            <v>20.04.2027</v>
          </cell>
          <cell r="W841">
            <v>46497</v>
          </cell>
        </row>
        <row r="842">
          <cell r="A842" t="str">
            <v>PEPSI MID CAL BIB 10L HIGH YIELD 1X_48</v>
          </cell>
          <cell r="B842">
            <v>320023365</v>
          </cell>
          <cell r="C842" t="str">
            <v>PEPSI MID CAL BIB 10L HIGH YIELD 1X_48</v>
          </cell>
          <cell r="D842">
            <v>12</v>
          </cell>
          <cell r="E842">
            <v>4</v>
          </cell>
          <cell r="F842">
            <v>48</v>
          </cell>
          <cell r="G842">
            <v>10000</v>
          </cell>
          <cell r="H842">
            <v>9.5</v>
          </cell>
          <cell r="I842">
            <v>16.731243395561819</v>
          </cell>
          <cell r="J842">
            <v>180</v>
          </cell>
          <cell r="K842" t="str">
            <v>BIB 10L</v>
          </cell>
          <cell r="L842" t="str">
            <v>10 L</v>
          </cell>
          <cell r="M842" t="str">
            <v>CSD PMX</v>
          </cell>
          <cell r="N842" t="str">
            <v>Pepsi Cola</v>
          </cell>
          <cell r="V842" t="str">
            <v>21.04.2027</v>
          </cell>
          <cell r="W842">
            <v>46498</v>
          </cell>
        </row>
        <row r="843">
          <cell r="A843" t="str">
            <v>PEPSI COLA LOW CAL 330ML PET 4X MP_91 R</v>
          </cell>
          <cell r="B843">
            <v>320023366</v>
          </cell>
          <cell r="C843" t="str">
            <v>PEPSI COLA LOW CAL 330ML PET 4X MP_91 R</v>
          </cell>
          <cell r="D843">
            <v>13</v>
          </cell>
          <cell r="E843">
            <v>7</v>
          </cell>
          <cell r="F843">
            <v>91</v>
          </cell>
          <cell r="G843">
            <v>330</v>
          </cell>
          <cell r="H843">
            <v>24</v>
          </cell>
          <cell r="I843">
            <v>1.394857344135259</v>
          </cell>
          <cell r="J843">
            <v>120</v>
          </cell>
          <cell r="V843" t="str">
            <v>22.04.2027</v>
          </cell>
          <cell r="W843">
            <v>46499</v>
          </cell>
        </row>
        <row r="844">
          <cell r="A844" t="str">
            <v>PEPSI COLA LOW CAL 330ML PET 24X_98 NP R</v>
          </cell>
          <cell r="B844">
            <v>320023367</v>
          </cell>
          <cell r="C844" t="str">
            <v>PEPSI COLA LOW CAL 330ML PET 24X_98 NP R</v>
          </cell>
          <cell r="D844">
            <v>13</v>
          </cell>
          <cell r="E844">
            <v>7</v>
          </cell>
          <cell r="F844">
            <v>91</v>
          </cell>
          <cell r="G844">
            <v>330</v>
          </cell>
          <cell r="H844">
            <v>24</v>
          </cell>
          <cell r="I844">
            <v>1.394857344135259</v>
          </cell>
          <cell r="J844">
            <v>120</v>
          </cell>
          <cell r="V844" t="str">
            <v>23.04.2027</v>
          </cell>
          <cell r="W844">
            <v>46500</v>
          </cell>
        </row>
        <row r="845">
          <cell r="A845" t="str">
            <v>TEA PLUS TASTY 375ML 12X_150</v>
          </cell>
          <cell r="B845">
            <v>320023368</v>
          </cell>
          <cell r="C845" t="str">
            <v>TEA PLUS TASTY 375ML 12X_150</v>
          </cell>
          <cell r="D845">
            <v>25</v>
          </cell>
          <cell r="E845">
            <v>6</v>
          </cell>
          <cell r="F845">
            <v>150</v>
          </cell>
          <cell r="G845">
            <v>375</v>
          </cell>
          <cell r="H845">
            <v>12</v>
          </cell>
          <cell r="I845">
            <v>0.79253258189503351</v>
          </cell>
          <cell r="J845">
            <v>365</v>
          </cell>
          <cell r="K845" t="str">
            <v>PET TEA+ 375</v>
          </cell>
          <cell r="L845" t="str">
            <v>375 ml</v>
          </cell>
          <cell r="M845" t="str">
            <v>NCB PET</v>
          </cell>
          <cell r="N845" t="str">
            <v>TEA PLUS</v>
          </cell>
          <cell r="V845" t="str">
            <v>24.04.2027</v>
          </cell>
          <cell r="W845">
            <v>46501</v>
          </cell>
        </row>
        <row r="846">
          <cell r="A846" t="str">
            <v>TEA PLUS HONEY LEMON 375ML 12X_150</v>
          </cell>
          <cell r="B846">
            <v>320023369</v>
          </cell>
          <cell r="C846" t="str">
            <v>TEA PLUS HONEY LEMON 375ML 12X_150</v>
          </cell>
          <cell r="D846">
            <v>25</v>
          </cell>
          <cell r="E846">
            <v>6</v>
          </cell>
          <cell r="F846">
            <v>150</v>
          </cell>
          <cell r="G846">
            <v>375</v>
          </cell>
          <cell r="H846">
            <v>12</v>
          </cell>
          <cell r="I846">
            <v>0.79253258189503351</v>
          </cell>
          <cell r="J846">
            <v>365</v>
          </cell>
          <cell r="K846" t="str">
            <v>PET TEA+ 375</v>
          </cell>
          <cell r="L846" t="str">
            <v>375 ml</v>
          </cell>
          <cell r="M846" t="str">
            <v>NCB PET</v>
          </cell>
          <cell r="N846" t="str">
            <v>TEA PLUS</v>
          </cell>
          <cell r="V846" t="str">
            <v>25.04.2027</v>
          </cell>
          <cell r="W846">
            <v>46502</v>
          </cell>
        </row>
        <row r="847">
          <cell r="V847" t="str">
            <v>26.04.2027</v>
          </cell>
          <cell r="W847">
            <v>46503</v>
          </cell>
        </row>
        <row r="848">
          <cell r="A848" t="str">
            <v>7UP NS STRAW LEMON 345ML PET12X_192</v>
          </cell>
          <cell r="B848">
            <v>320023371</v>
          </cell>
          <cell r="C848" t="str">
            <v>7UP NS STRAW LEMON 345ML PET12X_192</v>
          </cell>
          <cell r="D848">
            <v>32</v>
          </cell>
          <cell r="E848">
            <v>6</v>
          </cell>
          <cell r="F848">
            <v>192</v>
          </cell>
          <cell r="G848">
            <v>345</v>
          </cell>
          <cell r="H848">
            <v>12</v>
          </cell>
          <cell r="I848">
            <v>0.72912997534343083</v>
          </cell>
          <cell r="J848">
            <v>120</v>
          </cell>
          <cell r="K848" t="str">
            <v>PET 350 P12</v>
          </cell>
          <cell r="L848" t="str">
            <v>345 ml</v>
          </cell>
          <cell r="M848" t="str">
            <v>CSD PET</v>
          </cell>
          <cell r="N848" t="str">
            <v>7-Up</v>
          </cell>
          <cell r="V848" t="str">
            <v>27.04.2027</v>
          </cell>
          <cell r="W848">
            <v>46504</v>
          </cell>
        </row>
        <row r="849">
          <cell r="A849" t="str">
            <v>MIRINDA BB ORANGE 1.45L PET 12X_48</v>
          </cell>
          <cell r="B849">
            <v>320023361</v>
          </cell>
          <cell r="C849" t="str">
            <v>MIRINDA BB ORANGE 1.45L PET 12X_48</v>
          </cell>
          <cell r="D849">
            <v>12</v>
          </cell>
          <cell r="E849">
            <v>4</v>
          </cell>
          <cell r="F849">
            <v>48</v>
          </cell>
          <cell r="G849">
            <v>1450</v>
          </cell>
          <cell r="H849">
            <v>12</v>
          </cell>
          <cell r="I849">
            <v>3.0644593166607961</v>
          </cell>
          <cell r="J849">
            <v>180</v>
          </cell>
          <cell r="K849" t="str">
            <v>PET 1500</v>
          </cell>
          <cell r="L849" t="str">
            <v>1450 ml</v>
          </cell>
          <cell r="M849" t="str">
            <v>CSD PET</v>
          </cell>
          <cell r="N849" t="str">
            <v>MRD BB Orange</v>
          </cell>
          <cell r="V849" t="str">
            <v>28.04.2027</v>
          </cell>
          <cell r="W849">
            <v>46505</v>
          </cell>
        </row>
        <row r="850">
          <cell r="A850" t="str">
            <v>MIRINDA APPLE KIWI 440ML PET 24X_72</v>
          </cell>
          <cell r="B850">
            <v>320023237</v>
          </cell>
          <cell r="C850" t="str">
            <v>MIRINDA APPLE KIWI 440ML PET 24X_72</v>
          </cell>
          <cell r="D850">
            <v>12</v>
          </cell>
          <cell r="E850">
            <v>6</v>
          </cell>
          <cell r="F850">
            <v>72</v>
          </cell>
          <cell r="G850">
            <v>440</v>
          </cell>
          <cell r="H850">
            <v>24</v>
          </cell>
          <cell r="I850">
            <v>1.8598097921803451</v>
          </cell>
          <cell r="J850">
            <v>180</v>
          </cell>
          <cell r="K850" t="str">
            <v>PET AQ 450</v>
          </cell>
          <cell r="L850" t="str">
            <v>440 ml</v>
          </cell>
          <cell r="M850" t="str">
            <v>CSD PET</v>
          </cell>
          <cell r="N850" t="str">
            <v>MRD APPLE KIWI</v>
          </cell>
          <cell r="V850" t="str">
            <v>29.04.2027</v>
          </cell>
          <cell r="W850">
            <v>46506</v>
          </cell>
        </row>
        <row r="851">
          <cell r="A851" t="str">
            <v>PEPSI COLA MID CAL 300ML PET24X _119 R</v>
          </cell>
          <cell r="B851">
            <v>320023372</v>
          </cell>
          <cell r="C851" t="str">
            <v>PEPSI COLA MID CAL 300ML PET24X _119 R</v>
          </cell>
          <cell r="D851">
            <v>17</v>
          </cell>
          <cell r="E851">
            <v>7</v>
          </cell>
          <cell r="F851">
            <v>119</v>
          </cell>
          <cell r="G851">
            <v>300</v>
          </cell>
          <cell r="H851">
            <v>24</v>
          </cell>
          <cell r="I851">
            <v>1.2680521310320536</v>
          </cell>
          <cell r="J851">
            <v>120</v>
          </cell>
          <cell r="K851" t="str">
            <v>PET 300 EMN P24</v>
          </cell>
          <cell r="L851" t="str">
            <v>300 ml</v>
          </cell>
          <cell r="M851" t="str">
            <v>CSD PET</v>
          </cell>
          <cell r="N851" t="str">
            <v>Pepsi Cola</v>
          </cell>
          <cell r="V851" t="str">
            <v>30.04.2027</v>
          </cell>
          <cell r="W851">
            <v>46507</v>
          </cell>
        </row>
        <row r="852">
          <cell r="A852" t="str">
            <v>BOSS DOUBLE ESPRESSO 250ML PET 24X_96</v>
          </cell>
          <cell r="B852">
            <v>320023195</v>
          </cell>
          <cell r="C852" t="str">
            <v>BOSS DOUBLE ESPRESSO 250ML PET 24X_96</v>
          </cell>
          <cell r="D852">
            <v>12</v>
          </cell>
          <cell r="E852">
            <v>9</v>
          </cell>
          <cell r="F852">
            <v>108</v>
          </cell>
          <cell r="G852">
            <v>250</v>
          </cell>
          <cell r="H852">
            <v>24</v>
          </cell>
          <cell r="I852">
            <v>1.0567101091933779</v>
          </cell>
          <cell r="J852">
            <v>365</v>
          </cell>
          <cell r="K852" t="str">
            <v>PET COFF 250</v>
          </cell>
          <cell r="L852" t="str">
            <v>250 ml</v>
          </cell>
          <cell r="M852" t="str">
            <v>NCB PET</v>
          </cell>
          <cell r="N852" t="str">
            <v>BOSS COFFEE</v>
          </cell>
          <cell r="V852" t="str">
            <v>01.05.2027</v>
          </cell>
          <cell r="W852">
            <v>46508</v>
          </cell>
        </row>
        <row r="853">
          <cell r="A853" t="str">
            <v>TEA PLUS NO SUGAR490ML 4XMP_70_rPET_COBO</v>
          </cell>
          <cell r="B853">
            <v>320023044</v>
          </cell>
          <cell r="C853" t="str">
            <v>TEA PLUS NO SUGAR490ML 4XMP_70_rPET_COBO</v>
          </cell>
          <cell r="D853">
            <v>10</v>
          </cell>
          <cell r="E853">
            <v>7</v>
          </cell>
          <cell r="F853">
            <v>70</v>
          </cell>
          <cell r="G853">
            <v>490</v>
          </cell>
          <cell r="H853">
            <v>24</v>
          </cell>
          <cell r="I853">
            <v>2.0711518140190206</v>
          </cell>
          <cell r="J853">
            <v>365</v>
          </cell>
          <cell r="K853" t="str">
            <v>PET TEA+ 500</v>
          </cell>
          <cell r="L853" t="str">
            <v>490 ml</v>
          </cell>
          <cell r="M853" t="str">
            <v>NCB PET</v>
          </cell>
          <cell r="N853" t="str">
            <v>TEA PLUS</v>
          </cell>
          <cell r="V853" t="str">
            <v>02.05.2027</v>
          </cell>
          <cell r="W853">
            <v>46509</v>
          </cell>
        </row>
        <row r="854">
          <cell r="A854" t="str">
            <v>TEA PLUS NO SUGAR 500ML 24X_60_rPET</v>
          </cell>
          <cell r="B854">
            <v>320023047</v>
          </cell>
          <cell r="C854" t="str">
            <v>TEA PLUS NO SUGAR 500ML 24X_60_rPET</v>
          </cell>
          <cell r="D854">
            <v>10</v>
          </cell>
          <cell r="E854">
            <v>6</v>
          </cell>
          <cell r="F854">
            <v>60</v>
          </cell>
          <cell r="G854">
            <v>500</v>
          </cell>
          <cell r="H854">
            <v>24</v>
          </cell>
          <cell r="I854">
            <v>2.1134202183867559</v>
          </cell>
          <cell r="J854">
            <v>365</v>
          </cell>
          <cell r="K854" t="str">
            <v>PET TEA+ 500</v>
          </cell>
          <cell r="L854" t="str">
            <v>500 ml</v>
          </cell>
          <cell r="M854" t="str">
            <v>NCB PET</v>
          </cell>
          <cell r="N854" t="str">
            <v>TEA PLUS</v>
          </cell>
          <cell r="V854" t="str">
            <v>03.05.2027</v>
          </cell>
          <cell r="W854">
            <v>46510</v>
          </cell>
        </row>
        <row r="855">
          <cell r="A855" t="str">
            <v>TEA PLUS BARLEYBROWN SUGAR 490 RPET_COBO</v>
          </cell>
          <cell r="B855">
            <v>320023111</v>
          </cell>
          <cell r="C855" t="str">
            <v>TEA PLUS BARLEYBROWN SUGAR 490 RPET_COBO</v>
          </cell>
          <cell r="D855">
            <v>10</v>
          </cell>
          <cell r="E855">
            <v>7</v>
          </cell>
          <cell r="F855">
            <v>70</v>
          </cell>
          <cell r="G855">
            <v>490</v>
          </cell>
          <cell r="H855">
            <v>24</v>
          </cell>
          <cell r="I855">
            <v>2.0711518140190206</v>
          </cell>
          <cell r="J855">
            <v>365</v>
          </cell>
          <cell r="K855" t="str">
            <v>PET TEA+ 500</v>
          </cell>
          <cell r="L855" t="str">
            <v>490 ml</v>
          </cell>
          <cell r="M855" t="str">
            <v>NCB PET</v>
          </cell>
          <cell r="N855" t="str">
            <v>TEA PLUS</v>
          </cell>
          <cell r="V855" t="str">
            <v>04.05.2027</v>
          </cell>
          <cell r="W855">
            <v>46511</v>
          </cell>
        </row>
        <row r="856">
          <cell r="A856" t="str">
            <v>TEA PLUS TASTY 490ML 4X MP_70_rPET_COBO</v>
          </cell>
          <cell r="B856">
            <v>320023045</v>
          </cell>
          <cell r="C856" t="str">
            <v>TEA PLUS TASTY 490ML 4X MP_70_rPET_COBO</v>
          </cell>
          <cell r="D856">
            <v>10</v>
          </cell>
          <cell r="E856">
            <v>7</v>
          </cell>
          <cell r="F856">
            <v>70</v>
          </cell>
          <cell r="G856">
            <v>490</v>
          </cell>
          <cell r="H856">
            <v>24</v>
          </cell>
          <cell r="I856">
            <v>2.0711518140190206</v>
          </cell>
          <cell r="J856">
            <v>365</v>
          </cell>
          <cell r="K856" t="str">
            <v>PET TEA+ 500</v>
          </cell>
          <cell r="L856" t="str">
            <v>490 ml</v>
          </cell>
          <cell r="M856" t="str">
            <v>NCB PET</v>
          </cell>
          <cell r="N856" t="str">
            <v>TEA PLUS</v>
          </cell>
          <cell r="V856" t="str">
            <v>05.05.2027</v>
          </cell>
          <cell r="W856">
            <v>46512</v>
          </cell>
        </row>
        <row r="857">
          <cell r="A857" t="str">
            <v>TEA PLUS TASTY 500ML 24X_60_rPET</v>
          </cell>
          <cell r="B857">
            <v>320023049</v>
          </cell>
          <cell r="C857" t="str">
            <v>TEA PLUS TASTY 500ML 24X_60_rPET</v>
          </cell>
          <cell r="D857">
            <v>10</v>
          </cell>
          <cell r="E857">
            <v>6</v>
          </cell>
          <cell r="F857">
            <v>60</v>
          </cell>
          <cell r="G857">
            <v>500</v>
          </cell>
          <cell r="H857">
            <v>24</v>
          </cell>
          <cell r="I857">
            <v>2.1134202183867559</v>
          </cell>
          <cell r="J857">
            <v>365</v>
          </cell>
          <cell r="K857" t="str">
            <v>PET TEA+ 500</v>
          </cell>
          <cell r="L857" t="str">
            <v>500 ml</v>
          </cell>
          <cell r="M857" t="str">
            <v>NCB PET</v>
          </cell>
          <cell r="N857" t="str">
            <v>TEA PLUS</v>
          </cell>
          <cell r="V857" t="str">
            <v>06.05.2027</v>
          </cell>
          <cell r="W857">
            <v>46513</v>
          </cell>
        </row>
        <row r="858">
          <cell r="A858" t="str">
            <v>TEA PLUS TASTY 500ML 4XMP_70_rPET_COBO</v>
          </cell>
          <cell r="B858">
            <v>320023212</v>
          </cell>
          <cell r="C858" t="str">
            <v>TEA PLUS TASTY 500ML 4XMP_70_rPET_COBO</v>
          </cell>
          <cell r="D858">
            <v>10</v>
          </cell>
          <cell r="E858">
            <v>7</v>
          </cell>
          <cell r="F858">
            <v>70</v>
          </cell>
          <cell r="G858">
            <v>500</v>
          </cell>
          <cell r="H858">
            <v>24</v>
          </cell>
          <cell r="I858">
            <v>2.1134202183867559</v>
          </cell>
          <cell r="J858">
            <v>365</v>
          </cell>
          <cell r="K858" t="str">
            <v>PET TEA+ 500</v>
          </cell>
          <cell r="L858" t="str">
            <v>500 ml</v>
          </cell>
          <cell r="M858" t="str">
            <v>NCB PET</v>
          </cell>
          <cell r="N858" t="str">
            <v>TEA PLUS</v>
          </cell>
          <cell r="V858" t="str">
            <v>07.05.2027</v>
          </cell>
          <cell r="W858">
            <v>46514</v>
          </cell>
        </row>
        <row r="859">
          <cell r="A859" t="str">
            <v>TEA PLUS HONEY LEMON 490ML 4X MP_70_r_C</v>
          </cell>
          <cell r="B859">
            <v>320023208</v>
          </cell>
          <cell r="C859" t="str">
            <v>TEA PLUS HONEY LEMON 490ML 4X MP_70_r_C</v>
          </cell>
          <cell r="D859">
            <v>10</v>
          </cell>
          <cell r="E859">
            <v>7</v>
          </cell>
          <cell r="F859">
            <v>70</v>
          </cell>
          <cell r="G859">
            <v>490</v>
          </cell>
          <cell r="H859">
            <v>24</v>
          </cell>
          <cell r="I859">
            <v>2.0711518140190206</v>
          </cell>
          <cell r="J859">
            <v>365</v>
          </cell>
          <cell r="K859" t="str">
            <v>PET TEA+ 500</v>
          </cell>
          <cell r="L859" t="str">
            <v>490 ml</v>
          </cell>
          <cell r="M859" t="str">
            <v>NCB PET</v>
          </cell>
          <cell r="N859" t="str">
            <v>TEA PLUS</v>
          </cell>
          <cell r="V859" t="str">
            <v>08.05.2027</v>
          </cell>
          <cell r="W859">
            <v>46515</v>
          </cell>
        </row>
        <row r="860">
          <cell r="A860" t="str">
            <v>TEA PLUS HONEY LEMON 500ML 24X_60_rPET</v>
          </cell>
          <cell r="B860">
            <v>320023073</v>
          </cell>
          <cell r="C860" t="str">
            <v>TEA PLUS HONEY LEMON 500ML 24X_60_rPET</v>
          </cell>
          <cell r="D860">
            <v>10</v>
          </cell>
          <cell r="E860">
            <v>6</v>
          </cell>
          <cell r="F860">
            <v>60</v>
          </cell>
          <cell r="G860">
            <v>500</v>
          </cell>
          <cell r="H860">
            <v>24</v>
          </cell>
          <cell r="I860">
            <v>2.1134202183867559</v>
          </cell>
          <cell r="J860">
            <v>365</v>
          </cell>
          <cell r="K860" t="str">
            <v>PET TEA+ 500</v>
          </cell>
          <cell r="L860" t="str">
            <v>500 ml</v>
          </cell>
          <cell r="M860" t="str">
            <v>NCB PET</v>
          </cell>
          <cell r="N860" t="str">
            <v>TEA PLUS</v>
          </cell>
          <cell r="V860" t="str">
            <v>09.05.2027</v>
          </cell>
          <cell r="W860">
            <v>46516</v>
          </cell>
        </row>
        <row r="861">
          <cell r="A861" t="str">
            <v>TEA PLUS HONEY LEMON 500ML 4XMP_70_r_C</v>
          </cell>
          <cell r="B861">
            <v>320023209</v>
          </cell>
          <cell r="C861" t="str">
            <v>TEA PLUS HONEY LEMON 500ML 4XMP_70_r_C</v>
          </cell>
          <cell r="D861">
            <v>10</v>
          </cell>
          <cell r="E861">
            <v>7</v>
          </cell>
          <cell r="F861">
            <v>70</v>
          </cell>
          <cell r="G861">
            <v>500</v>
          </cell>
          <cell r="H861">
            <v>24</v>
          </cell>
          <cell r="I861">
            <v>2.1134202183867559</v>
          </cell>
          <cell r="J861">
            <v>365</v>
          </cell>
          <cell r="K861" t="str">
            <v>PET TEA+ 500</v>
          </cell>
          <cell r="L861" t="str">
            <v>500 ml</v>
          </cell>
          <cell r="M861" t="str">
            <v>NCB PET</v>
          </cell>
          <cell r="N861" t="str">
            <v>TEA PLUS</v>
          </cell>
          <cell r="V861" t="str">
            <v>10.05.2027</v>
          </cell>
          <cell r="W861">
            <v>46517</v>
          </cell>
        </row>
        <row r="862">
          <cell r="A862" t="str">
            <v>TEA PLUS GREEN OOLONG 500ML 24X_60_rPET</v>
          </cell>
          <cell r="B862">
            <v>320023046</v>
          </cell>
          <cell r="C862" t="str">
            <v>TEA PLUS GREEN OOLONG 500ML 24X_60_rPET</v>
          </cell>
          <cell r="D862">
            <v>10</v>
          </cell>
          <cell r="E862">
            <v>6</v>
          </cell>
          <cell r="F862">
            <v>60</v>
          </cell>
          <cell r="G862">
            <v>500</v>
          </cell>
          <cell r="H862">
            <v>24</v>
          </cell>
          <cell r="I862">
            <v>2.1134202183867559</v>
          </cell>
          <cell r="J862">
            <v>365</v>
          </cell>
          <cell r="K862" t="str">
            <v>PET TEA+ 500</v>
          </cell>
          <cell r="L862" t="str">
            <v>500 ml</v>
          </cell>
          <cell r="M862" t="str">
            <v>NCB PET</v>
          </cell>
          <cell r="N862" t="str">
            <v>TEA PLUS</v>
          </cell>
          <cell r="V862" t="str">
            <v>11.05.2027</v>
          </cell>
          <cell r="W862">
            <v>46518</v>
          </cell>
        </row>
        <row r="863">
          <cell r="A863" t="str">
            <v>BOSS BLACK NS 230ML PET 4X_96 rPET COBO</v>
          </cell>
          <cell r="B863">
            <v>320023040</v>
          </cell>
          <cell r="C863" t="str">
            <v>BOSS AMERICANO 250ML PET 24X_108PET COBO</v>
          </cell>
          <cell r="D863">
            <v>12</v>
          </cell>
          <cell r="E863">
            <v>9</v>
          </cell>
          <cell r="F863">
            <v>108</v>
          </cell>
          <cell r="G863">
            <v>250</v>
          </cell>
          <cell r="H863">
            <v>24</v>
          </cell>
          <cell r="I863">
            <v>1.0567101091933779</v>
          </cell>
          <cell r="J863">
            <v>365</v>
          </cell>
          <cell r="K863" t="str">
            <v>PET COFF 250</v>
          </cell>
          <cell r="L863" t="str">
            <v>250 ml</v>
          </cell>
          <cell r="M863" t="str">
            <v>NCB PET</v>
          </cell>
          <cell r="N863" t="str">
            <v>BOSS COFFEE</v>
          </cell>
          <cell r="V863" t="str">
            <v>12.05.2027</v>
          </cell>
          <cell r="W863">
            <v>46519</v>
          </cell>
        </row>
        <row r="864">
          <cell r="A864" t="str">
            <v>BOSS BLACK NS 250ML PET 24X_96 PET COBO</v>
          </cell>
          <cell r="B864">
            <v>320023052</v>
          </cell>
          <cell r="C864" t="str">
            <v>BOSS BLACK NS 250ML PET 24X_96 PET COBO</v>
          </cell>
          <cell r="D864">
            <v>12</v>
          </cell>
          <cell r="E864">
            <v>9</v>
          </cell>
          <cell r="F864">
            <v>108</v>
          </cell>
          <cell r="G864">
            <v>250</v>
          </cell>
          <cell r="H864">
            <v>24</v>
          </cell>
          <cell r="I864">
            <v>1.0567101091933779</v>
          </cell>
          <cell r="J864">
            <v>365</v>
          </cell>
          <cell r="K864" t="str">
            <v>PET COFF 250</v>
          </cell>
          <cell r="L864" t="str">
            <v>250 ml</v>
          </cell>
          <cell r="M864" t="str">
            <v>NCB PET</v>
          </cell>
          <cell r="N864" t="str">
            <v>BOSS COFFEE</v>
          </cell>
          <cell r="V864" t="str">
            <v>13.05.2027</v>
          </cell>
          <cell r="W864">
            <v>46520</v>
          </cell>
        </row>
        <row r="865">
          <cell r="A865" t="str">
            <v>BOSS BLACK NS 250ML PET 24X_108 EXP COBO</v>
          </cell>
          <cell r="B865">
            <v>320023370</v>
          </cell>
          <cell r="C865" t="str">
            <v>BOSS BLACK NS 250ML PET 24X_108 EXP COBO</v>
          </cell>
          <cell r="D865">
            <v>12</v>
          </cell>
          <cell r="E865">
            <v>9</v>
          </cell>
          <cell r="F865">
            <v>108</v>
          </cell>
          <cell r="G865">
            <v>250</v>
          </cell>
          <cell r="H865">
            <v>24</v>
          </cell>
          <cell r="I865">
            <v>1.0567101091933779</v>
          </cell>
          <cell r="J865">
            <v>365</v>
          </cell>
          <cell r="K865" t="str">
            <v>PET COFF 250</v>
          </cell>
          <cell r="L865" t="str">
            <v>250 ml</v>
          </cell>
          <cell r="M865" t="str">
            <v>NCB PET</v>
          </cell>
          <cell r="N865" t="str">
            <v>BOSS COFFEE</v>
          </cell>
          <cell r="V865" t="str">
            <v>14.05.2027</v>
          </cell>
          <cell r="W865">
            <v>46521</v>
          </cell>
        </row>
        <row r="866">
          <cell r="A866" t="str">
            <v>BOSS LATTE 230ML PET 4X_108 COBO</v>
          </cell>
          <cell r="B866">
            <v>320023071</v>
          </cell>
          <cell r="C866" t="str">
            <v>BOSS LATTE 230ML PET 4X_108 COBO</v>
          </cell>
          <cell r="D866">
            <v>12</v>
          </cell>
          <cell r="E866">
            <v>9</v>
          </cell>
          <cell r="F866">
            <v>108</v>
          </cell>
          <cell r="G866">
            <v>230</v>
          </cell>
          <cell r="H866">
            <v>24</v>
          </cell>
          <cell r="I866">
            <v>0.97217330045790773</v>
          </cell>
          <cell r="J866">
            <v>365</v>
          </cell>
          <cell r="K866" t="str">
            <v>PET COFF 250</v>
          </cell>
          <cell r="L866" t="str">
            <v>230 ml</v>
          </cell>
          <cell r="M866" t="str">
            <v>NCB PET</v>
          </cell>
          <cell r="N866" t="str">
            <v>BOSS COFFEE</v>
          </cell>
          <cell r="V866" t="str">
            <v>15.05.2027</v>
          </cell>
          <cell r="W866">
            <v>46522</v>
          </cell>
        </row>
        <row r="867">
          <cell r="A867" t="str">
            <v>BOSS AMERICANO 250ML PET 24X_96PET COBO</v>
          </cell>
          <cell r="B867">
            <v>320023072</v>
          </cell>
          <cell r="C867" t="str">
            <v>BOSS AMERICANO 250ML PET 24X_96PET COBO</v>
          </cell>
          <cell r="D867">
            <v>12</v>
          </cell>
          <cell r="E867">
            <v>9</v>
          </cell>
          <cell r="F867">
            <v>108</v>
          </cell>
          <cell r="G867">
            <v>230</v>
          </cell>
          <cell r="H867">
            <v>24</v>
          </cell>
          <cell r="I867">
            <v>0.97217330045790773</v>
          </cell>
          <cell r="J867">
            <v>365</v>
          </cell>
          <cell r="K867" t="str">
            <v>PET COFF 250</v>
          </cell>
          <cell r="L867" t="str">
            <v>230 ml</v>
          </cell>
          <cell r="M867" t="str">
            <v>NCB PET</v>
          </cell>
          <cell r="N867" t="str">
            <v>BOSS COFFEE</v>
          </cell>
          <cell r="V867" t="str">
            <v>16.05.2027</v>
          </cell>
          <cell r="W867">
            <v>46523</v>
          </cell>
        </row>
        <row r="868">
          <cell r="A868" t="str">
            <v>BOSS LATTE 230ML PET 4X_96_New rPET COBO</v>
          </cell>
          <cell r="B868">
            <v>320023076</v>
          </cell>
          <cell r="C868" t="str">
            <v>BOSS BLACK NS 230ML PET 4X_108 rPET COBO</v>
          </cell>
          <cell r="D868">
            <v>12</v>
          </cell>
          <cell r="E868">
            <v>9</v>
          </cell>
          <cell r="F868">
            <v>108</v>
          </cell>
          <cell r="G868">
            <v>230</v>
          </cell>
          <cell r="H868">
            <v>24</v>
          </cell>
          <cell r="I868">
            <v>0.97217330045790773</v>
          </cell>
          <cell r="J868">
            <v>365</v>
          </cell>
          <cell r="K868" t="str">
            <v>PET COFF 250</v>
          </cell>
          <cell r="L868" t="str">
            <v>230 ml</v>
          </cell>
          <cell r="M868" t="str">
            <v>NCB PET</v>
          </cell>
          <cell r="N868" t="str">
            <v>BOSS COFFEE</v>
          </cell>
          <cell r="V868" t="str">
            <v>17.05.2027</v>
          </cell>
          <cell r="W868">
            <v>46524</v>
          </cell>
        </row>
        <row r="869">
          <cell r="A869" t="str">
            <v>BOSS LATTE 250ML PET 24X_96  COBO</v>
          </cell>
          <cell r="B869">
            <v>320023196</v>
          </cell>
          <cell r="C869" t="str">
            <v>BOSS DOUBLE ESPRESSO 230ML PET 4X_108 C</v>
          </cell>
          <cell r="D869">
            <v>12</v>
          </cell>
          <cell r="E869">
            <v>9</v>
          </cell>
          <cell r="F869">
            <v>108</v>
          </cell>
          <cell r="G869">
            <v>230</v>
          </cell>
          <cell r="H869">
            <v>24</v>
          </cell>
          <cell r="I869">
            <v>0.97217330045790773</v>
          </cell>
          <cell r="J869">
            <v>365</v>
          </cell>
          <cell r="K869" t="str">
            <v>PET COFF 250</v>
          </cell>
          <cell r="L869" t="str">
            <v>230 ml</v>
          </cell>
          <cell r="M869" t="str">
            <v>NCB PET</v>
          </cell>
          <cell r="N869" t="str">
            <v>BOSS COFFEE</v>
          </cell>
          <cell r="V869" t="str">
            <v>18.05.2027</v>
          </cell>
          <cell r="W869">
            <v>46525</v>
          </cell>
        </row>
        <row r="870">
          <cell r="A870" t="str">
            <v>BOSS DOUBLE ESPRESSO 250ML PET 24X_96 C</v>
          </cell>
          <cell r="B870">
            <v>320023197</v>
          </cell>
          <cell r="C870" t="str">
            <v>BOSS DOUBLE ESPRESSO 250ML PET 24X_96 C</v>
          </cell>
          <cell r="D870">
            <v>12</v>
          </cell>
          <cell r="E870">
            <v>9</v>
          </cell>
          <cell r="F870">
            <v>108</v>
          </cell>
          <cell r="G870">
            <v>250</v>
          </cell>
          <cell r="H870">
            <v>24</v>
          </cell>
          <cell r="I870">
            <v>1.0567101091933779</v>
          </cell>
          <cell r="J870">
            <v>365</v>
          </cell>
          <cell r="K870" t="str">
            <v>PET COFF 250</v>
          </cell>
          <cell r="L870" t="str">
            <v>250 ml</v>
          </cell>
          <cell r="M870" t="str">
            <v>NCB PET</v>
          </cell>
          <cell r="N870" t="str">
            <v>BOSS COFFEE</v>
          </cell>
          <cell r="V870" t="str">
            <v>19.05.2027</v>
          </cell>
          <cell r="W870">
            <v>46526</v>
          </cell>
        </row>
        <row r="871">
          <cell r="A871" t="str">
            <v>GATORADE NS ORANGE 500ML PET12X_120</v>
          </cell>
          <cell r="B871">
            <v>320023192</v>
          </cell>
          <cell r="C871" t="str">
            <v>GATORADE NS ORANGE 500ML PET12X_120</v>
          </cell>
          <cell r="D871">
            <v>20</v>
          </cell>
          <cell r="E871">
            <v>6</v>
          </cell>
          <cell r="F871">
            <v>120</v>
          </cell>
          <cell r="G871">
            <v>500</v>
          </cell>
          <cell r="H871">
            <v>12</v>
          </cell>
          <cell r="I871">
            <v>1.0567101091933779</v>
          </cell>
          <cell r="J871">
            <v>270</v>
          </cell>
          <cell r="K871" t="str">
            <v>PET GTR 500 P12</v>
          </cell>
          <cell r="L871" t="str">
            <v>500ml</v>
          </cell>
          <cell r="M871" t="str">
            <v>NCB PET</v>
          </cell>
          <cell r="N871" t="str">
            <v>GATORADE</v>
          </cell>
          <cell r="V871" t="str">
            <v>20.05.2027</v>
          </cell>
          <cell r="W871">
            <v>46527</v>
          </cell>
        </row>
        <row r="872">
          <cell r="A872" t="str">
            <v>PEPSI NS STRAW CREAM 345 ML PET 12X_180</v>
          </cell>
          <cell r="B872">
            <v>320023373</v>
          </cell>
          <cell r="C872" t="str">
            <v>PEPSI NS STRAW CREAM 345 ML PET 12X_180</v>
          </cell>
          <cell r="D872">
            <v>30</v>
          </cell>
          <cell r="E872">
            <v>6</v>
          </cell>
          <cell r="F872">
            <v>180</v>
          </cell>
          <cell r="G872">
            <v>345</v>
          </cell>
          <cell r="H872">
            <v>12</v>
          </cell>
          <cell r="I872">
            <v>0.72909999999999997</v>
          </cell>
          <cell r="J872">
            <v>120</v>
          </cell>
          <cell r="K872" t="str">
            <v>PET 350 P12</v>
          </cell>
          <cell r="L872" t="str">
            <v>345 ml</v>
          </cell>
          <cell r="M872" t="str">
            <v>CSD PET</v>
          </cell>
          <cell r="N872" t="str">
            <v>PEPSI NO SUGAR</v>
          </cell>
          <cell r="V872" t="str">
            <v>21.05.2027</v>
          </cell>
          <cell r="W872">
            <v>46528</v>
          </cell>
        </row>
        <row r="873">
          <cell r="A873" t="str">
            <v>PEPSI NS STRAW CREAM 440 ML PET 24X_72</v>
          </cell>
          <cell r="B873">
            <v>320023374</v>
          </cell>
          <cell r="C873" t="str">
            <v>PEPSI NS STRAW CREAM 440 ML PET 24X_72</v>
          </cell>
          <cell r="D873">
            <v>12</v>
          </cell>
          <cell r="E873">
            <v>6</v>
          </cell>
          <cell r="F873">
            <v>72</v>
          </cell>
          <cell r="G873">
            <v>440</v>
          </cell>
          <cell r="H873">
            <v>24</v>
          </cell>
          <cell r="I873">
            <v>1.8597999999999999</v>
          </cell>
          <cell r="J873">
            <v>180</v>
          </cell>
          <cell r="K873" t="str">
            <v>PET AQ 450</v>
          </cell>
          <cell r="L873" t="str">
            <v>440 ml</v>
          </cell>
          <cell r="M873" t="str">
            <v>CSD PET</v>
          </cell>
          <cell r="N873" t="str">
            <v>7-Up</v>
          </cell>
          <cell r="V873" t="str">
            <v>22.05.2027</v>
          </cell>
          <cell r="W873">
            <v>46529</v>
          </cell>
        </row>
        <row r="874">
          <cell r="A874" t="str">
            <v>PEPSI NS STRAW CREAM 325 ML CAN4X MP_104</v>
          </cell>
          <cell r="B874">
            <v>320023375</v>
          </cell>
          <cell r="C874" t="str">
            <v>PEPSI NS STRAW CREAM 325 ML CAN4X MP_104</v>
          </cell>
          <cell r="D874">
            <v>13</v>
          </cell>
          <cell r="E874">
            <v>8</v>
          </cell>
          <cell r="F874">
            <v>104</v>
          </cell>
          <cell r="G874">
            <v>325</v>
          </cell>
          <cell r="H874">
            <v>24</v>
          </cell>
          <cell r="I874">
            <v>1.3736999999999999</v>
          </cell>
          <cell r="J874">
            <v>180</v>
          </cell>
          <cell r="K874" t="str">
            <v>CAN 330</v>
          </cell>
          <cell r="L874" t="str">
            <v>325 ml</v>
          </cell>
          <cell r="M874" t="str">
            <v>CSD CAN</v>
          </cell>
          <cell r="N874" t="str">
            <v>PEPSI NO SUGAR</v>
          </cell>
          <cell r="V874" t="str">
            <v>23.05.2027</v>
          </cell>
          <cell r="W874">
            <v>46530</v>
          </cell>
        </row>
        <row r="875">
          <cell r="A875" t="str">
            <v>PEPSI COLA LOW CAL 1.74L PET 12X1</v>
          </cell>
          <cell r="B875">
            <v>320023380</v>
          </cell>
          <cell r="C875" t="str">
            <v>PEPSI COLA LOW CAL 1.74L PET 12X1</v>
          </cell>
          <cell r="D875">
            <v>9</v>
          </cell>
          <cell r="E875">
            <v>4</v>
          </cell>
          <cell r="F875">
            <v>36</v>
          </cell>
          <cell r="G875">
            <v>1740</v>
          </cell>
          <cell r="H875">
            <v>12</v>
          </cell>
          <cell r="I875">
            <v>3.6774</v>
          </cell>
          <cell r="J875">
            <v>180</v>
          </cell>
          <cell r="K875" t="str">
            <v>PET 1750</v>
          </cell>
          <cell r="L875" t="str">
            <v>1740 ml</v>
          </cell>
          <cell r="M875" t="str">
            <v>CSD PET</v>
          </cell>
          <cell r="N875" t="str">
            <v>Pepsi Cola</v>
          </cell>
          <cell r="V875" t="str">
            <v>24.05.2027</v>
          </cell>
          <cell r="W875">
            <v>46531</v>
          </cell>
        </row>
        <row r="876">
          <cell r="A876" t="str">
            <v>PEPSI COLA LOW CAL 2.5L PET 6X1</v>
          </cell>
          <cell r="B876">
            <v>320023381</v>
          </cell>
          <cell r="C876" t="str">
            <v>PEPSI COLA LOW CAL 2.5L PET 6X1</v>
          </cell>
          <cell r="D876">
            <v>15</v>
          </cell>
          <cell r="E876">
            <v>4</v>
          </cell>
          <cell r="F876">
            <v>60</v>
          </cell>
          <cell r="G876">
            <v>2500</v>
          </cell>
          <cell r="H876">
            <v>6</v>
          </cell>
          <cell r="I876">
            <v>2.6417999999999999</v>
          </cell>
          <cell r="J876">
            <v>180</v>
          </cell>
          <cell r="K876" t="str">
            <v>PET 2500</v>
          </cell>
          <cell r="L876" t="str">
            <v>2500 ml</v>
          </cell>
          <cell r="M876" t="str">
            <v>CSD PET</v>
          </cell>
          <cell r="N876" t="str">
            <v>Pepsi Cola</v>
          </cell>
          <cell r="V876" t="str">
            <v>25.05.2027</v>
          </cell>
          <cell r="W876">
            <v>46532</v>
          </cell>
        </row>
        <row r="877">
          <cell r="A877" t="str">
            <v>SUNTORY HY_YUZU_570ML_PET_1X12</v>
          </cell>
          <cell r="B877">
            <v>320023382</v>
          </cell>
          <cell r="C877" t="str">
            <v>SUNTORY HY_YUZU_570ML_PET_1X12</v>
          </cell>
          <cell r="D877">
            <v>18</v>
          </cell>
          <cell r="E877">
            <v>6</v>
          </cell>
          <cell r="F877">
            <v>108</v>
          </cell>
          <cell r="G877">
            <v>570</v>
          </cell>
          <cell r="H877">
            <v>12</v>
          </cell>
          <cell r="I877">
            <v>1.2045999999999999</v>
          </cell>
          <cell r="J877">
            <v>270</v>
          </cell>
          <cell r="K877" t="str">
            <v>PET HY 570</v>
          </cell>
          <cell r="L877" t="str">
            <v>570 ml</v>
          </cell>
          <cell r="M877" t="str">
            <v>NCB PET</v>
          </cell>
          <cell r="N877" t="str">
            <v>SUNTORY HY_YUZU</v>
          </cell>
          <cell r="V877" t="str">
            <v>26.05.2027</v>
          </cell>
          <cell r="W877">
            <v>46533</v>
          </cell>
        </row>
        <row r="878">
          <cell r="A878" t="str">
            <v>LIPTON ZA LYCHEE 445ML PET 24X_72</v>
          </cell>
          <cell r="B878">
            <v>320023383</v>
          </cell>
          <cell r="C878" t="str">
            <v>LIPTON ZA LYCHEE 445ML PET 24X_72</v>
          </cell>
          <cell r="D878">
            <v>12</v>
          </cell>
          <cell r="E878">
            <v>6</v>
          </cell>
          <cell r="F878">
            <v>72</v>
          </cell>
          <cell r="G878">
            <v>445</v>
          </cell>
          <cell r="H878">
            <v>24</v>
          </cell>
          <cell r="I878">
            <v>1.8809</v>
          </cell>
          <cell r="J878">
            <v>180</v>
          </cell>
          <cell r="K878" t="str">
            <v>PET AQ 450</v>
          </cell>
          <cell r="L878" t="str">
            <v>445 ml</v>
          </cell>
          <cell r="M878" t="str">
            <v>CSD PET</v>
          </cell>
          <cell r="N878" t="str">
            <v>Lipton</v>
          </cell>
          <cell r="V878" t="str">
            <v>27.05.2027</v>
          </cell>
          <cell r="W878">
            <v>46534</v>
          </cell>
        </row>
        <row r="879">
          <cell r="A879" t="str">
            <v>LIPTON ZA HONEY CITRUS 445ML PET 24X_72</v>
          </cell>
          <cell r="B879">
            <v>320023384</v>
          </cell>
          <cell r="C879" t="str">
            <v>LIPTON ZA HONEY CITRUS 445ML PET 24X_72</v>
          </cell>
          <cell r="D879">
            <v>12</v>
          </cell>
          <cell r="E879">
            <v>6</v>
          </cell>
          <cell r="F879">
            <v>72</v>
          </cell>
          <cell r="G879">
            <v>445</v>
          </cell>
          <cell r="H879">
            <v>24</v>
          </cell>
          <cell r="I879">
            <v>1.8809</v>
          </cell>
          <cell r="J879">
            <v>180</v>
          </cell>
          <cell r="K879" t="str">
            <v>PET AQ 450</v>
          </cell>
          <cell r="L879" t="str">
            <v>445 ml</v>
          </cell>
          <cell r="M879" t="str">
            <v>CSD PET</v>
          </cell>
          <cell r="N879" t="str">
            <v>Lipton</v>
          </cell>
          <cell r="V879" t="str">
            <v>28.05.2027</v>
          </cell>
          <cell r="W879">
            <v>46535</v>
          </cell>
        </row>
        <row r="880">
          <cell r="A880" t="str">
            <v>7UP EXTRA FIZZ 1.45L PET NEW 12X_48</v>
          </cell>
          <cell r="B880">
            <v>320023386</v>
          </cell>
          <cell r="C880" t="str">
            <v>7UP EXTRA FIZZ 1.45L PET NEW 12X_48</v>
          </cell>
          <cell r="D880">
            <v>12</v>
          </cell>
          <cell r="E880">
            <v>4</v>
          </cell>
          <cell r="F880">
            <v>48</v>
          </cell>
          <cell r="G880">
            <v>1450</v>
          </cell>
          <cell r="H880">
            <v>12</v>
          </cell>
          <cell r="I880">
            <v>3.0644999999999998</v>
          </cell>
          <cell r="J880">
            <v>180</v>
          </cell>
          <cell r="K880" t="str">
            <v>PET 1500</v>
          </cell>
          <cell r="L880" t="str">
            <v>1450 ml</v>
          </cell>
          <cell r="M880" t="str">
            <v>CSD PET</v>
          </cell>
          <cell r="N880" t="str">
            <v>7-Up</v>
          </cell>
          <cell r="V880" t="str">
            <v>29.05.2027</v>
          </cell>
          <cell r="W880">
            <v>46536</v>
          </cell>
        </row>
        <row r="881">
          <cell r="A881" t="str">
            <v>7UP EXTRA FIZZ 440ML PET 24X_72</v>
          </cell>
          <cell r="B881">
            <v>320023387</v>
          </cell>
          <cell r="C881" t="str">
            <v>7UP EXTRA FIZZ 440ML PET 24X_72</v>
          </cell>
          <cell r="D881">
            <v>12</v>
          </cell>
          <cell r="E881">
            <v>6</v>
          </cell>
          <cell r="F881">
            <v>72</v>
          </cell>
          <cell r="G881">
            <v>440</v>
          </cell>
          <cell r="H881">
            <v>24</v>
          </cell>
          <cell r="I881">
            <v>1.8597999999999999</v>
          </cell>
          <cell r="J881">
            <v>180</v>
          </cell>
          <cell r="K881" t="str">
            <v>PET 450</v>
          </cell>
          <cell r="L881" t="str">
            <v>440 ml</v>
          </cell>
          <cell r="M881" t="str">
            <v>CSD PET</v>
          </cell>
          <cell r="N881" t="str">
            <v>7-Up</v>
          </cell>
          <cell r="V881" t="str">
            <v>30.05.2027</v>
          </cell>
          <cell r="W881">
            <v>46537</v>
          </cell>
        </row>
        <row r="882">
          <cell r="A882" t="str">
            <v>7UP EXTRA FIZZ 345ML PET 12X 10B_192</v>
          </cell>
          <cell r="B882">
            <v>320023388</v>
          </cell>
          <cell r="C882" t="str">
            <v>7UP EXTRA FIZZ 345ML PET 12X 10B_192</v>
          </cell>
          <cell r="D882">
            <v>32</v>
          </cell>
          <cell r="E882">
            <v>6</v>
          </cell>
          <cell r="F882">
            <v>192</v>
          </cell>
          <cell r="G882">
            <v>345</v>
          </cell>
          <cell r="H882">
            <v>12</v>
          </cell>
          <cell r="I882">
            <v>0.72909999999999997</v>
          </cell>
          <cell r="J882">
            <v>120</v>
          </cell>
          <cell r="K882" t="str">
            <v>CSD PET 350 P12</v>
          </cell>
          <cell r="L882" t="str">
            <v>345 ml</v>
          </cell>
          <cell r="M882" t="str">
            <v>CSD PET</v>
          </cell>
          <cell r="N882" t="str">
            <v>7-Up</v>
          </cell>
          <cell r="V882" t="str">
            <v>31.05.2027</v>
          </cell>
          <cell r="W882">
            <v>46538</v>
          </cell>
        </row>
        <row r="883">
          <cell r="A883" t="str">
            <v>7UP NS STRAW LEMON 1.45L PET 12X_48</v>
          </cell>
          <cell r="B883">
            <v>320023393</v>
          </cell>
          <cell r="C883" t="str">
            <v>7UP NS STRAW LEMON 1.45L PET 12X_48</v>
          </cell>
          <cell r="D883">
            <v>12</v>
          </cell>
          <cell r="E883">
            <v>4</v>
          </cell>
          <cell r="F883">
            <v>48</v>
          </cell>
          <cell r="G883">
            <v>1450</v>
          </cell>
          <cell r="H883">
            <v>12</v>
          </cell>
          <cell r="I883">
            <v>3.0644999999999998</v>
          </cell>
          <cell r="J883">
            <v>180</v>
          </cell>
          <cell r="K883" t="str">
            <v>PET 1500</v>
          </cell>
          <cell r="L883" t="str">
            <v>1450 ml</v>
          </cell>
          <cell r="M883" t="str">
            <v>CSD PET</v>
          </cell>
          <cell r="N883" t="str">
            <v>7-Up</v>
          </cell>
          <cell r="V883" t="str">
            <v>01.06.2027</v>
          </cell>
          <cell r="W883">
            <v>46539</v>
          </cell>
        </row>
        <row r="884">
          <cell r="A884" t="str">
            <v>MOUNTAIN DEW NO SUGAR 10L BIB 1X_48</v>
          </cell>
          <cell r="B884">
            <v>320023389</v>
          </cell>
          <cell r="C884" t="str">
            <v>MOUNTAIN DEW NO SUGAR 10L BIB 1X_48</v>
          </cell>
          <cell r="D884">
            <v>12</v>
          </cell>
          <cell r="E884">
            <v>4</v>
          </cell>
          <cell r="F884">
            <v>48</v>
          </cell>
          <cell r="G884">
            <v>10000</v>
          </cell>
          <cell r="H884">
            <v>6</v>
          </cell>
          <cell r="I884">
            <v>10.5671</v>
          </cell>
          <cell r="J884">
            <v>180</v>
          </cell>
          <cell r="K884" t="str">
            <v>CSD BIB 10L</v>
          </cell>
          <cell r="L884" t="str">
            <v>10 L</v>
          </cell>
          <cell r="M884" t="str">
            <v>CSD PMX</v>
          </cell>
          <cell r="N884" t="str">
            <v>Mountain Dew</v>
          </cell>
          <cell r="V884" t="str">
            <v>02.06.2027</v>
          </cell>
          <cell r="W884">
            <v>46540</v>
          </cell>
        </row>
        <row r="885">
          <cell r="A885" t="str">
            <v>TEA PLUS HONEY LEMON 375ML 12X_150_2.0</v>
          </cell>
          <cell r="B885">
            <v>320023390</v>
          </cell>
          <cell r="C885" t="str">
            <v>TEA PLUS HONEY LEMON 375ML 12X_150_2.0</v>
          </cell>
          <cell r="D885">
            <v>25</v>
          </cell>
          <cell r="E885">
            <v>6</v>
          </cell>
          <cell r="F885">
            <v>150</v>
          </cell>
          <cell r="G885">
            <v>375</v>
          </cell>
          <cell r="H885">
            <v>12</v>
          </cell>
          <cell r="I885">
            <v>0.79249999999999998</v>
          </cell>
          <cell r="J885">
            <v>365</v>
          </cell>
          <cell r="K885" t="str">
            <v>PET TEA+ 375</v>
          </cell>
          <cell r="L885" t="str">
            <v>375 ml</v>
          </cell>
          <cell r="M885" t="str">
            <v>NCB PET</v>
          </cell>
          <cell r="N885" t="str">
            <v>TEA PLUS</v>
          </cell>
          <cell r="V885" t="str">
            <v>03.06.2027</v>
          </cell>
          <cell r="W885">
            <v>46541</v>
          </cell>
        </row>
        <row r="886">
          <cell r="A886" t="str">
            <v>TEA PLUS TASTY 375ML 12X_150_2.0</v>
          </cell>
          <cell r="B886">
            <v>320023391</v>
          </cell>
          <cell r="C886" t="str">
            <v>TEA PLUS TASTY 375ML 12X_150_2.0</v>
          </cell>
          <cell r="D886">
            <v>25</v>
          </cell>
          <cell r="E886">
            <v>6</v>
          </cell>
          <cell r="F886">
            <v>150</v>
          </cell>
          <cell r="G886">
            <v>375</v>
          </cell>
          <cell r="H886">
            <v>12</v>
          </cell>
          <cell r="I886">
            <v>0.79249999999999998</v>
          </cell>
          <cell r="J886">
            <v>365</v>
          </cell>
          <cell r="K886" t="str">
            <v>PET TEA+ 375</v>
          </cell>
          <cell r="L886" t="str">
            <v>375 ml</v>
          </cell>
          <cell r="M886" t="str">
            <v>NCB PET</v>
          </cell>
          <cell r="N886" t="str">
            <v>TEA PLUS</v>
          </cell>
          <cell r="V886" t="str">
            <v>04.06.2027</v>
          </cell>
          <cell r="W886">
            <v>46542</v>
          </cell>
        </row>
        <row r="887">
          <cell r="A887" t="str">
            <v>STING Original Boost 250MLPET 12X_224POP</v>
          </cell>
          <cell r="B887">
            <v>320023392</v>
          </cell>
          <cell r="C887" t="str">
            <v>STING Original Boost 250MLPET 12X_224POP</v>
          </cell>
          <cell r="D887">
            <v>32</v>
          </cell>
          <cell r="E887">
            <v>7</v>
          </cell>
          <cell r="F887">
            <v>224</v>
          </cell>
          <cell r="G887">
            <v>250</v>
          </cell>
          <cell r="H887">
            <v>12</v>
          </cell>
          <cell r="I887">
            <v>0.52839999999999998</v>
          </cell>
          <cell r="J887">
            <v>180</v>
          </cell>
          <cell r="K887" t="str">
            <v>PET LN 250 P12</v>
          </cell>
          <cell r="L887" t="str">
            <v>250 ml</v>
          </cell>
          <cell r="M887" t="str">
            <v>CSD PET</v>
          </cell>
          <cell r="N887" t="str">
            <v>STING</v>
          </cell>
          <cell r="V887" t="str">
            <v>05.06.2027</v>
          </cell>
          <cell r="W887">
            <v>46543</v>
          </cell>
        </row>
        <row r="888">
          <cell r="A888" t="str">
            <v>PEPSI COLA LOW CAL 1.45L PET 12X_48 vPET</v>
          </cell>
          <cell r="B888">
            <v>320023397</v>
          </cell>
          <cell r="C888" t="str">
            <v>PEPSI COLA LOW CAL 1.45L PET 12X_48 vPET</v>
          </cell>
          <cell r="D888">
            <v>12</v>
          </cell>
          <cell r="E888">
            <v>4</v>
          </cell>
          <cell r="F888">
            <v>48</v>
          </cell>
          <cell r="G888">
            <v>1450</v>
          </cell>
          <cell r="H888">
            <v>12</v>
          </cell>
          <cell r="I888">
            <v>3.0644999999999998</v>
          </cell>
          <cell r="J888">
            <v>180</v>
          </cell>
          <cell r="K888" t="str">
            <v>PET 1500</v>
          </cell>
          <cell r="L888" t="str">
            <v>1450 ml</v>
          </cell>
          <cell r="M888" t="str">
            <v>CSD PET</v>
          </cell>
          <cell r="N888" t="str">
            <v>Pepsi Cola</v>
          </cell>
          <cell r="V888" t="str">
            <v>06.06.2027</v>
          </cell>
          <cell r="W888">
            <v>46544</v>
          </cell>
        </row>
        <row r="889">
          <cell r="A889" t="str">
            <v>PEPSI COLA LOW CAL 1.45L PET 4X_120 vPET</v>
          </cell>
          <cell r="B889">
            <v>320023398</v>
          </cell>
          <cell r="C889" t="str">
            <v>PEPSI COLA LOW CAL 1.45L PET 4X_120 vPET</v>
          </cell>
          <cell r="D889">
            <v>30</v>
          </cell>
          <cell r="E889">
            <v>4</v>
          </cell>
          <cell r="F889">
            <v>120</v>
          </cell>
          <cell r="G889">
            <v>1450</v>
          </cell>
          <cell r="H889">
            <v>4</v>
          </cell>
          <cell r="I889">
            <v>1.0215000000000001</v>
          </cell>
          <cell r="J889">
            <v>180</v>
          </cell>
          <cell r="K889" t="str">
            <v>PET 1500</v>
          </cell>
          <cell r="L889" t="str">
            <v>1450 ml</v>
          </cell>
          <cell r="M889" t="str">
            <v>CSD PET</v>
          </cell>
          <cell r="N889" t="str">
            <v>Pepsi Cola</v>
          </cell>
          <cell r="V889" t="str">
            <v>07.06.2027</v>
          </cell>
          <cell r="W889">
            <v>46545</v>
          </cell>
        </row>
        <row r="890">
          <cell r="A890" t="str">
            <v>PEPSI COLA MID CAL 300ML PET24X _119 V</v>
          </cell>
          <cell r="B890">
            <v>320023400</v>
          </cell>
          <cell r="C890" t="str">
            <v>PEPSI COLA MID CAL 300ML PET24X _119 V</v>
          </cell>
          <cell r="D890">
            <v>17</v>
          </cell>
          <cell r="E890">
            <v>7</v>
          </cell>
          <cell r="F890">
            <v>119</v>
          </cell>
          <cell r="G890">
            <v>300</v>
          </cell>
          <cell r="H890">
            <v>24</v>
          </cell>
          <cell r="I890">
            <v>1.2681</v>
          </cell>
          <cell r="J890">
            <v>120</v>
          </cell>
          <cell r="K890" t="str">
            <v>PET 300 EMN P24</v>
          </cell>
          <cell r="L890" t="str">
            <v>300 ml</v>
          </cell>
          <cell r="M890" t="str">
            <v>CSD PET</v>
          </cell>
          <cell r="N890" t="str">
            <v>Pepsi Cola</v>
          </cell>
          <cell r="V890" t="str">
            <v>08.06.2027</v>
          </cell>
          <cell r="W890">
            <v>46546</v>
          </cell>
        </row>
        <row r="891">
          <cell r="A891" t="str">
            <v>AQUAFINA WATER 550ML PET NEW_144_FOC</v>
          </cell>
          <cell r="B891">
            <v>320023401</v>
          </cell>
          <cell r="C891" t="str">
            <v>AQUAFINA WATER 550ML PET NEW_144_FOC</v>
          </cell>
          <cell r="D891">
            <v>24</v>
          </cell>
          <cell r="E891">
            <v>6</v>
          </cell>
          <cell r="F891">
            <v>144</v>
          </cell>
          <cell r="G891">
            <v>550</v>
          </cell>
          <cell r="H891">
            <v>12</v>
          </cell>
          <cell r="I891">
            <v>1.1623811201127157</v>
          </cell>
          <cell r="J891">
            <v>730</v>
          </cell>
          <cell r="K891" t="str">
            <v>WATER 550</v>
          </cell>
          <cell r="L891" t="str">
            <v>550ml</v>
          </cell>
          <cell r="M891" t="str">
            <v>WATER PET</v>
          </cell>
          <cell r="N891" t="str">
            <v>Water</v>
          </cell>
          <cell r="V891" t="str">
            <v>09.06.2027</v>
          </cell>
          <cell r="W891">
            <v>46547</v>
          </cell>
        </row>
        <row r="892">
          <cell r="A892" t="str">
            <v>TEA PLUS BARLEYBROWN SUGAR 500 RPET_COBO</v>
          </cell>
          <cell r="B892">
            <v>320023112</v>
          </cell>
          <cell r="C892" t="str">
            <v>TEA PLUS BARLEYBROWN SUGAR 500 RPET_COBO</v>
          </cell>
          <cell r="D892">
            <v>10</v>
          </cell>
          <cell r="E892">
            <v>7</v>
          </cell>
          <cell r="F892">
            <v>70</v>
          </cell>
          <cell r="G892">
            <v>500</v>
          </cell>
          <cell r="H892">
            <v>24</v>
          </cell>
          <cell r="I892">
            <v>2.1134202183867559</v>
          </cell>
          <cell r="J892">
            <v>365</v>
          </cell>
          <cell r="K892" t="str">
            <v>PET TEA+ 500</v>
          </cell>
          <cell r="L892" t="str">
            <v>490 ml</v>
          </cell>
          <cell r="M892" t="str">
            <v>NCB PET</v>
          </cell>
          <cell r="N892" t="str">
            <v>TEA PLUS</v>
          </cell>
          <cell r="V892" t="str">
            <v>10.06.2027</v>
          </cell>
          <cell r="W892">
            <v>46548</v>
          </cell>
        </row>
        <row r="893">
          <cell r="A893" t="str">
            <v>BOSS LATTE 250ML PET 24X_96 PET COBO</v>
          </cell>
          <cell r="B893">
            <v>320023051</v>
          </cell>
          <cell r="C893" t="str">
            <v>BOSS LATTE 250ML PET 24X_96 PET COBO</v>
          </cell>
          <cell r="D893">
            <v>12</v>
          </cell>
          <cell r="E893">
            <v>8</v>
          </cell>
          <cell r="F893">
            <v>96</v>
          </cell>
          <cell r="G893">
            <v>250</v>
          </cell>
          <cell r="H893">
            <v>24</v>
          </cell>
          <cell r="I893">
            <v>1.0567101091933779</v>
          </cell>
          <cell r="J893">
            <v>365</v>
          </cell>
          <cell r="K893" t="str">
            <v>PET COFF 250</v>
          </cell>
          <cell r="L893" t="str">
            <v>250 ml</v>
          </cell>
          <cell r="M893" t="str">
            <v>NCB PET</v>
          </cell>
          <cell r="N893" t="str">
            <v>BOSS COFFEE</v>
          </cell>
          <cell r="V893" t="str">
            <v>11.06.2027</v>
          </cell>
          <cell r="W893">
            <v>46549</v>
          </cell>
        </row>
        <row r="894">
          <cell r="A894" t="str">
            <v>BOSS DB ESPRESSO 220ML PET24X108SMP_COBO</v>
          </cell>
          <cell r="B894">
            <v>320023406</v>
          </cell>
          <cell r="C894" t="str">
            <v>BOSS DB ESPRESSO 220ML PET24X108SMP_COBO</v>
          </cell>
          <cell r="D894">
            <v>12</v>
          </cell>
          <cell r="E894">
            <v>9</v>
          </cell>
          <cell r="F894">
            <v>108</v>
          </cell>
          <cell r="G894">
            <v>220</v>
          </cell>
          <cell r="H894">
            <v>24</v>
          </cell>
          <cell r="I894">
            <v>0.92990489609017257</v>
          </cell>
          <cell r="J894">
            <v>365</v>
          </cell>
          <cell r="K894" t="str">
            <v>PET COFF 250</v>
          </cell>
          <cell r="L894" t="str">
            <v>220 ml</v>
          </cell>
          <cell r="M894" t="str">
            <v>NCB PET</v>
          </cell>
          <cell r="N894" t="str">
            <v>BOSS COFFEE</v>
          </cell>
          <cell r="V894" t="str">
            <v>12.06.2027</v>
          </cell>
          <cell r="W894">
            <v>46550</v>
          </cell>
        </row>
        <row r="895">
          <cell r="V895" t="str">
            <v>13.06.2027</v>
          </cell>
          <cell r="W895">
            <v>46551</v>
          </cell>
        </row>
        <row r="896">
          <cell r="V896" t="str">
            <v>14.06.2027</v>
          </cell>
          <cell r="W896">
            <v>46552</v>
          </cell>
        </row>
        <row r="897">
          <cell r="V897" t="str">
            <v>15.06.2027</v>
          </cell>
          <cell r="W897">
            <v>46553</v>
          </cell>
        </row>
        <row r="898">
          <cell r="V898" t="str">
            <v>16.06.2027</v>
          </cell>
          <cell r="W898">
            <v>46554</v>
          </cell>
        </row>
        <row r="899">
          <cell r="V899" t="str">
            <v>17.06.2027</v>
          </cell>
          <cell r="W899">
            <v>46555</v>
          </cell>
        </row>
        <row r="900">
          <cell r="V900" t="str">
            <v>18.06.2027</v>
          </cell>
          <cell r="W900">
            <v>46556</v>
          </cell>
        </row>
        <row r="901">
          <cell r="V901" t="str">
            <v>19.06.2027</v>
          </cell>
          <cell r="W901">
            <v>46557</v>
          </cell>
        </row>
        <row r="902">
          <cell r="V902" t="str">
            <v>20.06.2027</v>
          </cell>
          <cell r="W902">
            <v>46558</v>
          </cell>
        </row>
        <row r="903">
          <cell r="V903" t="str">
            <v>21.06.2027</v>
          </cell>
          <cell r="W903">
            <v>46559</v>
          </cell>
        </row>
        <row r="904">
          <cell r="V904" t="str">
            <v>22.06.2027</v>
          </cell>
          <cell r="W904">
            <v>46560</v>
          </cell>
        </row>
        <row r="905">
          <cell r="V905" t="str">
            <v>23.06.2027</v>
          </cell>
          <cell r="W905">
            <v>46561</v>
          </cell>
        </row>
        <row r="906">
          <cell r="V906" t="str">
            <v>24.06.2027</v>
          </cell>
          <cell r="W906">
            <v>46562</v>
          </cell>
        </row>
        <row r="907">
          <cell r="V907" t="str">
            <v>25.06.2027</v>
          </cell>
          <cell r="W907">
            <v>46563</v>
          </cell>
        </row>
        <row r="908">
          <cell r="V908" t="str">
            <v>26.06.2027</v>
          </cell>
          <cell r="W908">
            <v>46564</v>
          </cell>
        </row>
        <row r="909">
          <cell r="V909" t="str">
            <v>27.06.2027</v>
          </cell>
          <cell r="W909">
            <v>46565</v>
          </cell>
        </row>
        <row r="910">
          <cell r="V910" t="str">
            <v>28.06.2027</v>
          </cell>
          <cell r="W910">
            <v>46566</v>
          </cell>
        </row>
        <row r="911">
          <cell r="V911" t="str">
            <v>29.06.2027</v>
          </cell>
          <cell r="W911">
            <v>46567</v>
          </cell>
        </row>
        <row r="912">
          <cell r="V912" t="str">
            <v>30.06.2027</v>
          </cell>
          <cell r="W912">
            <v>46568</v>
          </cell>
        </row>
        <row r="913">
          <cell r="V913" t="str">
            <v>01.07.2027</v>
          </cell>
          <cell r="W913">
            <v>46569</v>
          </cell>
        </row>
        <row r="914">
          <cell r="V914" t="str">
            <v>02.07.2027</v>
          </cell>
          <cell r="W914">
            <v>46570</v>
          </cell>
        </row>
        <row r="915">
          <cell r="V915" t="str">
            <v>03.07.2027</v>
          </cell>
          <cell r="W915">
            <v>46571</v>
          </cell>
        </row>
        <row r="916">
          <cell r="V916" t="str">
            <v>04.07.2027</v>
          </cell>
          <cell r="W916">
            <v>46572</v>
          </cell>
        </row>
        <row r="917">
          <cell r="V917" t="str">
            <v>05.07.2027</v>
          </cell>
          <cell r="W917">
            <v>46573</v>
          </cell>
        </row>
        <row r="918">
          <cell r="V918" t="str">
            <v>06.07.2027</v>
          </cell>
          <cell r="W918">
            <v>46574</v>
          </cell>
        </row>
        <row r="919">
          <cell r="V919" t="str">
            <v>07.07.2027</v>
          </cell>
          <cell r="W919">
            <v>46575</v>
          </cell>
        </row>
        <row r="920">
          <cell r="V920" t="str">
            <v>08.07.2027</v>
          </cell>
          <cell r="W920">
            <v>46576</v>
          </cell>
        </row>
        <row r="921">
          <cell r="V921" t="str">
            <v>09.07.2027</v>
          </cell>
          <cell r="W921">
            <v>46577</v>
          </cell>
        </row>
        <row r="922">
          <cell r="V922" t="str">
            <v>10.07.2027</v>
          </cell>
          <cell r="W922">
            <v>46578</v>
          </cell>
        </row>
        <row r="923">
          <cell r="V923" t="str">
            <v>11.07.2027</v>
          </cell>
          <cell r="W923">
            <v>46579</v>
          </cell>
        </row>
        <row r="924">
          <cell r="V924" t="str">
            <v>12.07.2027</v>
          </cell>
          <cell r="W924">
            <v>46580</v>
          </cell>
        </row>
        <row r="925">
          <cell r="V925" t="str">
            <v>13.07.2027</v>
          </cell>
          <cell r="W925">
            <v>46581</v>
          </cell>
        </row>
        <row r="926">
          <cell r="V926" t="str">
            <v>14.07.2027</v>
          </cell>
          <cell r="W926">
            <v>46582</v>
          </cell>
        </row>
        <row r="927">
          <cell r="V927" t="str">
            <v>15.07.2027</v>
          </cell>
          <cell r="W927">
            <v>46583</v>
          </cell>
        </row>
        <row r="928">
          <cell r="V928" t="str">
            <v>16.07.2027</v>
          </cell>
          <cell r="W928">
            <v>46584</v>
          </cell>
        </row>
        <row r="929">
          <cell r="V929" t="str">
            <v>17.07.2027</v>
          </cell>
          <cell r="W929">
            <v>46585</v>
          </cell>
        </row>
        <row r="930">
          <cell r="V930" t="str">
            <v>18.07.2027</v>
          </cell>
          <cell r="W930">
            <v>46586</v>
          </cell>
        </row>
        <row r="931">
          <cell r="V931" t="str">
            <v>19.07.2027</v>
          </cell>
          <cell r="W931">
            <v>46587</v>
          </cell>
        </row>
        <row r="932">
          <cell r="V932" t="str">
            <v>20.07.2027</v>
          </cell>
          <cell r="W932">
            <v>46588</v>
          </cell>
        </row>
        <row r="933">
          <cell r="V933" t="str">
            <v>21.07.2027</v>
          </cell>
          <cell r="W933">
            <v>46589</v>
          </cell>
        </row>
        <row r="934">
          <cell r="V934" t="str">
            <v>22.07.2027</v>
          </cell>
          <cell r="W934">
            <v>46590</v>
          </cell>
        </row>
        <row r="935">
          <cell r="V935" t="str">
            <v>23.07.2027</v>
          </cell>
          <cell r="W935">
            <v>46591</v>
          </cell>
        </row>
        <row r="936">
          <cell r="V936" t="str">
            <v>24.07.2027</v>
          </cell>
          <cell r="W936">
            <v>46592</v>
          </cell>
        </row>
        <row r="937">
          <cell r="V937" t="str">
            <v>25.07.2027</v>
          </cell>
          <cell r="W937">
            <v>46593</v>
          </cell>
        </row>
        <row r="938">
          <cell r="V938" t="str">
            <v>26.07.2027</v>
          </cell>
          <cell r="W938">
            <v>46594</v>
          </cell>
        </row>
        <row r="939">
          <cell r="V939" t="str">
            <v>27.07.2027</v>
          </cell>
          <cell r="W939">
            <v>46595</v>
          </cell>
        </row>
        <row r="940">
          <cell r="V940" t="str">
            <v>28.07.2027</v>
          </cell>
          <cell r="W940">
            <v>46596</v>
          </cell>
        </row>
        <row r="941">
          <cell r="V941" t="str">
            <v>29.07.2027</v>
          </cell>
          <cell r="W941">
            <v>46597</v>
          </cell>
        </row>
        <row r="942">
          <cell r="V942" t="str">
            <v>30.07.2027</v>
          </cell>
          <cell r="W942">
            <v>46598</v>
          </cell>
        </row>
        <row r="943">
          <cell r="V943" t="str">
            <v>31.07.2027</v>
          </cell>
          <cell r="W943">
            <v>46599</v>
          </cell>
        </row>
        <row r="944">
          <cell r="V944" t="str">
            <v>01.08.2027</v>
          </cell>
          <cell r="W944">
            <v>46600</v>
          </cell>
        </row>
        <row r="945">
          <cell r="V945" t="str">
            <v>02.08.2027</v>
          </cell>
          <cell r="W945">
            <v>46601</v>
          </cell>
        </row>
        <row r="946">
          <cell r="V946" t="str">
            <v>03.08.2027</v>
          </cell>
          <cell r="W946">
            <v>46602</v>
          </cell>
        </row>
        <row r="947">
          <cell r="V947" t="str">
            <v>04.08.2027</v>
          </cell>
          <cell r="W947">
            <v>46603</v>
          </cell>
        </row>
        <row r="948">
          <cell r="V948" t="str">
            <v>05.08.2027</v>
          </cell>
          <cell r="W948">
            <v>46604</v>
          </cell>
        </row>
        <row r="949">
          <cell r="V949" t="str">
            <v>06.08.2027</v>
          </cell>
          <cell r="W949">
            <v>46605</v>
          </cell>
        </row>
        <row r="950">
          <cell r="V950" t="str">
            <v>07.08.2027</v>
          </cell>
          <cell r="W950">
            <v>46606</v>
          </cell>
        </row>
        <row r="951">
          <cell r="V951" t="str">
            <v>08.08.2027</v>
          </cell>
          <cell r="W951">
            <v>46607</v>
          </cell>
        </row>
        <row r="952">
          <cell r="V952" t="str">
            <v>09.08.2027</v>
          </cell>
          <cell r="W952">
            <v>46608</v>
          </cell>
        </row>
        <row r="953">
          <cell r="V953" t="str">
            <v>10.08.2027</v>
          </cell>
          <cell r="W953">
            <v>46609</v>
          </cell>
        </row>
        <row r="954">
          <cell r="V954" t="str">
            <v>11.08.2027</v>
          </cell>
          <cell r="W954">
            <v>46610</v>
          </cell>
        </row>
        <row r="955">
          <cell r="V955" t="str">
            <v>12.08.2027</v>
          </cell>
          <cell r="W955">
            <v>46611</v>
          </cell>
        </row>
        <row r="956">
          <cell r="V956" t="str">
            <v>13.08.2027</v>
          </cell>
          <cell r="W956">
            <v>46612</v>
          </cell>
        </row>
        <row r="957">
          <cell r="V957" t="str">
            <v>14.08.2027</v>
          </cell>
          <cell r="W957">
            <v>46613</v>
          </cell>
        </row>
        <row r="958">
          <cell r="V958" t="str">
            <v>15.08.2027</v>
          </cell>
          <cell r="W958">
            <v>46614</v>
          </cell>
        </row>
        <row r="959">
          <cell r="V959" t="str">
            <v>16.08.2027</v>
          </cell>
          <cell r="W959">
            <v>46615</v>
          </cell>
        </row>
        <row r="960">
          <cell r="V960" t="str">
            <v>17.08.2027</v>
          </cell>
          <cell r="W960">
            <v>46616</v>
          </cell>
        </row>
        <row r="961">
          <cell r="V961" t="str">
            <v>18.08.2027</v>
          </cell>
          <cell r="W961">
            <v>46617</v>
          </cell>
        </row>
        <row r="962">
          <cell r="V962" t="str">
            <v>19.08.2027</v>
          </cell>
          <cell r="W962">
            <v>46618</v>
          </cell>
        </row>
        <row r="963">
          <cell r="V963" t="str">
            <v>20.08.2027</v>
          </cell>
          <cell r="W963">
            <v>46619</v>
          </cell>
        </row>
        <row r="964">
          <cell r="V964" t="str">
            <v>21.08.2027</v>
          </cell>
          <cell r="W964">
            <v>46620</v>
          </cell>
        </row>
        <row r="965">
          <cell r="V965" t="str">
            <v>22.08.2027</v>
          </cell>
          <cell r="W965">
            <v>46621</v>
          </cell>
        </row>
        <row r="966">
          <cell r="V966" t="str">
            <v>23.08.2027</v>
          </cell>
          <cell r="W966">
            <v>46622</v>
          </cell>
        </row>
        <row r="967">
          <cell r="V967" t="str">
            <v>24.08.2027</v>
          </cell>
          <cell r="W967">
            <v>46623</v>
          </cell>
        </row>
        <row r="968">
          <cell r="V968" t="str">
            <v>25.08.2027</v>
          </cell>
          <cell r="W968">
            <v>46624</v>
          </cell>
        </row>
        <row r="969">
          <cell r="V969" t="str">
            <v>26.08.2027</v>
          </cell>
          <cell r="W969">
            <v>46625</v>
          </cell>
        </row>
        <row r="970">
          <cell r="V970" t="str">
            <v>27.08.2027</v>
          </cell>
          <cell r="W970">
            <v>46626</v>
          </cell>
        </row>
        <row r="971">
          <cell r="V971" t="str">
            <v>28.08.2027</v>
          </cell>
          <cell r="W971">
            <v>46627</v>
          </cell>
        </row>
        <row r="972">
          <cell r="V972" t="str">
            <v>29.08.2027</v>
          </cell>
          <cell r="W972">
            <v>46628</v>
          </cell>
        </row>
        <row r="973">
          <cell r="V973" t="str">
            <v>30.08.2027</v>
          </cell>
          <cell r="W973">
            <v>46629</v>
          </cell>
        </row>
        <row r="974">
          <cell r="V974" t="str">
            <v>31.08.2027</v>
          </cell>
          <cell r="W974">
            <v>46630</v>
          </cell>
        </row>
        <row r="975">
          <cell r="V975" t="str">
            <v>01.09.2027</v>
          </cell>
          <cell r="W975">
            <v>46631</v>
          </cell>
        </row>
        <row r="976">
          <cell r="V976" t="str">
            <v>02.09.2027</v>
          </cell>
          <cell r="W976">
            <v>46632</v>
          </cell>
        </row>
        <row r="977">
          <cell r="V977" t="str">
            <v>03.09.2027</v>
          </cell>
          <cell r="W977">
            <v>46633</v>
          </cell>
        </row>
        <row r="978">
          <cell r="V978" t="str">
            <v>04.09.2027</v>
          </cell>
          <cell r="W978">
            <v>46634</v>
          </cell>
        </row>
        <row r="979">
          <cell r="V979" t="str">
            <v>05.09.2027</v>
          </cell>
          <cell r="W979">
            <v>46635</v>
          </cell>
        </row>
        <row r="980">
          <cell r="V980" t="str">
            <v>06.09.2027</v>
          </cell>
          <cell r="W980">
            <v>46636</v>
          </cell>
        </row>
        <row r="981">
          <cell r="V981" t="str">
            <v>07.09.2027</v>
          </cell>
          <cell r="W981">
            <v>46637</v>
          </cell>
        </row>
        <row r="982">
          <cell r="V982" t="str">
            <v>08.09.2027</v>
          </cell>
          <cell r="W982">
            <v>46638</v>
          </cell>
        </row>
        <row r="983">
          <cell r="V983" t="str">
            <v>09.09.2027</v>
          </cell>
          <cell r="W983">
            <v>46639</v>
          </cell>
        </row>
        <row r="984">
          <cell r="V984" t="str">
            <v>10.09.2027</v>
          </cell>
          <cell r="W984">
            <v>46640</v>
          </cell>
        </row>
        <row r="985">
          <cell r="V985" t="str">
            <v>11.09.2027</v>
          </cell>
          <cell r="W985">
            <v>46641</v>
          </cell>
        </row>
        <row r="986">
          <cell r="V986" t="str">
            <v>12.09.2027</v>
          </cell>
          <cell r="W986">
            <v>46642</v>
          </cell>
        </row>
        <row r="987">
          <cell r="V987" t="str">
            <v>13.09.2027</v>
          </cell>
          <cell r="W987">
            <v>46643</v>
          </cell>
        </row>
        <row r="988">
          <cell r="V988" t="str">
            <v>14.09.2027</v>
          </cell>
          <cell r="W988">
            <v>46644</v>
          </cell>
        </row>
        <row r="989">
          <cell r="V989" t="str">
            <v>15.09.2027</v>
          </cell>
          <cell r="W989">
            <v>46645</v>
          </cell>
        </row>
        <row r="990">
          <cell r="V990" t="str">
            <v>16.09.2027</v>
          </cell>
          <cell r="W990">
            <v>46646</v>
          </cell>
        </row>
        <row r="991">
          <cell r="V991" t="str">
            <v>17.09.2027</v>
          </cell>
          <cell r="W991">
            <v>46647</v>
          </cell>
        </row>
        <row r="992">
          <cell r="V992" t="str">
            <v>18.09.2027</v>
          </cell>
          <cell r="W992">
            <v>46648</v>
          </cell>
        </row>
        <row r="993">
          <cell r="V993" t="str">
            <v>19.09.2027</v>
          </cell>
          <cell r="W993">
            <v>46649</v>
          </cell>
        </row>
        <row r="994">
          <cell r="V994" t="str">
            <v>20.09.2027</v>
          </cell>
          <cell r="W994">
            <v>46650</v>
          </cell>
        </row>
        <row r="995">
          <cell r="V995" t="str">
            <v>21.09.2027</v>
          </cell>
          <cell r="W995">
            <v>46651</v>
          </cell>
        </row>
        <row r="996">
          <cell r="V996" t="str">
            <v>22.09.2027</v>
          </cell>
          <cell r="W996">
            <v>46652</v>
          </cell>
        </row>
        <row r="997">
          <cell r="V997" t="str">
            <v>23.09.2027</v>
          </cell>
          <cell r="W997">
            <v>46653</v>
          </cell>
        </row>
        <row r="998">
          <cell r="V998" t="str">
            <v>24.09.2027</v>
          </cell>
          <cell r="W998">
            <v>46654</v>
          </cell>
        </row>
        <row r="999">
          <cell r="V999" t="str">
            <v>25.09.2027</v>
          </cell>
          <cell r="W999">
            <v>46655</v>
          </cell>
        </row>
        <row r="1000">
          <cell r="V1000" t="str">
            <v>26.09.2027</v>
          </cell>
          <cell r="W1000">
            <v>46656</v>
          </cell>
        </row>
        <row r="1001">
          <cell r="V1001" t="str">
            <v>27.09.2027</v>
          </cell>
          <cell r="W1001">
            <v>46657</v>
          </cell>
        </row>
        <row r="1002">
          <cell r="V1002" t="str">
            <v>28.09.2027</v>
          </cell>
          <cell r="W1002">
            <v>46658</v>
          </cell>
        </row>
        <row r="1003">
          <cell r="V1003" t="str">
            <v>29.09.2027</v>
          </cell>
          <cell r="W1003">
            <v>46659</v>
          </cell>
        </row>
        <row r="1004">
          <cell r="V1004" t="str">
            <v>30.09.2027</v>
          </cell>
          <cell r="W1004">
            <v>46660</v>
          </cell>
        </row>
        <row r="1005">
          <cell r="V1005" t="str">
            <v>01.10.2027</v>
          </cell>
          <cell r="W1005">
            <v>46661</v>
          </cell>
        </row>
        <row r="1006">
          <cell r="V1006" t="str">
            <v>02.10.2027</v>
          </cell>
          <cell r="W1006">
            <v>46662</v>
          </cell>
        </row>
        <row r="1007">
          <cell r="V1007" t="str">
            <v>03.10.2027</v>
          </cell>
          <cell r="W1007">
            <v>46663</v>
          </cell>
        </row>
        <row r="1008">
          <cell r="V1008" t="str">
            <v>04.10.2027</v>
          </cell>
          <cell r="W1008">
            <v>46664</v>
          </cell>
        </row>
        <row r="1009">
          <cell r="V1009" t="str">
            <v>05.10.2027</v>
          </cell>
          <cell r="W1009">
            <v>46665</v>
          </cell>
        </row>
        <row r="1010">
          <cell r="V1010" t="str">
            <v>06.10.2027</v>
          </cell>
          <cell r="W1010">
            <v>46666</v>
          </cell>
        </row>
        <row r="1011">
          <cell r="V1011" t="str">
            <v>07.10.2027</v>
          </cell>
          <cell r="W1011">
            <v>46667</v>
          </cell>
        </row>
        <row r="1012">
          <cell r="V1012" t="str">
            <v>08.10.2027</v>
          </cell>
          <cell r="W1012">
            <v>46668</v>
          </cell>
        </row>
        <row r="1013">
          <cell r="V1013" t="str">
            <v>09.10.2027</v>
          </cell>
          <cell r="W1013">
            <v>46669</v>
          </cell>
        </row>
        <row r="1014">
          <cell r="V1014" t="str">
            <v>10.10.2027</v>
          </cell>
          <cell r="W1014">
            <v>46670</v>
          </cell>
        </row>
        <row r="1015">
          <cell r="V1015" t="str">
            <v>11.10.2027</v>
          </cell>
          <cell r="W1015">
            <v>46671</v>
          </cell>
        </row>
        <row r="1016">
          <cell r="V1016" t="str">
            <v>12.10.2027</v>
          </cell>
          <cell r="W1016">
            <v>46672</v>
          </cell>
        </row>
        <row r="1017">
          <cell r="V1017" t="str">
            <v>13.10.2027</v>
          </cell>
          <cell r="W1017">
            <v>46673</v>
          </cell>
        </row>
        <row r="1018">
          <cell r="V1018" t="str">
            <v>14.10.2027</v>
          </cell>
          <cell r="W1018">
            <v>46674</v>
          </cell>
        </row>
        <row r="1019">
          <cell r="V1019" t="str">
            <v>15.10.2027</v>
          </cell>
          <cell r="W1019">
            <v>46675</v>
          </cell>
        </row>
        <row r="1020">
          <cell r="V1020" t="str">
            <v>16.10.2027</v>
          </cell>
          <cell r="W1020">
            <v>46676</v>
          </cell>
        </row>
        <row r="1021">
          <cell r="V1021" t="str">
            <v>17.10.2027</v>
          </cell>
          <cell r="W1021">
            <v>46677</v>
          </cell>
        </row>
        <row r="1022">
          <cell r="V1022" t="str">
            <v>18.10.2027</v>
          </cell>
          <cell r="W1022">
            <v>46678</v>
          </cell>
        </row>
        <row r="1023">
          <cell r="V1023" t="str">
            <v>19.10.2027</v>
          </cell>
          <cell r="W1023">
            <v>46679</v>
          </cell>
        </row>
        <row r="1024">
          <cell r="V1024" t="str">
            <v>20.10.2027</v>
          </cell>
          <cell r="W1024">
            <v>46680</v>
          </cell>
        </row>
        <row r="1025">
          <cell r="V1025" t="str">
            <v>21.10.2027</v>
          </cell>
          <cell r="W1025">
            <v>46681</v>
          </cell>
        </row>
        <row r="1026">
          <cell r="V1026" t="str">
            <v>22.10.2027</v>
          </cell>
          <cell r="W1026">
            <v>46682</v>
          </cell>
        </row>
        <row r="1027">
          <cell r="V1027" t="str">
            <v>23.10.2027</v>
          </cell>
          <cell r="W1027">
            <v>46683</v>
          </cell>
        </row>
        <row r="1028">
          <cell r="V1028" t="str">
            <v>24.10.2027</v>
          </cell>
          <cell r="W1028">
            <v>46684</v>
          </cell>
        </row>
        <row r="1029">
          <cell r="V1029" t="str">
            <v>25.10.2027</v>
          </cell>
          <cell r="W1029">
            <v>46685</v>
          </cell>
        </row>
        <row r="1030">
          <cell r="V1030" t="str">
            <v>26.10.2027</v>
          </cell>
          <cell r="W1030">
            <v>46686</v>
          </cell>
        </row>
        <row r="1031">
          <cell r="V1031" t="str">
            <v>27.10.2027</v>
          </cell>
          <cell r="W1031">
            <v>46687</v>
          </cell>
        </row>
        <row r="1032">
          <cell r="V1032" t="str">
            <v>28.10.2027</v>
          </cell>
          <cell r="W1032">
            <v>46688</v>
          </cell>
        </row>
        <row r="1033">
          <cell r="V1033" t="str">
            <v>29.10.2027</v>
          </cell>
          <cell r="W1033">
            <v>46689</v>
          </cell>
        </row>
        <row r="1034">
          <cell r="V1034" t="str">
            <v>30.10.2027</v>
          </cell>
          <cell r="W1034">
            <v>46690</v>
          </cell>
        </row>
        <row r="1035">
          <cell r="V1035" t="str">
            <v>31.10.2027</v>
          </cell>
          <cell r="W1035">
            <v>46691</v>
          </cell>
        </row>
        <row r="1036">
          <cell r="V1036" t="str">
            <v>01.11.2027</v>
          </cell>
          <cell r="W1036">
            <v>46692</v>
          </cell>
        </row>
        <row r="1037">
          <cell r="V1037" t="str">
            <v>02.11.2027</v>
          </cell>
          <cell r="W1037">
            <v>46693</v>
          </cell>
        </row>
        <row r="1038">
          <cell r="V1038" t="str">
            <v>03.11.2027</v>
          </cell>
          <cell r="W1038">
            <v>46694</v>
          </cell>
        </row>
        <row r="1039">
          <cell r="V1039" t="str">
            <v>04.11.2027</v>
          </cell>
          <cell r="W1039">
            <v>46695</v>
          </cell>
        </row>
        <row r="1040">
          <cell r="V1040" t="str">
            <v>05.11.2027</v>
          </cell>
          <cell r="W1040">
            <v>46696</v>
          </cell>
        </row>
        <row r="1041">
          <cell r="V1041" t="str">
            <v>06.11.2027</v>
          </cell>
          <cell r="W1041">
            <v>46697</v>
          </cell>
        </row>
        <row r="1042">
          <cell r="V1042" t="str">
            <v>07.11.2027</v>
          </cell>
          <cell r="W1042">
            <v>46698</v>
          </cell>
        </row>
        <row r="1043">
          <cell r="V1043" t="str">
            <v>08.11.2027</v>
          </cell>
          <cell r="W1043">
            <v>46699</v>
          </cell>
        </row>
        <row r="1044">
          <cell r="V1044" t="str">
            <v>09.11.2027</v>
          </cell>
          <cell r="W1044">
            <v>46700</v>
          </cell>
        </row>
        <row r="1045">
          <cell r="V1045" t="str">
            <v>10.11.2027</v>
          </cell>
          <cell r="W1045">
            <v>46701</v>
          </cell>
        </row>
        <row r="1046">
          <cell r="V1046" t="str">
            <v>11.11.2027</v>
          </cell>
          <cell r="W1046">
            <v>46702</v>
          </cell>
        </row>
        <row r="1047">
          <cell r="V1047" t="str">
            <v>12.11.2027</v>
          </cell>
          <cell r="W1047">
            <v>46703</v>
          </cell>
        </row>
        <row r="1048">
          <cell r="V1048" t="str">
            <v>13.11.2027</v>
          </cell>
          <cell r="W1048">
            <v>46704</v>
          </cell>
        </row>
        <row r="1049">
          <cell r="V1049" t="str">
            <v>14.11.2027</v>
          </cell>
          <cell r="W1049">
            <v>46705</v>
          </cell>
        </row>
        <row r="1050">
          <cell r="V1050" t="str">
            <v>15.11.2027</v>
          </cell>
          <cell r="W1050">
            <v>46706</v>
          </cell>
        </row>
        <row r="1051">
          <cell r="V1051" t="str">
            <v>16.11.2027</v>
          </cell>
          <cell r="W1051">
            <v>46707</v>
          </cell>
        </row>
        <row r="1052">
          <cell r="V1052" t="str">
            <v>17.11.2027</v>
          </cell>
          <cell r="W1052">
            <v>46708</v>
          </cell>
        </row>
        <row r="1053">
          <cell r="V1053" t="str">
            <v>18.11.2027</v>
          </cell>
          <cell r="W1053">
            <v>46709</v>
          </cell>
        </row>
        <row r="1054">
          <cell r="V1054" t="str">
            <v>19.11.2027</v>
          </cell>
          <cell r="W1054">
            <v>46710</v>
          </cell>
        </row>
        <row r="1055">
          <cell r="V1055" t="str">
            <v>20.11.2027</v>
          </cell>
          <cell r="W1055">
            <v>46711</v>
          </cell>
        </row>
        <row r="1056">
          <cell r="V1056" t="str">
            <v>21.11.2027</v>
          </cell>
          <cell r="W1056">
            <v>46712</v>
          </cell>
        </row>
        <row r="1057">
          <cell r="V1057" t="str">
            <v>22.11.2027</v>
          </cell>
          <cell r="W1057">
            <v>46713</v>
          </cell>
        </row>
        <row r="1058">
          <cell r="V1058" t="str">
            <v>23.11.2027</v>
          </cell>
          <cell r="W1058">
            <v>46714</v>
          </cell>
        </row>
        <row r="1059">
          <cell r="V1059" t="str">
            <v>24.11.2027</v>
          </cell>
          <cell r="W1059">
            <v>46715</v>
          </cell>
        </row>
        <row r="1060">
          <cell r="V1060" t="str">
            <v>25.11.2027</v>
          </cell>
          <cell r="W1060">
            <v>46716</v>
          </cell>
        </row>
        <row r="1061">
          <cell r="V1061" t="str">
            <v>26.11.2027</v>
          </cell>
          <cell r="W1061">
            <v>46717</v>
          </cell>
        </row>
        <row r="1062">
          <cell r="V1062" t="str">
            <v>27.11.2027</v>
          </cell>
          <cell r="W1062">
            <v>46718</v>
          </cell>
        </row>
        <row r="1063">
          <cell r="V1063" t="str">
            <v>28.11.2027</v>
          </cell>
          <cell r="W1063">
            <v>46719</v>
          </cell>
        </row>
        <row r="1064">
          <cell r="V1064" t="str">
            <v>29.11.2027</v>
          </cell>
          <cell r="W1064">
            <v>46720</v>
          </cell>
        </row>
        <row r="1065">
          <cell r="V1065" t="str">
            <v>30.11.2027</v>
          </cell>
          <cell r="W1065">
            <v>46721</v>
          </cell>
        </row>
        <row r="1066">
          <cell r="V1066" t="str">
            <v>01.12.2027</v>
          </cell>
          <cell r="W1066">
            <v>46722</v>
          </cell>
        </row>
        <row r="1067">
          <cell r="V1067" t="str">
            <v>02.12.2027</v>
          </cell>
          <cell r="W1067">
            <v>46723</v>
          </cell>
        </row>
        <row r="1068">
          <cell r="V1068" t="str">
            <v>03.12.2027</v>
          </cell>
          <cell r="W1068">
            <v>46724</v>
          </cell>
        </row>
        <row r="1069">
          <cell r="V1069" t="str">
            <v>04.12.2027</v>
          </cell>
          <cell r="W1069">
            <v>46725</v>
          </cell>
        </row>
        <row r="1070">
          <cell r="V1070" t="str">
            <v>05.12.2027</v>
          </cell>
          <cell r="W1070">
            <v>46726</v>
          </cell>
        </row>
        <row r="1071">
          <cell r="V1071" t="str">
            <v>06.12.2027</v>
          </cell>
          <cell r="W1071">
            <v>46727</v>
          </cell>
        </row>
        <row r="1072">
          <cell r="V1072" t="str">
            <v>07.12.2027</v>
          </cell>
          <cell r="W1072">
            <v>46728</v>
          </cell>
        </row>
        <row r="1073">
          <cell r="V1073" t="str">
            <v>08.12.2027</v>
          </cell>
          <cell r="W1073">
            <v>46729</v>
          </cell>
        </row>
        <row r="1074">
          <cell r="V1074" t="str">
            <v>09.12.2027</v>
          </cell>
          <cell r="W1074">
            <v>46730</v>
          </cell>
        </row>
        <row r="1075">
          <cell r="V1075" t="str">
            <v>10.12.2027</v>
          </cell>
          <cell r="W1075">
            <v>46731</v>
          </cell>
        </row>
        <row r="1076">
          <cell r="V1076" t="str">
            <v>11.12.2027</v>
          </cell>
          <cell r="W1076">
            <v>46732</v>
          </cell>
        </row>
        <row r="1077">
          <cell r="V1077" t="str">
            <v>12.12.2027</v>
          </cell>
          <cell r="W1077">
            <v>46733</v>
          </cell>
        </row>
        <row r="1078">
          <cell r="V1078" t="str">
            <v>13.12.2027</v>
          </cell>
          <cell r="W1078">
            <v>46734</v>
          </cell>
        </row>
        <row r="1079">
          <cell r="V1079" t="str">
            <v>14.12.2027</v>
          </cell>
          <cell r="W1079">
            <v>46735</v>
          </cell>
        </row>
        <row r="1080">
          <cell r="V1080" t="str">
            <v>15.12.2027</v>
          </cell>
          <cell r="W1080">
            <v>46736</v>
          </cell>
        </row>
        <row r="1081">
          <cell r="V1081" t="str">
            <v>16.12.2027</v>
          </cell>
          <cell r="W1081">
            <v>46737</v>
          </cell>
        </row>
        <row r="1082">
          <cell r="V1082" t="str">
            <v>17.12.2027</v>
          </cell>
          <cell r="W1082">
            <v>46738</v>
          </cell>
        </row>
        <row r="1083">
          <cell r="V1083" t="str">
            <v>18.12.2027</v>
          </cell>
          <cell r="W1083">
            <v>46739</v>
          </cell>
        </row>
        <row r="1084">
          <cell r="V1084" t="str">
            <v>19.12.2027</v>
          </cell>
          <cell r="W1084">
            <v>46740</v>
          </cell>
        </row>
        <row r="1085">
          <cell r="V1085" t="str">
            <v>20.12.2027</v>
          </cell>
          <cell r="W1085">
            <v>46741</v>
          </cell>
        </row>
        <row r="1086">
          <cell r="V1086" t="str">
            <v>21.12.2027</v>
          </cell>
          <cell r="W1086">
            <v>46742</v>
          </cell>
        </row>
        <row r="1087">
          <cell r="V1087" t="str">
            <v>22.12.2027</v>
          </cell>
          <cell r="W1087">
            <v>46743</v>
          </cell>
        </row>
        <row r="1088">
          <cell r="V1088" t="str">
            <v>23.12.2027</v>
          </cell>
          <cell r="W1088">
            <v>46744</v>
          </cell>
        </row>
        <row r="1089">
          <cell r="V1089" t="str">
            <v>24.12.2027</v>
          </cell>
          <cell r="W1089">
            <v>46745</v>
          </cell>
        </row>
        <row r="1090">
          <cell r="V1090" t="str">
            <v>25.12.2027</v>
          </cell>
          <cell r="W1090">
            <v>46746</v>
          </cell>
        </row>
        <row r="1091">
          <cell r="V1091" t="str">
            <v>26.12.2027</v>
          </cell>
          <cell r="W1091">
            <v>46747</v>
          </cell>
        </row>
        <row r="1092">
          <cell r="V1092" t="str">
            <v>27.12.2027</v>
          </cell>
          <cell r="W1092">
            <v>46748</v>
          </cell>
        </row>
        <row r="1093">
          <cell r="V1093" t="str">
            <v>28.12.2027</v>
          </cell>
          <cell r="W1093">
            <v>46749</v>
          </cell>
        </row>
        <row r="1094">
          <cell r="V1094" t="str">
            <v>29.12.2027</v>
          </cell>
          <cell r="W1094">
            <v>46750</v>
          </cell>
        </row>
        <row r="1095">
          <cell r="V1095" t="str">
            <v>30.12.2027</v>
          </cell>
          <cell r="W1095">
            <v>46751</v>
          </cell>
        </row>
        <row r="1096">
          <cell r="V1096" t="str">
            <v>31.12.2027</v>
          </cell>
          <cell r="W1096">
            <v>46752</v>
          </cell>
        </row>
        <row r="1097">
          <cell r="V1097" t="str">
            <v>01.01.2028</v>
          </cell>
          <cell r="W1097">
            <v>46753</v>
          </cell>
        </row>
        <row r="1098">
          <cell r="V1098" t="str">
            <v>02.01.2028</v>
          </cell>
          <cell r="W1098">
            <v>46754</v>
          </cell>
        </row>
        <row r="1099">
          <cell r="V1099" t="str">
            <v>03.01.2028</v>
          </cell>
          <cell r="W1099">
            <v>46755</v>
          </cell>
        </row>
        <row r="1100">
          <cell r="V1100" t="str">
            <v>04.01.2028</v>
          </cell>
          <cell r="W1100">
            <v>46756</v>
          </cell>
        </row>
        <row r="1101">
          <cell r="V1101" t="str">
            <v>05.01.2028</v>
          </cell>
          <cell r="W1101">
            <v>46757</v>
          </cell>
        </row>
        <row r="1102">
          <cell r="V1102" t="str">
            <v>06.01.2028</v>
          </cell>
          <cell r="W1102">
            <v>46758</v>
          </cell>
        </row>
        <row r="1103">
          <cell r="V1103" t="str">
            <v>07.01.2028</v>
          </cell>
          <cell r="W1103">
            <v>46759</v>
          </cell>
        </row>
        <row r="1104">
          <cell r="V1104" t="str">
            <v>08.01.2028</v>
          </cell>
          <cell r="W1104">
            <v>46760</v>
          </cell>
        </row>
        <row r="1105">
          <cell r="V1105" t="str">
            <v>09.01.2028</v>
          </cell>
          <cell r="W1105">
            <v>46761</v>
          </cell>
        </row>
        <row r="1106">
          <cell r="V1106" t="str">
            <v>10.01.2028</v>
          </cell>
          <cell r="W1106">
            <v>46762</v>
          </cell>
        </row>
        <row r="1107">
          <cell r="V1107" t="str">
            <v>11.01.2028</v>
          </cell>
          <cell r="W1107">
            <v>46763</v>
          </cell>
        </row>
        <row r="1108">
          <cell r="V1108" t="str">
            <v>12.01.2028</v>
          </cell>
          <cell r="W1108">
            <v>46764</v>
          </cell>
        </row>
        <row r="1109">
          <cell r="V1109" t="str">
            <v>13.01.2028</v>
          </cell>
          <cell r="W1109">
            <v>46765</v>
          </cell>
        </row>
        <row r="1110">
          <cell r="V1110" t="str">
            <v>14.01.2028</v>
          </cell>
          <cell r="W1110">
            <v>46766</v>
          </cell>
        </row>
        <row r="1111">
          <cell r="V1111" t="str">
            <v>15.01.2028</v>
          </cell>
          <cell r="W1111">
            <v>46767</v>
          </cell>
        </row>
        <row r="1112">
          <cell r="V1112" t="str">
            <v>16.01.2028</v>
          </cell>
          <cell r="W1112">
            <v>46768</v>
          </cell>
        </row>
        <row r="1113">
          <cell r="V1113" t="str">
            <v>17.01.2028</v>
          </cell>
          <cell r="W1113">
            <v>46769</v>
          </cell>
        </row>
        <row r="1114">
          <cell r="V1114" t="str">
            <v>18.01.2028</v>
          </cell>
          <cell r="W1114">
            <v>46770</v>
          </cell>
        </row>
        <row r="1115">
          <cell r="V1115" t="str">
            <v>19.01.2028</v>
          </cell>
          <cell r="W1115">
            <v>46771</v>
          </cell>
        </row>
        <row r="1116">
          <cell r="V1116" t="str">
            <v>20.01.2028</v>
          </cell>
          <cell r="W1116">
            <v>46772</v>
          </cell>
        </row>
        <row r="1117">
          <cell r="V1117" t="str">
            <v>21.01.2028</v>
          </cell>
          <cell r="W1117">
            <v>46773</v>
          </cell>
        </row>
        <row r="1118">
          <cell r="V1118" t="str">
            <v>22.01.2028</v>
          </cell>
          <cell r="W1118">
            <v>46774</v>
          </cell>
        </row>
        <row r="1119">
          <cell r="V1119" t="str">
            <v>23.01.2028</v>
          </cell>
          <cell r="W1119">
            <v>46775</v>
          </cell>
        </row>
        <row r="1120">
          <cell r="V1120" t="str">
            <v>24.01.2028</v>
          </cell>
          <cell r="W1120">
            <v>46776</v>
          </cell>
        </row>
        <row r="1121">
          <cell r="V1121" t="str">
            <v>25.01.2028</v>
          </cell>
          <cell r="W1121">
            <v>46777</v>
          </cell>
        </row>
        <row r="1122">
          <cell r="V1122" t="str">
            <v>26.01.2028</v>
          </cell>
          <cell r="W1122">
            <v>46778</v>
          </cell>
        </row>
        <row r="1123">
          <cell r="V1123" t="str">
            <v>27.01.2028</v>
          </cell>
          <cell r="W1123">
            <v>46779</v>
          </cell>
        </row>
        <row r="1124">
          <cell r="V1124" t="str">
            <v>28.01.2028</v>
          </cell>
          <cell r="W1124">
            <v>46780</v>
          </cell>
        </row>
        <row r="1125">
          <cell r="V1125" t="str">
            <v>29.01.2028</v>
          </cell>
          <cell r="W1125">
            <v>46781</v>
          </cell>
        </row>
        <row r="1126">
          <cell r="V1126" t="str">
            <v>30.01.2028</v>
          </cell>
          <cell r="W1126">
            <v>46782</v>
          </cell>
        </row>
        <row r="1127">
          <cell r="V1127" t="str">
            <v>31.01.2028</v>
          </cell>
          <cell r="W1127">
            <v>46783</v>
          </cell>
        </row>
        <row r="1128">
          <cell r="V1128" t="str">
            <v>01.02.2028</v>
          </cell>
          <cell r="W1128">
            <v>46784</v>
          </cell>
        </row>
        <row r="1129">
          <cell r="V1129" t="str">
            <v>02.02.2028</v>
          </cell>
          <cell r="W1129">
            <v>46785</v>
          </cell>
        </row>
        <row r="1130">
          <cell r="V1130" t="str">
            <v>03.02.2028</v>
          </cell>
          <cell r="W1130">
            <v>46786</v>
          </cell>
        </row>
        <row r="1131">
          <cell r="V1131" t="str">
            <v>04.02.2028</v>
          </cell>
          <cell r="W1131">
            <v>46787</v>
          </cell>
        </row>
        <row r="1132">
          <cell r="V1132" t="str">
            <v>05.02.2028</v>
          </cell>
          <cell r="W1132">
            <v>46788</v>
          </cell>
        </row>
        <row r="1133">
          <cell r="V1133" t="str">
            <v>06.02.2028</v>
          </cell>
          <cell r="W1133">
            <v>46789</v>
          </cell>
        </row>
        <row r="1134">
          <cell r="V1134" t="str">
            <v>07.02.2028</v>
          </cell>
          <cell r="W1134">
            <v>46790</v>
          </cell>
        </row>
        <row r="1135">
          <cell r="V1135" t="str">
            <v>08.02.2028</v>
          </cell>
          <cell r="W1135">
            <v>46791</v>
          </cell>
        </row>
        <row r="1136">
          <cell r="V1136" t="str">
            <v>09.02.2028</v>
          </cell>
          <cell r="W1136">
            <v>46792</v>
          </cell>
        </row>
        <row r="1137">
          <cell r="V1137" t="str">
            <v>10.02.2028</v>
          </cell>
          <cell r="W1137">
            <v>46793</v>
          </cell>
        </row>
        <row r="1138">
          <cell r="V1138" t="str">
            <v>11.02.2028</v>
          </cell>
          <cell r="W1138">
            <v>46794</v>
          </cell>
        </row>
        <row r="1139">
          <cell r="V1139" t="str">
            <v>12.02.2028</v>
          </cell>
          <cell r="W1139">
            <v>46795</v>
          </cell>
        </row>
        <row r="1140">
          <cell r="V1140" t="str">
            <v>13.02.2028</v>
          </cell>
          <cell r="W1140">
            <v>46796</v>
          </cell>
        </row>
        <row r="1141">
          <cell r="V1141" t="str">
            <v>14.02.2028</v>
          </cell>
          <cell r="W1141">
            <v>46797</v>
          </cell>
        </row>
        <row r="1142">
          <cell r="V1142" t="str">
            <v>15.02.2028</v>
          </cell>
          <cell r="W1142">
            <v>46798</v>
          </cell>
        </row>
        <row r="1143">
          <cell r="V1143" t="str">
            <v>16.02.2028</v>
          </cell>
          <cell r="W1143">
            <v>46799</v>
          </cell>
        </row>
        <row r="1144">
          <cell r="V1144" t="str">
            <v>17.02.2028</v>
          </cell>
          <cell r="W1144">
            <v>46800</v>
          </cell>
        </row>
        <row r="1145">
          <cell r="V1145" t="str">
            <v>18.02.2028</v>
          </cell>
          <cell r="W1145">
            <v>46801</v>
          </cell>
        </row>
        <row r="1146">
          <cell r="V1146" t="str">
            <v>19.02.2028</v>
          </cell>
          <cell r="W1146">
            <v>46802</v>
          </cell>
        </row>
        <row r="1147">
          <cell r="V1147" t="str">
            <v>20.02.2028</v>
          </cell>
          <cell r="W1147">
            <v>46803</v>
          </cell>
        </row>
        <row r="1148">
          <cell r="V1148" t="str">
            <v>21.02.2028</v>
          </cell>
          <cell r="W1148">
            <v>46804</v>
          </cell>
        </row>
        <row r="1149">
          <cell r="V1149" t="str">
            <v>22.02.2028</v>
          </cell>
          <cell r="W1149">
            <v>46805</v>
          </cell>
        </row>
        <row r="1150">
          <cell r="V1150" t="str">
            <v>23.02.2028</v>
          </cell>
          <cell r="W1150">
            <v>46806</v>
          </cell>
        </row>
        <row r="1151">
          <cell r="V1151" t="str">
            <v>24.02.2028</v>
          </cell>
          <cell r="W1151">
            <v>46807</v>
          </cell>
        </row>
        <row r="1152">
          <cell r="V1152" t="str">
            <v>25.02.2028</v>
          </cell>
          <cell r="W1152">
            <v>46808</v>
          </cell>
        </row>
        <row r="1153">
          <cell r="V1153" t="str">
            <v>26.02.2028</v>
          </cell>
          <cell r="W1153">
            <v>46809</v>
          </cell>
        </row>
        <row r="1154">
          <cell r="V1154" t="str">
            <v>27.02.2028</v>
          </cell>
          <cell r="W1154">
            <v>46810</v>
          </cell>
        </row>
        <row r="1155">
          <cell r="V1155" t="str">
            <v>28.02.2028</v>
          </cell>
          <cell r="W1155">
            <v>46811</v>
          </cell>
        </row>
        <row r="1156">
          <cell r="V1156" t="str">
            <v>29.02.2028</v>
          </cell>
          <cell r="W1156">
            <v>46812</v>
          </cell>
        </row>
        <row r="1157">
          <cell r="V1157" t="str">
            <v>01.03.2028</v>
          </cell>
          <cell r="W1157">
            <v>46813</v>
          </cell>
        </row>
        <row r="1158">
          <cell r="V1158" t="str">
            <v>02.03.2028</v>
          </cell>
          <cell r="W1158">
            <v>46814</v>
          </cell>
        </row>
        <row r="1159">
          <cell r="V1159" t="str">
            <v>03.03.2028</v>
          </cell>
          <cell r="W1159">
            <v>46815</v>
          </cell>
        </row>
        <row r="1160">
          <cell r="V1160" t="str">
            <v>04.03.2028</v>
          </cell>
          <cell r="W1160">
            <v>46816</v>
          </cell>
        </row>
        <row r="1161">
          <cell r="V1161" t="str">
            <v>05.03.2028</v>
          </cell>
          <cell r="W1161">
            <v>46817</v>
          </cell>
        </row>
        <row r="1162">
          <cell r="V1162" t="str">
            <v>06.03.2028</v>
          </cell>
          <cell r="W1162">
            <v>46818</v>
          </cell>
        </row>
        <row r="1163">
          <cell r="V1163" t="str">
            <v>07.03.2028</v>
          </cell>
          <cell r="W1163">
            <v>46819</v>
          </cell>
        </row>
        <row r="1164">
          <cell r="V1164" t="str">
            <v>08.03.2028</v>
          </cell>
          <cell r="W1164">
            <v>46820</v>
          </cell>
        </row>
        <row r="1165">
          <cell r="V1165" t="str">
            <v>09.03.2028</v>
          </cell>
          <cell r="W1165">
            <v>46821</v>
          </cell>
        </row>
        <row r="1166">
          <cell r="V1166" t="str">
            <v>10.03.2028</v>
          </cell>
          <cell r="W1166">
            <v>46822</v>
          </cell>
        </row>
        <row r="1167">
          <cell r="V1167" t="str">
            <v>11.03.2028</v>
          </cell>
          <cell r="W1167">
            <v>46823</v>
          </cell>
        </row>
        <row r="1168">
          <cell r="V1168" t="str">
            <v>12.03.2028</v>
          </cell>
          <cell r="W1168">
            <v>46824</v>
          </cell>
        </row>
        <row r="1169">
          <cell r="V1169" t="str">
            <v>13.03.2028</v>
          </cell>
          <cell r="W1169">
            <v>46825</v>
          </cell>
        </row>
        <row r="1170">
          <cell r="V1170" t="str">
            <v>14.03.2028</v>
          </cell>
          <cell r="W1170">
            <v>46826</v>
          </cell>
        </row>
        <row r="1171">
          <cell r="V1171" t="str">
            <v>15.03.2028</v>
          </cell>
          <cell r="W1171">
            <v>46827</v>
          </cell>
        </row>
        <row r="1172">
          <cell r="V1172" t="str">
            <v>16.03.2028</v>
          </cell>
          <cell r="W1172">
            <v>46828</v>
          </cell>
        </row>
        <row r="1173">
          <cell r="V1173" t="str">
            <v>17.03.2028</v>
          </cell>
          <cell r="W1173">
            <v>46829</v>
          </cell>
        </row>
        <row r="1174">
          <cell r="V1174" t="str">
            <v>18.03.2028</v>
          </cell>
          <cell r="W1174">
            <v>46830</v>
          </cell>
        </row>
        <row r="1175">
          <cell r="V1175" t="str">
            <v>19.03.2028</v>
          </cell>
          <cell r="W1175">
            <v>46831</v>
          </cell>
        </row>
        <row r="1176">
          <cell r="V1176" t="str">
            <v>20.03.2028</v>
          </cell>
          <cell r="W1176">
            <v>46832</v>
          </cell>
        </row>
        <row r="1177">
          <cell r="V1177" t="str">
            <v>21.03.2028</v>
          </cell>
          <cell r="W1177">
            <v>46833</v>
          </cell>
        </row>
        <row r="1178">
          <cell r="V1178" t="str">
            <v>22.03.2028</v>
          </cell>
          <cell r="W1178">
            <v>46834</v>
          </cell>
        </row>
        <row r="1179">
          <cell r="V1179" t="str">
            <v>23.03.2028</v>
          </cell>
          <cell r="W1179">
            <v>46835</v>
          </cell>
        </row>
        <row r="1180">
          <cell r="V1180" t="str">
            <v>24.03.2028</v>
          </cell>
          <cell r="W1180">
            <v>46836</v>
          </cell>
        </row>
        <row r="1181">
          <cell r="V1181" t="str">
            <v>25.03.2028</v>
          </cell>
          <cell r="W1181">
            <v>46837</v>
          </cell>
        </row>
        <row r="1182">
          <cell r="V1182" t="str">
            <v>26.03.2028</v>
          </cell>
          <cell r="W1182">
            <v>46838</v>
          </cell>
        </row>
        <row r="1183">
          <cell r="V1183" t="str">
            <v>27.03.2028</v>
          </cell>
          <cell r="W1183">
            <v>46839</v>
          </cell>
        </row>
        <row r="1184">
          <cell r="V1184" t="str">
            <v>28.03.2028</v>
          </cell>
          <cell r="W1184">
            <v>46840</v>
          </cell>
        </row>
        <row r="1185">
          <cell r="V1185" t="str">
            <v>29.03.2028</v>
          </cell>
          <cell r="W1185">
            <v>46841</v>
          </cell>
        </row>
        <row r="1186">
          <cell r="V1186" t="str">
            <v>30.03.2028</v>
          </cell>
          <cell r="W1186">
            <v>46842</v>
          </cell>
        </row>
        <row r="1187">
          <cell r="V1187" t="str">
            <v>31.03.2028</v>
          </cell>
          <cell r="W1187">
            <v>46843</v>
          </cell>
        </row>
        <row r="1188">
          <cell r="V1188" t="str">
            <v>01.04.2028</v>
          </cell>
          <cell r="W1188">
            <v>46844</v>
          </cell>
        </row>
        <row r="1189">
          <cell r="V1189" t="str">
            <v>02.04.2028</v>
          </cell>
          <cell r="W1189">
            <v>46845</v>
          </cell>
        </row>
        <row r="1190">
          <cell r="V1190" t="str">
            <v>03.04.2028</v>
          </cell>
          <cell r="W1190">
            <v>46846</v>
          </cell>
        </row>
        <row r="1191">
          <cell r="V1191" t="str">
            <v>04.04.2028</v>
          </cell>
          <cell r="W1191">
            <v>46847</v>
          </cell>
        </row>
        <row r="1192">
          <cell r="V1192" t="str">
            <v>05.04.2028</v>
          </cell>
          <cell r="W1192">
            <v>46848</v>
          </cell>
        </row>
        <row r="1193">
          <cell r="V1193" t="str">
            <v>06.04.2028</v>
          </cell>
          <cell r="W1193">
            <v>46849</v>
          </cell>
        </row>
        <row r="1194">
          <cell r="V1194" t="str">
            <v>07.04.2028</v>
          </cell>
          <cell r="W1194">
            <v>46850</v>
          </cell>
        </row>
        <row r="1195">
          <cell r="V1195" t="str">
            <v>08.04.2028</v>
          </cell>
          <cell r="W1195">
            <v>46851</v>
          </cell>
        </row>
        <row r="1196">
          <cell r="V1196" t="str">
            <v>09.04.2028</v>
          </cell>
          <cell r="W1196">
            <v>46852</v>
          </cell>
        </row>
        <row r="1197">
          <cell r="V1197" t="str">
            <v>10.04.2028</v>
          </cell>
          <cell r="W1197">
            <v>46853</v>
          </cell>
        </row>
        <row r="1198">
          <cell r="V1198" t="str">
            <v>11.04.2028</v>
          </cell>
          <cell r="W1198">
            <v>46854</v>
          </cell>
        </row>
        <row r="1199">
          <cell r="V1199" t="str">
            <v>12.04.2028</v>
          </cell>
          <cell r="W1199">
            <v>46855</v>
          </cell>
        </row>
        <row r="1200">
          <cell r="V1200" t="str">
            <v>13.04.2028</v>
          </cell>
          <cell r="W1200">
            <v>46856</v>
          </cell>
        </row>
        <row r="1201">
          <cell r="V1201" t="str">
            <v>14.04.2028</v>
          </cell>
          <cell r="W1201">
            <v>46857</v>
          </cell>
        </row>
        <row r="1202">
          <cell r="V1202" t="str">
            <v>15.04.2028</v>
          </cell>
          <cell r="W1202">
            <v>46858</v>
          </cell>
        </row>
        <row r="1203">
          <cell r="V1203" t="str">
            <v>16.04.2028</v>
          </cell>
          <cell r="W1203">
            <v>46859</v>
          </cell>
        </row>
        <row r="1204">
          <cell r="V1204" t="str">
            <v>17.04.2028</v>
          </cell>
          <cell r="W1204">
            <v>46860</v>
          </cell>
        </row>
        <row r="1205">
          <cell r="V1205" t="str">
            <v>18.04.2028</v>
          </cell>
          <cell r="W1205">
            <v>46861</v>
          </cell>
        </row>
        <row r="1206">
          <cell r="V1206" t="str">
            <v>19.04.2028</v>
          </cell>
          <cell r="W1206">
            <v>46862</v>
          </cell>
        </row>
        <row r="1207">
          <cell r="V1207" t="str">
            <v>20.04.2028</v>
          </cell>
          <cell r="W1207">
            <v>46863</v>
          </cell>
        </row>
        <row r="1208">
          <cell r="V1208" t="str">
            <v>21.04.2028</v>
          </cell>
          <cell r="W1208">
            <v>46864</v>
          </cell>
        </row>
        <row r="1209">
          <cell r="V1209" t="str">
            <v>22.04.2028</v>
          </cell>
          <cell r="W1209">
            <v>46865</v>
          </cell>
        </row>
        <row r="1210">
          <cell r="V1210" t="str">
            <v>23.04.2028</v>
          </cell>
          <cell r="W1210">
            <v>46866</v>
          </cell>
        </row>
        <row r="1211">
          <cell r="V1211" t="str">
            <v>24.04.2028</v>
          </cell>
          <cell r="W1211">
            <v>46867</v>
          </cell>
        </row>
        <row r="1212">
          <cell r="V1212" t="str">
            <v>25.04.2028</v>
          </cell>
          <cell r="W1212">
            <v>46868</v>
          </cell>
        </row>
        <row r="1213">
          <cell r="V1213" t="str">
            <v>26.04.2028</v>
          </cell>
          <cell r="W1213">
            <v>46869</v>
          </cell>
        </row>
        <row r="1214">
          <cell r="V1214" t="str">
            <v>27.04.2028</v>
          </cell>
          <cell r="W1214">
            <v>46870</v>
          </cell>
        </row>
        <row r="1215">
          <cell r="V1215" t="str">
            <v>28.04.2028</v>
          </cell>
          <cell r="W1215">
            <v>46871</v>
          </cell>
        </row>
        <row r="1216">
          <cell r="V1216" t="str">
            <v>29.04.2028</v>
          </cell>
          <cell r="W1216">
            <v>46872</v>
          </cell>
        </row>
        <row r="1217">
          <cell r="V1217" t="str">
            <v>30.04.2028</v>
          </cell>
          <cell r="W1217">
            <v>46873</v>
          </cell>
        </row>
        <row r="1218">
          <cell r="V1218" t="str">
            <v>01.05.2028</v>
          </cell>
          <cell r="W1218">
            <v>46874</v>
          </cell>
        </row>
        <row r="1219">
          <cell r="V1219" t="str">
            <v>02.05.2028</v>
          </cell>
          <cell r="W1219">
            <v>46875</v>
          </cell>
        </row>
        <row r="1220">
          <cell r="V1220" t="str">
            <v>03.05.2028</v>
          </cell>
          <cell r="W1220">
            <v>46876</v>
          </cell>
        </row>
        <row r="1221">
          <cell r="V1221" t="str">
            <v>04.05.2028</v>
          </cell>
          <cell r="W1221">
            <v>46877</v>
          </cell>
        </row>
        <row r="1222">
          <cell r="V1222" t="str">
            <v>05.05.2028</v>
          </cell>
          <cell r="W1222">
            <v>46878</v>
          </cell>
        </row>
        <row r="1223">
          <cell r="V1223" t="str">
            <v>06.05.2028</v>
          </cell>
          <cell r="W1223">
            <v>46879</v>
          </cell>
        </row>
        <row r="1224">
          <cell r="V1224" t="str">
            <v>07.05.2028</v>
          </cell>
          <cell r="W1224">
            <v>46880</v>
          </cell>
        </row>
        <row r="1225">
          <cell r="V1225" t="str">
            <v>08.05.2028</v>
          </cell>
          <cell r="W1225">
            <v>46881</v>
          </cell>
        </row>
        <row r="1226">
          <cell r="V1226" t="str">
            <v>09.05.2028</v>
          </cell>
          <cell r="W1226">
            <v>46882</v>
          </cell>
        </row>
        <row r="1227">
          <cell r="V1227" t="str">
            <v>10.05.2028</v>
          </cell>
          <cell r="W1227">
            <v>46883</v>
          </cell>
        </row>
        <row r="1228">
          <cell r="V1228" t="str">
            <v>11.05.2028</v>
          </cell>
          <cell r="W1228">
            <v>46884</v>
          </cell>
        </row>
        <row r="1229">
          <cell r="V1229" t="str">
            <v>12.05.2028</v>
          </cell>
          <cell r="W1229">
            <v>46885</v>
          </cell>
        </row>
        <row r="1230">
          <cell r="V1230" t="str">
            <v>13.05.2028</v>
          </cell>
          <cell r="W1230">
            <v>46886</v>
          </cell>
        </row>
        <row r="1231">
          <cell r="V1231" t="str">
            <v>14.05.2028</v>
          </cell>
          <cell r="W1231">
            <v>46887</v>
          </cell>
        </row>
        <row r="1232">
          <cell r="V1232" t="str">
            <v>15.05.2028</v>
          </cell>
          <cell r="W1232">
            <v>46888</v>
          </cell>
        </row>
        <row r="1233">
          <cell r="V1233" t="str">
            <v>16.05.2028</v>
          </cell>
          <cell r="W1233">
            <v>46889</v>
          </cell>
        </row>
        <row r="1234">
          <cell r="V1234" t="str">
            <v>17.05.2028</v>
          </cell>
          <cell r="W1234">
            <v>46890</v>
          </cell>
        </row>
        <row r="1235">
          <cell r="V1235" t="str">
            <v>18.05.2028</v>
          </cell>
          <cell r="W1235">
            <v>46891</v>
          </cell>
        </row>
        <row r="1236">
          <cell r="V1236" t="str">
            <v>19.05.2028</v>
          </cell>
          <cell r="W1236">
            <v>46892</v>
          </cell>
        </row>
        <row r="1237">
          <cell r="V1237" t="str">
            <v>20.05.2028</v>
          </cell>
          <cell r="W1237">
            <v>46893</v>
          </cell>
        </row>
        <row r="1238">
          <cell r="V1238" t="str">
            <v>21.05.2028</v>
          </cell>
          <cell r="W1238">
            <v>46894</v>
          </cell>
        </row>
        <row r="1239">
          <cell r="V1239" t="str">
            <v>22.05.2028</v>
          </cell>
          <cell r="W1239">
            <v>46895</v>
          </cell>
        </row>
        <row r="1240">
          <cell r="V1240" t="str">
            <v>23.05.2028</v>
          </cell>
          <cell r="W1240">
            <v>46896</v>
          </cell>
        </row>
        <row r="1241">
          <cell r="V1241" t="str">
            <v>24.05.2028</v>
          </cell>
          <cell r="W1241">
            <v>46897</v>
          </cell>
        </row>
        <row r="1242">
          <cell r="V1242" t="str">
            <v>25.05.2028</v>
          </cell>
          <cell r="W1242">
            <v>46898</v>
          </cell>
        </row>
        <row r="1243">
          <cell r="V1243" t="str">
            <v>26.05.2028</v>
          </cell>
          <cell r="W1243">
            <v>46899</v>
          </cell>
        </row>
        <row r="1244">
          <cell r="V1244" t="str">
            <v>27.05.2028</v>
          </cell>
          <cell r="W1244">
            <v>46900</v>
          </cell>
        </row>
        <row r="1245">
          <cell r="V1245" t="str">
            <v>28.05.2028</v>
          </cell>
          <cell r="W1245">
            <v>46901</v>
          </cell>
        </row>
        <row r="1246">
          <cell r="V1246" t="str">
            <v>29.05.2028</v>
          </cell>
          <cell r="W1246">
            <v>46902</v>
          </cell>
        </row>
        <row r="1247">
          <cell r="V1247" t="str">
            <v>30.05.2028</v>
          </cell>
          <cell r="W1247">
            <v>46903</v>
          </cell>
        </row>
        <row r="1248">
          <cell r="V1248" t="str">
            <v>31.05.2028</v>
          </cell>
          <cell r="W1248">
            <v>46904</v>
          </cell>
        </row>
        <row r="1249">
          <cell r="V1249" t="str">
            <v>01.06.2028</v>
          </cell>
          <cell r="W1249">
            <v>46905</v>
          </cell>
        </row>
        <row r="1250">
          <cell r="V1250" t="str">
            <v>02.06.2028</v>
          </cell>
          <cell r="W1250">
            <v>46906</v>
          </cell>
        </row>
        <row r="1251">
          <cell r="V1251" t="str">
            <v>03.06.2028</v>
          </cell>
          <cell r="W1251">
            <v>46907</v>
          </cell>
        </row>
        <row r="1252">
          <cell r="V1252" t="str">
            <v>04.06.2028</v>
          </cell>
          <cell r="W1252">
            <v>46908</v>
          </cell>
        </row>
        <row r="1253">
          <cell r="V1253" t="str">
            <v>05.06.2028</v>
          </cell>
          <cell r="W1253">
            <v>46909</v>
          </cell>
        </row>
        <row r="1254">
          <cell r="V1254" t="str">
            <v>06.06.2028</v>
          </cell>
          <cell r="W1254">
            <v>46910</v>
          </cell>
        </row>
        <row r="1255">
          <cell r="V1255" t="str">
            <v>07.06.2028</v>
          </cell>
          <cell r="W1255">
            <v>46911</v>
          </cell>
        </row>
        <row r="1256">
          <cell r="V1256" t="str">
            <v>08.06.2028</v>
          </cell>
          <cell r="W1256">
            <v>46912</v>
          </cell>
        </row>
        <row r="1257">
          <cell r="V1257" t="str">
            <v>09.06.2028</v>
          </cell>
          <cell r="W1257">
            <v>46913</v>
          </cell>
        </row>
        <row r="1258">
          <cell r="V1258" t="str">
            <v>10.06.2028</v>
          </cell>
          <cell r="W1258">
            <v>46914</v>
          </cell>
        </row>
        <row r="1259">
          <cell r="V1259" t="str">
            <v>11.06.2028</v>
          </cell>
          <cell r="W1259">
            <v>46915</v>
          </cell>
        </row>
        <row r="1260">
          <cell r="V1260" t="str">
            <v>12.06.2028</v>
          </cell>
          <cell r="W1260">
            <v>46916</v>
          </cell>
        </row>
        <row r="1261">
          <cell r="V1261" t="str">
            <v>13.06.2028</v>
          </cell>
          <cell r="W1261">
            <v>46917</v>
          </cell>
        </row>
        <row r="1262">
          <cell r="V1262" t="str">
            <v>14.06.2028</v>
          </cell>
          <cell r="W1262">
            <v>46918</v>
          </cell>
        </row>
        <row r="1263">
          <cell r="V1263" t="str">
            <v>15.06.2028</v>
          </cell>
          <cell r="W1263">
            <v>46919</v>
          </cell>
        </row>
        <row r="1264">
          <cell r="V1264" t="str">
            <v>16.06.2028</v>
          </cell>
          <cell r="W1264">
            <v>46920</v>
          </cell>
        </row>
        <row r="1265">
          <cell r="V1265" t="str">
            <v>17.06.2028</v>
          </cell>
          <cell r="W1265">
            <v>46921</v>
          </cell>
        </row>
        <row r="1266">
          <cell r="V1266" t="str">
            <v>18.06.2028</v>
          </cell>
          <cell r="W1266">
            <v>46922</v>
          </cell>
        </row>
        <row r="1267">
          <cell r="V1267" t="str">
            <v>19.06.2028</v>
          </cell>
          <cell r="W1267">
            <v>46923</v>
          </cell>
        </row>
        <row r="1268">
          <cell r="V1268" t="str">
            <v>20.06.2028</v>
          </cell>
          <cell r="W1268">
            <v>46924</v>
          </cell>
        </row>
        <row r="1269">
          <cell r="V1269" t="str">
            <v>21.06.2028</v>
          </cell>
          <cell r="W1269">
            <v>46925</v>
          </cell>
        </row>
        <row r="1270">
          <cell r="V1270" t="str">
            <v>22.06.2028</v>
          </cell>
          <cell r="W1270">
            <v>46926</v>
          </cell>
        </row>
        <row r="1271">
          <cell r="V1271" t="str">
            <v>23.06.2028</v>
          </cell>
          <cell r="W1271">
            <v>46927</v>
          </cell>
        </row>
        <row r="1272">
          <cell r="V1272" t="str">
            <v>24.06.2028</v>
          </cell>
          <cell r="W1272">
            <v>46928</v>
          </cell>
        </row>
        <row r="1273">
          <cell r="V1273" t="str">
            <v>25.06.2028</v>
          </cell>
          <cell r="W1273">
            <v>46929</v>
          </cell>
        </row>
        <row r="1274">
          <cell r="V1274" t="str">
            <v>26.06.2028</v>
          </cell>
          <cell r="W1274">
            <v>46930</v>
          </cell>
        </row>
        <row r="1275">
          <cell r="V1275" t="str">
            <v>27.06.2028</v>
          </cell>
          <cell r="W1275">
            <v>46931</v>
          </cell>
        </row>
        <row r="1276">
          <cell r="V1276" t="str">
            <v>28.06.2028</v>
          </cell>
          <cell r="W1276">
            <v>46932</v>
          </cell>
        </row>
        <row r="1277">
          <cell r="V1277" t="str">
            <v>29.06.2028</v>
          </cell>
          <cell r="W1277">
            <v>46933</v>
          </cell>
        </row>
        <row r="1278">
          <cell r="V1278" t="str">
            <v>30.06.2028</v>
          </cell>
          <cell r="W1278">
            <v>46934</v>
          </cell>
        </row>
        <row r="1279">
          <cell r="V1279" t="str">
            <v>01.07.2028</v>
          </cell>
          <cell r="W1279">
            <v>46935</v>
          </cell>
        </row>
        <row r="1280">
          <cell r="V1280" t="str">
            <v>02.07.2028</v>
          </cell>
          <cell r="W1280">
            <v>46936</v>
          </cell>
        </row>
        <row r="1281">
          <cell r="V1281" t="str">
            <v>03.07.2028</v>
          </cell>
          <cell r="W1281">
            <v>46937</v>
          </cell>
        </row>
        <row r="1282">
          <cell r="V1282" t="str">
            <v>04.07.2028</v>
          </cell>
          <cell r="W1282">
            <v>46938</v>
          </cell>
        </row>
        <row r="1283">
          <cell r="V1283" t="str">
            <v>05.07.2028</v>
          </cell>
          <cell r="W1283">
            <v>46939</v>
          </cell>
        </row>
        <row r="1284">
          <cell r="V1284" t="str">
            <v>06.07.2028</v>
          </cell>
          <cell r="W1284">
            <v>46940</v>
          </cell>
        </row>
        <row r="1285">
          <cell r="V1285" t="str">
            <v>07.07.2028</v>
          </cell>
          <cell r="W1285">
            <v>46941</v>
          </cell>
        </row>
        <row r="1286">
          <cell r="V1286" t="str">
            <v>08.07.2028</v>
          </cell>
          <cell r="W1286">
            <v>46942</v>
          </cell>
        </row>
        <row r="1287">
          <cell r="V1287" t="str">
            <v>09.07.2028</v>
          </cell>
          <cell r="W1287">
            <v>46943</v>
          </cell>
        </row>
        <row r="1288">
          <cell r="V1288" t="str">
            <v>10.07.2028</v>
          </cell>
          <cell r="W1288">
            <v>46944</v>
          </cell>
        </row>
        <row r="1289">
          <cell r="V1289" t="str">
            <v>11.07.2028</v>
          </cell>
          <cell r="W1289">
            <v>46945</v>
          </cell>
        </row>
        <row r="1290">
          <cell r="V1290" t="str">
            <v>12.07.2028</v>
          </cell>
          <cell r="W1290">
            <v>46946</v>
          </cell>
        </row>
        <row r="1291">
          <cell r="V1291" t="str">
            <v>13.07.2028</v>
          </cell>
          <cell r="W1291">
            <v>46947</v>
          </cell>
        </row>
        <row r="1292">
          <cell r="V1292" t="str">
            <v>14.07.2028</v>
          </cell>
          <cell r="W1292">
            <v>46948</v>
          </cell>
        </row>
        <row r="1293">
          <cell r="V1293" t="str">
            <v>15.07.2028</v>
          </cell>
          <cell r="W1293">
            <v>46949</v>
          </cell>
        </row>
        <row r="1294">
          <cell r="V1294" t="str">
            <v>16.07.2028</v>
          </cell>
          <cell r="W1294">
            <v>46950</v>
          </cell>
        </row>
        <row r="1295">
          <cell r="V1295" t="str">
            <v>17.07.2028</v>
          </cell>
          <cell r="W1295">
            <v>46951</v>
          </cell>
        </row>
        <row r="1296">
          <cell r="V1296" t="str">
            <v>18.07.2028</v>
          </cell>
          <cell r="W1296">
            <v>46952</v>
          </cell>
        </row>
        <row r="1297">
          <cell r="V1297" t="str">
            <v>19.07.2028</v>
          </cell>
          <cell r="W1297">
            <v>46953</v>
          </cell>
        </row>
        <row r="1298">
          <cell r="V1298" t="str">
            <v>20.07.2028</v>
          </cell>
          <cell r="W1298">
            <v>46954</v>
          </cell>
        </row>
        <row r="1299">
          <cell r="V1299" t="str">
            <v>21.07.2028</v>
          </cell>
          <cell r="W1299">
            <v>46955</v>
          </cell>
        </row>
        <row r="1300">
          <cell r="V1300" t="str">
            <v>22.07.2028</v>
          </cell>
          <cell r="W1300">
            <v>46956</v>
          </cell>
        </row>
        <row r="1301">
          <cell r="V1301" t="str">
            <v>23.07.2028</v>
          </cell>
          <cell r="W1301">
            <v>46957</v>
          </cell>
        </row>
        <row r="1302">
          <cell r="V1302" t="str">
            <v>24.07.2028</v>
          </cell>
          <cell r="W1302">
            <v>46958</v>
          </cell>
        </row>
        <row r="1303">
          <cell r="V1303" t="str">
            <v>25.07.2028</v>
          </cell>
          <cell r="W1303">
            <v>46959</v>
          </cell>
        </row>
        <row r="1304">
          <cell r="V1304" t="str">
            <v>26.07.2028</v>
          </cell>
          <cell r="W1304">
            <v>46960</v>
          </cell>
        </row>
        <row r="1305">
          <cell r="V1305" t="str">
            <v>27.07.2028</v>
          </cell>
          <cell r="W1305">
            <v>46961</v>
          </cell>
        </row>
        <row r="1306">
          <cell r="V1306" t="str">
            <v>28.07.2028</v>
          </cell>
          <cell r="W1306">
            <v>46962</v>
          </cell>
        </row>
        <row r="1307">
          <cell r="V1307" t="str">
            <v>29.07.2028</v>
          </cell>
          <cell r="W1307">
            <v>46963</v>
          </cell>
        </row>
        <row r="1308">
          <cell r="V1308" t="str">
            <v>30.07.2028</v>
          </cell>
          <cell r="W1308">
            <v>46964</v>
          </cell>
        </row>
        <row r="1309">
          <cell r="V1309" t="str">
            <v>31.07.2028</v>
          </cell>
          <cell r="W1309">
            <v>46965</v>
          </cell>
        </row>
        <row r="1310">
          <cell r="V1310" t="str">
            <v>01.08.2028</v>
          </cell>
          <cell r="W1310">
            <v>46966</v>
          </cell>
        </row>
        <row r="1311">
          <cell r="V1311" t="str">
            <v>02.08.2028</v>
          </cell>
          <cell r="W1311">
            <v>46967</v>
          </cell>
        </row>
        <row r="1312">
          <cell r="V1312" t="str">
            <v>03.08.2028</v>
          </cell>
          <cell r="W1312">
            <v>46968</v>
          </cell>
        </row>
        <row r="1313">
          <cell r="V1313" t="str">
            <v>04.08.2028</v>
          </cell>
          <cell r="W1313">
            <v>46969</v>
          </cell>
        </row>
        <row r="1314">
          <cell r="V1314" t="str">
            <v>05.08.2028</v>
          </cell>
          <cell r="W1314">
            <v>46970</v>
          </cell>
        </row>
        <row r="1315">
          <cell r="V1315" t="str">
            <v>06.08.2028</v>
          </cell>
          <cell r="W1315">
            <v>46971</v>
          </cell>
        </row>
        <row r="1316">
          <cell r="V1316" t="str">
            <v>07.08.2028</v>
          </cell>
          <cell r="W1316">
            <v>46972</v>
          </cell>
        </row>
        <row r="1317">
          <cell r="V1317" t="str">
            <v>08.08.2028</v>
          </cell>
          <cell r="W1317">
            <v>46973</v>
          </cell>
        </row>
        <row r="1318">
          <cell r="V1318" t="str">
            <v>09.08.2028</v>
          </cell>
          <cell r="W1318">
            <v>46974</v>
          </cell>
        </row>
        <row r="1319">
          <cell r="V1319" t="str">
            <v>10.08.2028</v>
          </cell>
          <cell r="W1319">
            <v>46975</v>
          </cell>
        </row>
        <row r="1320">
          <cell r="V1320" t="str">
            <v>11.08.2028</v>
          </cell>
          <cell r="W1320">
            <v>46976</v>
          </cell>
        </row>
        <row r="1321">
          <cell r="V1321" t="str">
            <v>12.08.2028</v>
          </cell>
          <cell r="W1321">
            <v>46977</v>
          </cell>
        </row>
        <row r="1322">
          <cell r="V1322" t="str">
            <v>13.08.2028</v>
          </cell>
          <cell r="W1322">
            <v>46978</v>
          </cell>
        </row>
        <row r="1323">
          <cell r="V1323" t="str">
            <v>14.08.2028</v>
          </cell>
          <cell r="W1323">
            <v>46979</v>
          </cell>
        </row>
        <row r="1324">
          <cell r="V1324" t="str">
            <v>15.08.2028</v>
          </cell>
          <cell r="W1324">
            <v>46980</v>
          </cell>
        </row>
        <row r="1325">
          <cell r="V1325" t="str">
            <v>16.08.2028</v>
          </cell>
          <cell r="W1325">
            <v>46981</v>
          </cell>
        </row>
        <row r="1326">
          <cell r="V1326" t="str">
            <v>17.08.2028</v>
          </cell>
          <cell r="W1326">
            <v>46982</v>
          </cell>
        </row>
        <row r="1327">
          <cell r="V1327" t="str">
            <v>18.08.2028</v>
          </cell>
          <cell r="W1327">
            <v>46983</v>
          </cell>
        </row>
        <row r="1328">
          <cell r="V1328" t="str">
            <v>19.08.2028</v>
          </cell>
          <cell r="W1328">
            <v>46984</v>
          </cell>
        </row>
        <row r="1329">
          <cell r="V1329" t="str">
            <v>20.08.2028</v>
          </cell>
          <cell r="W1329">
            <v>46985</v>
          </cell>
        </row>
        <row r="1330">
          <cell r="V1330" t="str">
            <v>21.08.2028</v>
          </cell>
          <cell r="W1330">
            <v>46986</v>
          </cell>
        </row>
        <row r="1331">
          <cell r="V1331" t="str">
            <v>22.08.2028</v>
          </cell>
          <cell r="W1331">
            <v>46987</v>
          </cell>
        </row>
        <row r="1332">
          <cell r="V1332" t="str">
            <v>23.08.2028</v>
          </cell>
          <cell r="W1332">
            <v>46988</v>
          </cell>
        </row>
        <row r="1333">
          <cell r="V1333" t="str">
            <v>24.08.2028</v>
          </cell>
          <cell r="W1333">
            <v>46989</v>
          </cell>
        </row>
        <row r="1334">
          <cell r="V1334" t="str">
            <v>25.08.2028</v>
          </cell>
          <cell r="W1334">
            <v>46990</v>
          </cell>
        </row>
        <row r="1335">
          <cell r="V1335" t="str">
            <v>26.08.2028</v>
          </cell>
          <cell r="W1335">
            <v>46991</v>
          </cell>
        </row>
        <row r="1336">
          <cell r="V1336" t="str">
            <v>27.08.2028</v>
          </cell>
          <cell r="W1336">
            <v>46992</v>
          </cell>
        </row>
        <row r="1337">
          <cell r="V1337" t="str">
            <v>28.08.2028</v>
          </cell>
          <cell r="W1337">
            <v>46993</v>
          </cell>
        </row>
        <row r="1338">
          <cell r="V1338" t="str">
            <v>29.08.2028</v>
          </cell>
          <cell r="W1338">
            <v>46994</v>
          </cell>
        </row>
        <row r="1339">
          <cell r="V1339" t="str">
            <v>30.08.2028</v>
          </cell>
          <cell r="W1339">
            <v>46995</v>
          </cell>
        </row>
        <row r="1340">
          <cell r="V1340" t="str">
            <v>31.08.2028</v>
          </cell>
          <cell r="W1340">
            <v>46996</v>
          </cell>
        </row>
        <row r="1341">
          <cell r="V1341" t="str">
            <v>01.09.2028</v>
          </cell>
          <cell r="W1341">
            <v>46997</v>
          </cell>
        </row>
        <row r="1342">
          <cell r="V1342" t="str">
            <v>02.09.2028</v>
          </cell>
          <cell r="W1342">
            <v>46998</v>
          </cell>
        </row>
        <row r="1343">
          <cell r="V1343" t="str">
            <v>03.09.2028</v>
          </cell>
          <cell r="W1343">
            <v>46999</v>
          </cell>
        </row>
        <row r="1344">
          <cell r="V1344" t="str">
            <v>04.09.2028</v>
          </cell>
          <cell r="W1344">
            <v>47000</v>
          </cell>
        </row>
        <row r="1345">
          <cell r="V1345" t="str">
            <v>05.09.2028</v>
          </cell>
          <cell r="W1345">
            <v>47001</v>
          </cell>
        </row>
        <row r="1346">
          <cell r="V1346" t="str">
            <v>06.09.2028</v>
          </cell>
          <cell r="W1346">
            <v>47002</v>
          </cell>
        </row>
        <row r="1347">
          <cell r="V1347" t="str">
            <v>07.09.2028</v>
          </cell>
          <cell r="W1347">
            <v>47003</v>
          </cell>
        </row>
        <row r="1348">
          <cell r="V1348" t="str">
            <v>08.09.2028</v>
          </cell>
          <cell r="W1348">
            <v>47004</v>
          </cell>
        </row>
        <row r="1349">
          <cell r="V1349" t="str">
            <v>09.09.2028</v>
          </cell>
          <cell r="W1349">
            <v>47005</v>
          </cell>
        </row>
        <row r="1350">
          <cell r="V1350" t="str">
            <v>10.09.2028</v>
          </cell>
          <cell r="W1350">
            <v>47006</v>
          </cell>
        </row>
        <row r="1351">
          <cell r="V1351" t="str">
            <v>11.09.2028</v>
          </cell>
          <cell r="W1351">
            <v>47007</v>
          </cell>
        </row>
        <row r="1352">
          <cell r="V1352" t="str">
            <v>12.09.2028</v>
          </cell>
          <cell r="W1352">
            <v>47008</v>
          </cell>
        </row>
        <row r="1353">
          <cell r="V1353" t="str">
            <v>13.09.2028</v>
          </cell>
          <cell r="W1353">
            <v>47009</v>
          </cell>
        </row>
        <row r="1354">
          <cell r="V1354" t="str">
            <v>14.09.2028</v>
          </cell>
          <cell r="W1354">
            <v>47010</v>
          </cell>
        </row>
        <row r="1355">
          <cell r="V1355" t="str">
            <v>15.09.2028</v>
          </cell>
          <cell r="W1355">
            <v>47011</v>
          </cell>
        </row>
        <row r="1356">
          <cell r="V1356" t="str">
            <v>16.09.2028</v>
          </cell>
          <cell r="W1356">
            <v>47012</v>
          </cell>
        </row>
        <row r="1357">
          <cell r="V1357" t="str">
            <v>17.09.2028</v>
          </cell>
          <cell r="W1357">
            <v>47013</v>
          </cell>
        </row>
        <row r="1358">
          <cell r="V1358" t="str">
            <v>18.09.2028</v>
          </cell>
          <cell r="W1358">
            <v>47014</v>
          </cell>
        </row>
        <row r="1359">
          <cell r="V1359" t="str">
            <v>19.09.2028</v>
          </cell>
          <cell r="W1359">
            <v>47015</v>
          </cell>
        </row>
        <row r="1360">
          <cell r="V1360" t="str">
            <v>20.09.2028</v>
          </cell>
          <cell r="W1360">
            <v>47016</v>
          </cell>
        </row>
        <row r="1361">
          <cell r="V1361" t="str">
            <v>21.09.2028</v>
          </cell>
          <cell r="W1361">
            <v>47017</v>
          </cell>
        </row>
        <row r="1362">
          <cell r="V1362" t="str">
            <v>22.09.2028</v>
          </cell>
          <cell r="W1362">
            <v>47018</v>
          </cell>
        </row>
        <row r="1363">
          <cell r="V1363" t="str">
            <v>23.09.2028</v>
          </cell>
          <cell r="W1363">
            <v>47019</v>
          </cell>
        </row>
        <row r="1364">
          <cell r="V1364" t="str">
            <v>24.09.2028</v>
          </cell>
          <cell r="W1364">
            <v>47020</v>
          </cell>
        </row>
        <row r="1365">
          <cell r="V1365" t="str">
            <v>25.09.2028</v>
          </cell>
          <cell r="W1365">
            <v>47021</v>
          </cell>
        </row>
        <row r="1366">
          <cell r="V1366" t="str">
            <v>26.09.2028</v>
          </cell>
          <cell r="W1366">
            <v>47022</v>
          </cell>
        </row>
        <row r="1367">
          <cell r="V1367" t="str">
            <v>27.09.2028</v>
          </cell>
          <cell r="W1367">
            <v>47023</v>
          </cell>
        </row>
        <row r="1368">
          <cell r="V1368" t="str">
            <v>28.09.2028</v>
          </cell>
          <cell r="W1368">
            <v>47024</v>
          </cell>
        </row>
        <row r="1369">
          <cell r="V1369" t="str">
            <v>29.09.2028</v>
          </cell>
          <cell r="W1369">
            <v>47025</v>
          </cell>
        </row>
        <row r="1370">
          <cell r="V1370" t="str">
            <v>30.09.2028</v>
          </cell>
          <cell r="W1370">
            <v>47026</v>
          </cell>
        </row>
        <row r="1371">
          <cell r="V1371" t="str">
            <v>01.10.2028</v>
          </cell>
          <cell r="W1371">
            <v>47027</v>
          </cell>
        </row>
        <row r="1372">
          <cell r="V1372" t="str">
            <v>02.10.2028</v>
          </cell>
          <cell r="W1372">
            <v>47028</v>
          </cell>
        </row>
        <row r="1373">
          <cell r="V1373" t="str">
            <v>03.10.2028</v>
          </cell>
          <cell r="W1373">
            <v>47029</v>
          </cell>
        </row>
        <row r="1374">
          <cell r="V1374" t="str">
            <v>04.10.2028</v>
          </cell>
          <cell r="W1374">
            <v>47030</v>
          </cell>
        </row>
        <row r="1375">
          <cell r="V1375" t="str">
            <v>05.10.2028</v>
          </cell>
          <cell r="W1375">
            <v>47031</v>
          </cell>
        </row>
        <row r="1376">
          <cell r="V1376" t="str">
            <v>06.10.2028</v>
          </cell>
          <cell r="W1376">
            <v>47032</v>
          </cell>
        </row>
        <row r="1377">
          <cell r="V1377" t="str">
            <v>07.10.2028</v>
          </cell>
          <cell r="W1377">
            <v>47033</v>
          </cell>
        </row>
        <row r="1378">
          <cell r="V1378" t="str">
            <v>08.10.2028</v>
          </cell>
          <cell r="W1378">
            <v>47034</v>
          </cell>
        </row>
        <row r="1379">
          <cell r="V1379" t="str">
            <v>09.10.2028</v>
          </cell>
          <cell r="W1379">
            <v>47035</v>
          </cell>
        </row>
        <row r="1380">
          <cell r="V1380" t="str">
            <v>10.10.2028</v>
          </cell>
          <cell r="W1380">
            <v>47036</v>
          </cell>
        </row>
        <row r="1381">
          <cell r="V1381" t="str">
            <v>11.10.2028</v>
          </cell>
          <cell r="W1381">
            <v>47037</v>
          </cell>
        </row>
        <row r="1382">
          <cell r="V1382" t="str">
            <v>12.10.2028</v>
          </cell>
          <cell r="W1382">
            <v>47038</v>
          </cell>
        </row>
        <row r="1383">
          <cell r="V1383" t="str">
            <v>13.10.2028</v>
          </cell>
          <cell r="W1383">
            <v>47039</v>
          </cell>
        </row>
        <row r="1384">
          <cell r="V1384" t="str">
            <v>14.10.2028</v>
          </cell>
          <cell r="W1384">
            <v>47040</v>
          </cell>
        </row>
        <row r="1385">
          <cell r="V1385" t="str">
            <v>15.10.2028</v>
          </cell>
          <cell r="W1385">
            <v>47041</v>
          </cell>
        </row>
        <row r="1386">
          <cell r="V1386" t="str">
            <v>16.10.2028</v>
          </cell>
          <cell r="W1386">
            <v>47042</v>
          </cell>
        </row>
        <row r="1387">
          <cell r="V1387" t="str">
            <v>17.10.2028</v>
          </cell>
          <cell r="W1387">
            <v>47043</v>
          </cell>
        </row>
        <row r="1388">
          <cell r="V1388" t="str">
            <v>18.10.2028</v>
          </cell>
          <cell r="W1388">
            <v>47044</v>
          </cell>
        </row>
        <row r="1389">
          <cell r="V1389" t="str">
            <v>19.10.2028</v>
          </cell>
          <cell r="W1389">
            <v>47045</v>
          </cell>
        </row>
        <row r="1390">
          <cell r="V1390" t="str">
            <v>20.10.2028</v>
          </cell>
          <cell r="W1390">
            <v>47046</v>
          </cell>
        </row>
        <row r="1391">
          <cell r="V1391" t="str">
            <v>21.10.2028</v>
          </cell>
          <cell r="W1391">
            <v>47047</v>
          </cell>
        </row>
        <row r="1392">
          <cell r="V1392" t="str">
            <v>22.10.2028</v>
          </cell>
          <cell r="W1392">
            <v>47048</v>
          </cell>
        </row>
        <row r="1393">
          <cell r="V1393" t="str">
            <v>23.10.2028</v>
          </cell>
          <cell r="W1393">
            <v>47049</v>
          </cell>
        </row>
        <row r="1394">
          <cell r="V1394" t="str">
            <v>24.10.2028</v>
          </cell>
          <cell r="W1394">
            <v>47050</v>
          </cell>
        </row>
        <row r="1395">
          <cell r="V1395" t="str">
            <v>25.10.2028</v>
          </cell>
          <cell r="W1395">
            <v>47051</v>
          </cell>
        </row>
        <row r="1396">
          <cell r="V1396" t="str">
            <v>26.10.2028</v>
          </cell>
          <cell r="W1396">
            <v>47052</v>
          </cell>
        </row>
        <row r="1397">
          <cell r="V1397" t="str">
            <v>27.10.2028</v>
          </cell>
          <cell r="W1397">
            <v>47053</v>
          </cell>
        </row>
        <row r="1398">
          <cell r="V1398" t="str">
            <v>28.10.2028</v>
          </cell>
          <cell r="W1398">
            <v>47054</v>
          </cell>
        </row>
        <row r="1399">
          <cell r="V1399" t="str">
            <v>29.10.2028</v>
          </cell>
          <cell r="W1399">
            <v>47055</v>
          </cell>
        </row>
        <row r="1400">
          <cell r="V1400" t="str">
            <v>30.10.2028</v>
          </cell>
          <cell r="W1400">
            <v>47056</v>
          </cell>
        </row>
        <row r="1401">
          <cell r="V1401" t="str">
            <v>31.10.2028</v>
          </cell>
          <cell r="W1401">
            <v>47057</v>
          </cell>
        </row>
        <row r="1402">
          <cell r="V1402" t="str">
            <v>01.11.2028</v>
          </cell>
          <cell r="W1402">
            <v>47058</v>
          </cell>
        </row>
        <row r="1403">
          <cell r="V1403" t="str">
            <v>02.11.2028</v>
          </cell>
          <cell r="W1403">
            <v>47059</v>
          </cell>
        </row>
        <row r="1404">
          <cell r="V1404" t="str">
            <v>03.11.2028</v>
          </cell>
          <cell r="W1404">
            <v>47060</v>
          </cell>
        </row>
        <row r="1405">
          <cell r="V1405" t="str">
            <v>04.11.2028</v>
          </cell>
          <cell r="W1405">
            <v>47061</v>
          </cell>
        </row>
        <row r="1406">
          <cell r="V1406" t="str">
            <v>05.11.2028</v>
          </cell>
          <cell r="W1406">
            <v>47062</v>
          </cell>
        </row>
        <row r="1407">
          <cell r="V1407" t="str">
            <v>06.11.2028</v>
          </cell>
          <cell r="W1407">
            <v>47063</v>
          </cell>
        </row>
        <row r="1408">
          <cell r="V1408" t="str">
            <v>07.11.2028</v>
          </cell>
          <cell r="W1408">
            <v>47064</v>
          </cell>
        </row>
        <row r="1409">
          <cell r="V1409" t="str">
            <v>08.11.2028</v>
          </cell>
          <cell r="W1409">
            <v>47065</v>
          </cell>
        </row>
        <row r="1410">
          <cell r="V1410" t="str">
            <v>09.11.2028</v>
          </cell>
          <cell r="W1410">
            <v>47066</v>
          </cell>
        </row>
        <row r="1411">
          <cell r="V1411" t="str">
            <v>10.11.2028</v>
          </cell>
          <cell r="W1411">
            <v>47067</v>
          </cell>
        </row>
        <row r="1412">
          <cell r="V1412" t="str">
            <v>11.11.2028</v>
          </cell>
          <cell r="W1412">
            <v>47068</v>
          </cell>
        </row>
        <row r="1413">
          <cell r="V1413" t="str">
            <v>12.11.2028</v>
          </cell>
          <cell r="W1413">
            <v>47069</v>
          </cell>
        </row>
        <row r="1414">
          <cell r="V1414" t="str">
            <v>13.11.2028</v>
          </cell>
          <cell r="W1414">
            <v>47070</v>
          </cell>
        </row>
        <row r="1415">
          <cell r="V1415" t="str">
            <v>14.11.2028</v>
          </cell>
          <cell r="W1415">
            <v>47071</v>
          </cell>
        </row>
        <row r="1416">
          <cell r="V1416" t="str">
            <v>15.11.2028</v>
          </cell>
          <cell r="W1416">
            <v>47072</v>
          </cell>
        </row>
        <row r="1417">
          <cell r="V1417" t="str">
            <v>16.11.2028</v>
          </cell>
          <cell r="W1417">
            <v>47073</v>
          </cell>
        </row>
        <row r="1418">
          <cell r="V1418" t="str">
            <v>17.11.2028</v>
          </cell>
          <cell r="W1418">
            <v>47074</v>
          </cell>
        </row>
        <row r="1419">
          <cell r="V1419" t="str">
            <v>18.11.2028</v>
          </cell>
          <cell r="W1419">
            <v>47075</v>
          </cell>
        </row>
        <row r="1420">
          <cell r="V1420" t="str">
            <v>19.11.2028</v>
          </cell>
          <cell r="W1420">
            <v>47076</v>
          </cell>
        </row>
        <row r="1421">
          <cell r="V1421" t="str">
            <v>20.11.2028</v>
          </cell>
          <cell r="W1421">
            <v>47077</v>
          </cell>
        </row>
        <row r="1422">
          <cell r="V1422" t="str">
            <v>21.11.2028</v>
          </cell>
          <cell r="W1422">
            <v>47078</v>
          </cell>
        </row>
        <row r="1423">
          <cell r="V1423" t="str">
            <v>22.11.2028</v>
          </cell>
          <cell r="W1423">
            <v>47079</v>
          </cell>
        </row>
        <row r="1424">
          <cell r="V1424" t="str">
            <v>23.11.2028</v>
          </cell>
          <cell r="W1424">
            <v>47080</v>
          </cell>
        </row>
        <row r="1425">
          <cell r="V1425" t="str">
            <v>24.11.2028</v>
          </cell>
          <cell r="W1425">
            <v>47081</v>
          </cell>
        </row>
        <row r="1426">
          <cell r="V1426" t="str">
            <v>25.11.2028</v>
          </cell>
          <cell r="W1426">
            <v>47082</v>
          </cell>
        </row>
        <row r="1427">
          <cell r="V1427" t="str">
            <v>26.11.2028</v>
          </cell>
          <cell r="W1427">
            <v>47083</v>
          </cell>
        </row>
        <row r="1428">
          <cell r="V1428" t="str">
            <v>27.11.2028</v>
          </cell>
          <cell r="W1428">
            <v>47084</v>
          </cell>
        </row>
        <row r="1429">
          <cell r="V1429" t="str">
            <v>28.11.2028</v>
          </cell>
          <cell r="W1429">
            <v>47085</v>
          </cell>
        </row>
        <row r="1430">
          <cell r="V1430" t="str">
            <v>29.11.2028</v>
          </cell>
          <cell r="W1430">
            <v>47086</v>
          </cell>
        </row>
        <row r="1431">
          <cell r="V1431" t="str">
            <v>30.11.2028</v>
          </cell>
          <cell r="W1431">
            <v>47087</v>
          </cell>
        </row>
        <row r="1432">
          <cell r="V1432" t="str">
            <v>01.12.2028</v>
          </cell>
          <cell r="W1432">
            <v>47088</v>
          </cell>
        </row>
        <row r="1433">
          <cell r="V1433" t="str">
            <v>02.12.2028</v>
          </cell>
          <cell r="W1433">
            <v>47089</v>
          </cell>
        </row>
        <row r="1434">
          <cell r="V1434" t="str">
            <v>03.12.2028</v>
          </cell>
          <cell r="W1434">
            <v>47090</v>
          </cell>
        </row>
        <row r="1435">
          <cell r="V1435" t="str">
            <v>04.12.2028</v>
          </cell>
          <cell r="W1435">
            <v>47091</v>
          </cell>
        </row>
        <row r="1436">
          <cell r="V1436" t="str">
            <v>05.12.2028</v>
          </cell>
          <cell r="W1436">
            <v>47092</v>
          </cell>
        </row>
        <row r="1437">
          <cell r="V1437" t="str">
            <v>06.12.2028</v>
          </cell>
          <cell r="W1437">
            <v>47093</v>
          </cell>
        </row>
        <row r="1438">
          <cell r="V1438" t="str">
            <v>07.12.2028</v>
          </cell>
          <cell r="W1438">
            <v>47094</v>
          </cell>
        </row>
        <row r="1439">
          <cell r="V1439" t="str">
            <v>08.12.2028</v>
          </cell>
          <cell r="W1439">
            <v>47095</v>
          </cell>
        </row>
        <row r="1440">
          <cell r="V1440" t="str">
            <v>09.12.2028</v>
          </cell>
          <cell r="W1440">
            <v>47096</v>
          </cell>
        </row>
        <row r="1441">
          <cell r="V1441" t="str">
            <v>10.12.2028</v>
          </cell>
          <cell r="W1441">
            <v>47097</v>
          </cell>
        </row>
        <row r="1442">
          <cell r="V1442" t="str">
            <v>11.12.2028</v>
          </cell>
          <cell r="W1442">
            <v>47098</v>
          </cell>
        </row>
        <row r="1443">
          <cell r="V1443" t="str">
            <v>12.12.2028</v>
          </cell>
          <cell r="W1443">
            <v>47099</v>
          </cell>
        </row>
        <row r="1444">
          <cell r="V1444" t="str">
            <v>13.12.2028</v>
          </cell>
          <cell r="W1444">
            <v>47100</v>
          </cell>
        </row>
        <row r="1445">
          <cell r="V1445" t="str">
            <v>14.12.2028</v>
          </cell>
          <cell r="W1445">
            <v>47101</v>
          </cell>
        </row>
        <row r="1446">
          <cell r="V1446" t="str">
            <v>15.12.2028</v>
          </cell>
          <cell r="W1446">
            <v>47102</v>
          </cell>
        </row>
        <row r="1447">
          <cell r="V1447" t="str">
            <v>16.12.2028</v>
          </cell>
          <cell r="W1447">
            <v>47103</v>
          </cell>
        </row>
        <row r="1448">
          <cell r="V1448" t="str">
            <v>17.12.2028</v>
          </cell>
          <cell r="W1448">
            <v>47104</v>
          </cell>
        </row>
        <row r="1449">
          <cell r="V1449" t="str">
            <v>18.12.2028</v>
          </cell>
          <cell r="W1449">
            <v>47105</v>
          </cell>
        </row>
        <row r="1450">
          <cell r="V1450" t="str">
            <v>19.12.2028</v>
          </cell>
          <cell r="W1450">
            <v>47106</v>
          </cell>
        </row>
        <row r="1451">
          <cell r="V1451" t="str">
            <v>20.12.2028</v>
          </cell>
          <cell r="W1451">
            <v>47107</v>
          </cell>
        </row>
        <row r="1452">
          <cell r="V1452" t="str">
            <v>21.12.2028</v>
          </cell>
          <cell r="W1452">
            <v>47108</v>
          </cell>
        </row>
        <row r="1453">
          <cell r="V1453" t="str">
            <v>22.12.2028</v>
          </cell>
          <cell r="W1453">
            <v>47109</v>
          </cell>
        </row>
        <row r="1454">
          <cell r="V1454" t="str">
            <v>23.12.2028</v>
          </cell>
          <cell r="W1454">
            <v>47110</v>
          </cell>
        </row>
        <row r="1455">
          <cell r="V1455" t="str">
            <v>24.12.2028</v>
          </cell>
          <cell r="W1455">
            <v>47111</v>
          </cell>
        </row>
        <row r="1456">
          <cell r="V1456" t="str">
            <v>25.12.2028</v>
          </cell>
          <cell r="W1456">
            <v>47112</v>
          </cell>
        </row>
        <row r="1457">
          <cell r="V1457" t="str">
            <v>26.12.2028</v>
          </cell>
          <cell r="W1457">
            <v>47113</v>
          </cell>
        </row>
        <row r="1458">
          <cell r="V1458" t="str">
            <v>27.12.2028</v>
          </cell>
          <cell r="W1458">
            <v>47114</v>
          </cell>
        </row>
        <row r="1459">
          <cell r="V1459" t="str">
            <v>28.12.2028</v>
          </cell>
          <cell r="W1459">
            <v>47115</v>
          </cell>
        </row>
        <row r="1460">
          <cell r="V1460" t="str">
            <v>29.12.2028</v>
          </cell>
          <cell r="W1460">
            <v>47116</v>
          </cell>
        </row>
        <row r="1461">
          <cell r="V1461" t="str">
            <v>30.12.2028</v>
          </cell>
          <cell r="W1461">
            <v>47117</v>
          </cell>
        </row>
        <row r="1462">
          <cell r="V1462" t="str">
            <v>31.12.2028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D63B-A282-4FDF-A652-976AEF79C95B}">
  <sheetPr>
    <tabColor rgb="FFFFFF00"/>
  </sheetPr>
  <dimension ref="A1:R817"/>
  <sheetViews>
    <sheetView showGridLines="0" tabSelected="1" zoomScale="90" zoomScaleNormal="90" workbookViewId="0">
      <pane ySplit="1" topLeftCell="A2" activePane="bottomLeft" state="frozen"/>
      <selection activeCell="D128" sqref="D128"/>
      <selection pane="bottomLeft" activeCell="H2" sqref="H2"/>
    </sheetView>
  </sheetViews>
  <sheetFormatPr defaultColWidth="8.1796875" defaultRowHeight="12" x14ac:dyDescent="0.3"/>
  <cols>
    <col min="1" max="1" width="6.453125" style="12" bestFit="1" customWidth="1"/>
    <col min="2" max="2" width="8.54296875" style="13" bestFit="1" customWidth="1"/>
    <col min="3" max="3" width="9" style="12" customWidth="1"/>
    <col min="4" max="4" width="12.6328125" style="12" bestFit="1" customWidth="1"/>
    <col min="5" max="5" width="13.7265625" style="12" bestFit="1" customWidth="1"/>
    <col min="6" max="6" width="10.36328125" style="11" bestFit="1" customWidth="1"/>
    <col min="7" max="7" width="9.7265625" style="14" bestFit="1" customWidth="1"/>
    <col min="8" max="8" width="9.1796875" style="11" bestFit="1" customWidth="1"/>
    <col min="9" max="9" width="41.26953125" style="11" customWidth="1"/>
    <col min="10" max="10" width="6.08984375" style="11" bestFit="1" customWidth="1"/>
    <col min="11" max="11" width="31.7265625" style="11" customWidth="1"/>
    <col min="12" max="12" width="14.81640625" style="12" bestFit="1" customWidth="1"/>
    <col min="13" max="13" width="11.453125" style="12" bestFit="1" customWidth="1"/>
    <col min="14" max="14" width="10.26953125" style="12" bestFit="1" customWidth="1"/>
    <col min="15" max="15" width="14.453125" style="12" bestFit="1" customWidth="1"/>
    <col min="16" max="16" width="12.453125" style="12" bestFit="1" customWidth="1"/>
    <col min="17" max="18" width="19.36328125" style="12" bestFit="1" customWidth="1"/>
    <col min="19" max="16384" width="8.1796875" style="11"/>
  </cols>
  <sheetData>
    <row r="1" spans="1:18" s="5" customForma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</row>
    <row r="2" spans="1:18" x14ac:dyDescent="0.3">
      <c r="A2" s="7" t="str">
        <f>VLOOKUP(MONTH($B2),[232]Parameter!$P:$Q,2,FALSE)</f>
        <v>Mar</v>
      </c>
      <c r="B2" s="8">
        <f>VLOOKUP($G2,[232]Parameter!$V:$W,2,FALSE)</f>
        <v>46083</v>
      </c>
      <c r="C2" s="7" t="str">
        <f>VLOOKUP($I2,[232]Parameter!$A:$M,13,FALSE)</f>
        <v>CSD PMX</v>
      </c>
      <c r="D2" s="7" t="str">
        <f>VLOOKUP($I2,[232]Parameter!$A:$M,11,FALSE)</f>
        <v>Co2 9KG</v>
      </c>
      <c r="E2" s="7" t="str">
        <f>VLOOKUP($I2,[232]Parameter!$A:$N,14,FALSE)</f>
        <v>CO2</v>
      </c>
      <c r="F2" s="9">
        <f t="shared" ref="F2:F9" si="0">$Q2</f>
        <v>2840</v>
      </c>
      <c r="G2" s="10" t="s">
        <v>167</v>
      </c>
      <c r="H2" s="11">
        <v>320010358</v>
      </c>
      <c r="I2" s="11" t="s">
        <v>18</v>
      </c>
      <c r="J2" s="11">
        <v>7101</v>
      </c>
      <c r="K2" s="11" t="s">
        <v>19</v>
      </c>
      <c r="L2" s="12">
        <v>2840</v>
      </c>
      <c r="M2" s="12">
        <v>0</v>
      </c>
      <c r="N2" s="12">
        <v>0</v>
      </c>
      <c r="O2" s="12">
        <v>0</v>
      </c>
      <c r="P2" s="12">
        <v>0</v>
      </c>
      <c r="Q2" s="12">
        <v>2840</v>
      </c>
      <c r="R2" s="12">
        <v>2840</v>
      </c>
    </row>
    <row r="3" spans="1:18" x14ac:dyDescent="0.3">
      <c r="A3" s="7" t="str">
        <f>VLOOKUP(MONTH($B3),[232]Parameter!$P:$Q,2,FALSE)</f>
        <v>Mar</v>
      </c>
      <c r="B3" s="8">
        <f>VLOOKUP($G3,[232]Parameter!$V:$W,2,FALSE)</f>
        <v>46083</v>
      </c>
      <c r="C3" s="7" t="str">
        <f>VLOOKUP($I3,[232]Parameter!$A:$M,13,FALSE)</f>
        <v>CSD PMX</v>
      </c>
      <c r="D3" s="7" t="str">
        <f>VLOOKUP($I3,[232]Parameter!$A:$M,11,FALSE)</f>
        <v>Co2 9KG</v>
      </c>
      <c r="E3" s="7" t="str">
        <f>VLOOKUP($I3,[232]Parameter!$A:$N,14,FALSE)</f>
        <v>CO2</v>
      </c>
      <c r="F3" s="9">
        <f t="shared" si="0"/>
        <v>2099</v>
      </c>
      <c r="G3" s="10" t="s">
        <v>167</v>
      </c>
      <c r="H3" s="11">
        <v>320010358</v>
      </c>
      <c r="I3" s="11" t="s">
        <v>18</v>
      </c>
      <c r="J3" s="11">
        <v>7102</v>
      </c>
      <c r="K3" s="11" t="s">
        <v>20</v>
      </c>
      <c r="L3" s="12">
        <v>1840</v>
      </c>
      <c r="M3" s="12">
        <v>19</v>
      </c>
      <c r="N3" s="12">
        <v>0</v>
      </c>
      <c r="O3" s="12">
        <v>0</v>
      </c>
      <c r="P3" s="12">
        <v>240</v>
      </c>
      <c r="Q3" s="12">
        <v>2099</v>
      </c>
      <c r="R3" s="12">
        <v>1859</v>
      </c>
    </row>
    <row r="4" spans="1:18" x14ac:dyDescent="0.3">
      <c r="A4" s="7" t="str">
        <f>VLOOKUP(MONTH($B4),[232]Parameter!$P:$Q,2,FALSE)</f>
        <v>Mar</v>
      </c>
      <c r="B4" s="8">
        <f>VLOOKUP($G4,[232]Parameter!$V:$W,2,FALSE)</f>
        <v>46083</v>
      </c>
      <c r="C4" s="7" t="str">
        <f>VLOOKUP($I4,[232]Parameter!$A:$M,13,FALSE)</f>
        <v>NCB PET</v>
      </c>
      <c r="D4" s="7" t="str">
        <f>VLOOKUP($I4,[232]Parameter!$A:$M,11,FALSE)</f>
        <v>PET GTR 350 P12</v>
      </c>
      <c r="E4" s="7" t="str">
        <f>VLOOKUP($I4,[232]Parameter!$A:$N,14,FALSE)</f>
        <v>GATORADE</v>
      </c>
      <c r="F4" s="9">
        <f t="shared" si="0"/>
        <v>3698</v>
      </c>
      <c r="G4" s="10" t="s">
        <v>167</v>
      </c>
      <c r="H4" s="11">
        <v>320021589</v>
      </c>
      <c r="I4" s="11" t="s">
        <v>21</v>
      </c>
      <c r="J4" s="11">
        <v>7101</v>
      </c>
      <c r="K4" s="11" t="s">
        <v>19</v>
      </c>
      <c r="L4" s="12">
        <v>3698</v>
      </c>
      <c r="M4" s="12">
        <v>0</v>
      </c>
      <c r="N4" s="12">
        <v>0</v>
      </c>
      <c r="O4" s="12">
        <v>0</v>
      </c>
      <c r="P4" s="12">
        <v>0</v>
      </c>
      <c r="Q4" s="12">
        <v>3698</v>
      </c>
      <c r="R4" s="12">
        <v>3698</v>
      </c>
    </row>
    <row r="5" spans="1:18" x14ac:dyDescent="0.3">
      <c r="A5" s="7" t="str">
        <f>VLOOKUP(MONTH($B5),[232]Parameter!$P:$Q,2,FALSE)</f>
        <v>Mar</v>
      </c>
      <c r="B5" s="8">
        <f>VLOOKUP($G5,[232]Parameter!$V:$W,2,FALSE)</f>
        <v>46083</v>
      </c>
      <c r="C5" s="7" t="str">
        <f>VLOOKUP($I5,[232]Parameter!$A:$M,13,FALSE)</f>
        <v>NCB PET</v>
      </c>
      <c r="D5" s="7" t="str">
        <f>VLOOKUP($I5,[232]Parameter!$A:$M,11,FALSE)</f>
        <v>PET GTR 350 P12</v>
      </c>
      <c r="E5" s="7" t="str">
        <f>VLOOKUP($I5,[232]Parameter!$A:$N,14,FALSE)</f>
        <v>GATORADE</v>
      </c>
      <c r="F5" s="9">
        <f t="shared" si="0"/>
        <v>12414</v>
      </c>
      <c r="G5" s="10" t="s">
        <v>167</v>
      </c>
      <c r="H5" s="11">
        <v>320021589</v>
      </c>
      <c r="I5" s="11" t="s">
        <v>21</v>
      </c>
      <c r="J5" s="11">
        <v>7102</v>
      </c>
      <c r="K5" s="11" t="s">
        <v>20</v>
      </c>
      <c r="L5" s="12">
        <v>12414</v>
      </c>
      <c r="M5" s="12">
        <v>0</v>
      </c>
      <c r="N5" s="12">
        <v>0</v>
      </c>
      <c r="O5" s="12">
        <v>0</v>
      </c>
      <c r="P5" s="12">
        <v>0</v>
      </c>
      <c r="Q5" s="12">
        <v>12414</v>
      </c>
      <c r="R5" s="12">
        <v>12414</v>
      </c>
    </row>
    <row r="6" spans="1:18" x14ac:dyDescent="0.3">
      <c r="A6" s="7" t="str">
        <f>VLOOKUP(MONTH($B6),[232]Parameter!$P:$Q,2,FALSE)</f>
        <v>Mar</v>
      </c>
      <c r="B6" s="8">
        <f>VLOOKUP($G6,[232]Parameter!$V:$W,2,FALSE)</f>
        <v>46083</v>
      </c>
      <c r="C6" s="7" t="str">
        <f>VLOOKUP($I6,[232]Parameter!$A:$M,13,FALSE)</f>
        <v>WATER PET</v>
      </c>
      <c r="D6" s="7" t="str">
        <f>VLOOKUP($I6,[232]Parameter!$A:$M,11,FALSE)</f>
        <v>MINERAL 550</v>
      </c>
      <c r="E6" s="7" t="str">
        <f>VLOOKUP($I6,[232]Parameter!$A:$N,14,FALSE)</f>
        <v>Water</v>
      </c>
      <c r="F6" s="9">
        <f t="shared" si="0"/>
        <v>576</v>
      </c>
      <c r="G6" s="10" t="s">
        <v>167</v>
      </c>
      <c r="H6" s="11">
        <v>320022364</v>
      </c>
      <c r="I6" s="11" t="s">
        <v>22</v>
      </c>
      <c r="J6" s="11">
        <v>7101</v>
      </c>
      <c r="K6" s="11" t="s">
        <v>19</v>
      </c>
      <c r="L6" s="12">
        <v>576</v>
      </c>
      <c r="M6" s="12">
        <v>0</v>
      </c>
      <c r="N6" s="12">
        <v>0</v>
      </c>
      <c r="O6" s="12">
        <v>0</v>
      </c>
      <c r="P6" s="12">
        <v>0</v>
      </c>
      <c r="Q6" s="12">
        <v>576</v>
      </c>
      <c r="R6" s="12">
        <v>576</v>
      </c>
    </row>
    <row r="7" spans="1:18" x14ac:dyDescent="0.3">
      <c r="A7" s="7" t="str">
        <f>VLOOKUP(MONTH($B7),[232]Parameter!$P:$Q,2,FALSE)</f>
        <v>Mar</v>
      </c>
      <c r="B7" s="8">
        <f>VLOOKUP($G7,[232]Parameter!$V:$W,2,FALSE)</f>
        <v>46083</v>
      </c>
      <c r="C7" s="7" t="str">
        <f>VLOOKUP($I7,[232]Parameter!$A:$M,13,FALSE)</f>
        <v>WATER PET</v>
      </c>
      <c r="D7" s="7" t="str">
        <f>VLOOKUP($I7,[232]Parameter!$A:$M,11,FALSE)</f>
        <v>MINERAL 550</v>
      </c>
      <c r="E7" s="7" t="str">
        <f>VLOOKUP($I7,[232]Parameter!$A:$N,14,FALSE)</f>
        <v>Water</v>
      </c>
      <c r="F7" s="9">
        <f t="shared" si="0"/>
        <v>21012</v>
      </c>
      <c r="G7" s="10" t="s">
        <v>167</v>
      </c>
      <c r="H7" s="11">
        <v>320022364</v>
      </c>
      <c r="I7" s="11" t="s">
        <v>22</v>
      </c>
      <c r="J7" s="11">
        <v>7104</v>
      </c>
      <c r="K7" s="11" t="s">
        <v>23</v>
      </c>
      <c r="L7" s="12">
        <v>21012</v>
      </c>
      <c r="M7" s="12">
        <v>0</v>
      </c>
      <c r="N7" s="12">
        <v>0</v>
      </c>
      <c r="O7" s="12">
        <v>0</v>
      </c>
      <c r="P7" s="12">
        <v>0</v>
      </c>
      <c r="Q7" s="12">
        <v>21012</v>
      </c>
      <c r="R7" s="12">
        <v>21012</v>
      </c>
    </row>
    <row r="8" spans="1:18" x14ac:dyDescent="0.3">
      <c r="A8" s="7" t="str">
        <f>VLOOKUP(MONTH($B8),[232]Parameter!$P:$Q,2,FALSE)</f>
        <v>Mar</v>
      </c>
      <c r="B8" s="8">
        <f>VLOOKUP($G8,[232]Parameter!$V:$W,2,FALSE)</f>
        <v>46083</v>
      </c>
      <c r="C8" s="7" t="str">
        <f>VLOOKUP($I8,[232]Parameter!$A:$M,13,FALSE)</f>
        <v>CSD PET</v>
      </c>
      <c r="D8" s="7" t="str">
        <f>VLOOKUP($I8,[232]Parameter!$A:$M,11,FALSE)</f>
        <v>PET 450</v>
      </c>
      <c r="E8" s="7" t="str">
        <f>VLOOKUP($I8,[232]Parameter!$A:$N,14,FALSE)</f>
        <v>PEPSI LIME</v>
      </c>
      <c r="F8" s="9">
        <f t="shared" si="0"/>
        <v>10226</v>
      </c>
      <c r="G8" s="10" t="s">
        <v>167</v>
      </c>
      <c r="H8" s="11">
        <v>320022432</v>
      </c>
      <c r="I8" s="11" t="s">
        <v>24</v>
      </c>
      <c r="J8" s="11">
        <v>7101</v>
      </c>
      <c r="K8" s="11" t="s">
        <v>19</v>
      </c>
      <c r="L8" s="12">
        <v>10225</v>
      </c>
      <c r="M8" s="12">
        <v>1</v>
      </c>
      <c r="N8" s="12">
        <v>2</v>
      </c>
      <c r="O8" s="12">
        <v>0</v>
      </c>
      <c r="P8" s="12">
        <v>0</v>
      </c>
      <c r="Q8" s="12">
        <v>10226</v>
      </c>
      <c r="R8" s="12">
        <v>10226</v>
      </c>
    </row>
    <row r="9" spans="1:18" x14ac:dyDescent="0.3">
      <c r="A9" s="7" t="str">
        <f>VLOOKUP(MONTH($B9),[232]Parameter!$P:$Q,2,FALSE)</f>
        <v>Mar</v>
      </c>
      <c r="B9" s="8">
        <f>VLOOKUP($G9,[232]Parameter!$V:$W,2,FALSE)</f>
        <v>46083</v>
      </c>
      <c r="C9" s="7" t="str">
        <f>VLOOKUP($I9,[232]Parameter!$A:$M,13,FALSE)</f>
        <v>CSD PET</v>
      </c>
      <c r="D9" s="7" t="str">
        <f>VLOOKUP($I9,[232]Parameter!$A:$M,11,FALSE)</f>
        <v>PET 450</v>
      </c>
      <c r="E9" s="7" t="str">
        <f>VLOOKUP($I9,[232]Parameter!$A:$N,14,FALSE)</f>
        <v>PEPSI LIME</v>
      </c>
      <c r="F9" s="9">
        <f t="shared" si="0"/>
        <v>72</v>
      </c>
      <c r="G9" s="10" t="s">
        <v>167</v>
      </c>
      <c r="H9" s="11">
        <v>320022432</v>
      </c>
      <c r="I9" s="11" t="s">
        <v>24</v>
      </c>
      <c r="J9" s="11">
        <v>7102</v>
      </c>
      <c r="K9" s="11" t="s">
        <v>20</v>
      </c>
      <c r="L9" s="12">
        <v>72</v>
      </c>
      <c r="M9" s="12">
        <v>0</v>
      </c>
      <c r="N9" s="12">
        <v>24</v>
      </c>
      <c r="O9" s="12">
        <v>0</v>
      </c>
      <c r="P9" s="12">
        <v>0</v>
      </c>
      <c r="Q9" s="12">
        <v>72</v>
      </c>
      <c r="R9" s="12">
        <v>72</v>
      </c>
    </row>
    <row r="10" spans="1:18" x14ac:dyDescent="0.3">
      <c r="A10" s="7" t="str">
        <f>VLOOKUP(MONTH($B10),[232]Parameter!$P:$Q,2,FALSE)</f>
        <v>Mar</v>
      </c>
      <c r="B10" s="8">
        <f>VLOOKUP($G10,[232]Parameter!$V:$W,2,FALSE)</f>
        <v>46083</v>
      </c>
      <c r="C10" s="7" t="str">
        <f>VLOOKUP($I10,[232]Parameter!$A:$M,13,FALSE)</f>
        <v>CSD PMX</v>
      </c>
      <c r="D10" s="7" t="str">
        <f>VLOOKUP($I10,[232]Parameter!$A:$M,11,FALSE)</f>
        <v>BIB 20L</v>
      </c>
      <c r="E10" s="7" t="str">
        <f>VLOOKUP($I10,[232]Parameter!$A:$N,14,FALSE)</f>
        <v>Pepsi Cola</v>
      </c>
      <c r="F10" s="9">
        <f t="shared" ref="F10:F73" si="1">$Q10</f>
        <v>421</v>
      </c>
      <c r="G10" s="10" t="s">
        <v>167</v>
      </c>
      <c r="H10" s="11">
        <v>320022526</v>
      </c>
      <c r="I10" s="11" t="s">
        <v>25</v>
      </c>
      <c r="J10" s="11">
        <v>7101</v>
      </c>
      <c r="K10" s="11" t="s">
        <v>19</v>
      </c>
      <c r="L10" s="12">
        <v>421</v>
      </c>
      <c r="M10" s="12">
        <v>0</v>
      </c>
      <c r="N10" s="12">
        <v>1</v>
      </c>
      <c r="O10" s="12">
        <v>0</v>
      </c>
      <c r="P10" s="12">
        <v>0</v>
      </c>
      <c r="Q10" s="12">
        <v>421</v>
      </c>
      <c r="R10" s="12">
        <v>421</v>
      </c>
    </row>
    <row r="11" spans="1:18" x14ac:dyDescent="0.3">
      <c r="A11" s="7" t="str">
        <f>VLOOKUP(MONTH($B11),[232]Parameter!$P:$Q,2,FALSE)</f>
        <v>Mar</v>
      </c>
      <c r="B11" s="8">
        <f>VLOOKUP($G11,[232]Parameter!$V:$W,2,FALSE)</f>
        <v>46083</v>
      </c>
      <c r="C11" s="7" t="str">
        <f>VLOOKUP($I11,[232]Parameter!$A:$M,13,FALSE)</f>
        <v>CSD PMX</v>
      </c>
      <c r="D11" s="7" t="str">
        <f>VLOOKUP($I11,[232]Parameter!$A:$M,11,FALSE)</f>
        <v>BIB 20L</v>
      </c>
      <c r="E11" s="7" t="str">
        <f>VLOOKUP($I11,[232]Parameter!$A:$N,14,FALSE)</f>
        <v>Pepsi Cola</v>
      </c>
      <c r="F11" s="9">
        <f t="shared" si="1"/>
        <v>0</v>
      </c>
      <c r="G11" s="10" t="s">
        <v>167</v>
      </c>
      <c r="H11" s="11">
        <v>320022526</v>
      </c>
      <c r="I11" s="11" t="s">
        <v>25</v>
      </c>
      <c r="J11" s="11">
        <v>7102</v>
      </c>
      <c r="K11" s="11" t="s">
        <v>20</v>
      </c>
      <c r="L11" s="12">
        <v>0</v>
      </c>
      <c r="M11" s="12">
        <v>0</v>
      </c>
      <c r="N11" s="12">
        <v>1</v>
      </c>
      <c r="O11" s="12">
        <v>0</v>
      </c>
      <c r="P11" s="12">
        <v>0</v>
      </c>
      <c r="Q11" s="12">
        <v>0</v>
      </c>
      <c r="R11" s="12">
        <v>0</v>
      </c>
    </row>
    <row r="12" spans="1:18" x14ac:dyDescent="0.3">
      <c r="A12" s="7" t="str">
        <f>VLOOKUP(MONTH($B12),[232]Parameter!$P:$Q,2,FALSE)</f>
        <v>Mar</v>
      </c>
      <c r="B12" s="8">
        <f>VLOOKUP($G12,[232]Parameter!$V:$W,2,FALSE)</f>
        <v>46083</v>
      </c>
      <c r="C12" s="7" t="str">
        <f>VLOOKUP($I12,[232]Parameter!$A:$M,13,FALSE)</f>
        <v>CSD PET</v>
      </c>
      <c r="D12" s="7" t="str">
        <f>VLOOKUP($I12,[232]Parameter!$A:$M,11,FALSE)</f>
        <v>PET 450</v>
      </c>
      <c r="E12" s="7" t="str">
        <f>VLOOKUP($I12,[232]Parameter!$A:$N,14,FALSE)</f>
        <v>MRD Orange</v>
      </c>
      <c r="F12" s="9">
        <f t="shared" si="1"/>
        <v>24516</v>
      </c>
      <c r="G12" s="10" t="s">
        <v>167</v>
      </c>
      <c r="H12" s="11">
        <v>320022607</v>
      </c>
      <c r="I12" s="11" t="s">
        <v>26</v>
      </c>
      <c r="J12" s="11">
        <v>7101</v>
      </c>
      <c r="K12" s="11" t="s">
        <v>19</v>
      </c>
      <c r="L12" s="12">
        <v>24516</v>
      </c>
      <c r="M12" s="12">
        <v>0</v>
      </c>
      <c r="N12" s="12">
        <v>2</v>
      </c>
      <c r="O12" s="12">
        <v>0</v>
      </c>
      <c r="P12" s="12">
        <v>0</v>
      </c>
      <c r="Q12" s="12">
        <v>24516</v>
      </c>
      <c r="R12" s="12">
        <v>24516</v>
      </c>
    </row>
    <row r="13" spans="1:18" x14ac:dyDescent="0.3">
      <c r="A13" s="7" t="str">
        <f>VLOOKUP(MONTH($B13),[232]Parameter!$P:$Q,2,FALSE)</f>
        <v>Mar</v>
      </c>
      <c r="B13" s="8">
        <f>VLOOKUP($G13,[232]Parameter!$V:$W,2,FALSE)</f>
        <v>46083</v>
      </c>
      <c r="C13" s="7" t="str">
        <f>VLOOKUP($I13,[232]Parameter!$A:$M,13,FALSE)</f>
        <v>CSD PET</v>
      </c>
      <c r="D13" s="7" t="str">
        <f>VLOOKUP($I13,[232]Parameter!$A:$M,11,FALSE)</f>
        <v>PET 450</v>
      </c>
      <c r="E13" s="7" t="str">
        <f>VLOOKUP($I13,[232]Parameter!$A:$N,14,FALSE)</f>
        <v>MRD Orange</v>
      </c>
      <c r="F13" s="9">
        <f t="shared" si="1"/>
        <v>0</v>
      </c>
      <c r="G13" s="10" t="s">
        <v>167</v>
      </c>
      <c r="H13" s="11">
        <v>320022607</v>
      </c>
      <c r="I13" s="11" t="s">
        <v>26</v>
      </c>
      <c r="J13" s="11">
        <v>7102</v>
      </c>
      <c r="K13" s="11" t="s">
        <v>20</v>
      </c>
      <c r="L13" s="12">
        <v>0</v>
      </c>
      <c r="M13" s="12">
        <v>0</v>
      </c>
      <c r="N13" s="12">
        <v>322</v>
      </c>
      <c r="O13" s="12">
        <v>0</v>
      </c>
      <c r="P13" s="12">
        <v>0</v>
      </c>
      <c r="Q13" s="12">
        <v>0</v>
      </c>
      <c r="R13" s="12">
        <v>0</v>
      </c>
    </row>
    <row r="14" spans="1:18" x14ac:dyDescent="0.3">
      <c r="A14" s="7" t="str">
        <f>VLOOKUP(MONTH($B14),[232]Parameter!$P:$Q,2,FALSE)</f>
        <v>Mar</v>
      </c>
      <c r="B14" s="8">
        <f>VLOOKUP($G14,[232]Parameter!$V:$W,2,FALSE)</f>
        <v>46083</v>
      </c>
      <c r="C14" s="7" t="str">
        <f>VLOOKUP($I14,[232]Parameter!$A:$M,13,FALSE)</f>
        <v>CSD PET</v>
      </c>
      <c r="D14" s="7" t="str">
        <f>VLOOKUP($I14,[232]Parameter!$A:$M,11,FALSE)</f>
        <v>PET 1500</v>
      </c>
      <c r="E14" s="7" t="str">
        <f>VLOOKUP($I14,[232]Parameter!$A:$N,14,FALSE)</f>
        <v>MRD Orange</v>
      </c>
      <c r="F14" s="9">
        <f t="shared" si="1"/>
        <v>2209</v>
      </c>
      <c r="G14" s="10" t="s">
        <v>167</v>
      </c>
      <c r="H14" s="11">
        <v>320022608</v>
      </c>
      <c r="I14" s="11" t="s">
        <v>27</v>
      </c>
      <c r="J14" s="11">
        <v>7101</v>
      </c>
      <c r="K14" s="11" t="s">
        <v>19</v>
      </c>
      <c r="L14" s="12">
        <v>2209</v>
      </c>
      <c r="M14" s="12">
        <v>0</v>
      </c>
      <c r="N14" s="12">
        <v>0</v>
      </c>
      <c r="O14" s="12">
        <v>0</v>
      </c>
      <c r="P14" s="12">
        <v>0</v>
      </c>
      <c r="Q14" s="12">
        <v>2209</v>
      </c>
      <c r="R14" s="12">
        <v>2209</v>
      </c>
    </row>
    <row r="15" spans="1:18" x14ac:dyDescent="0.3">
      <c r="A15" s="7" t="str">
        <f>VLOOKUP(MONTH($B15),[232]Parameter!$P:$Q,2,FALSE)</f>
        <v>Mar</v>
      </c>
      <c r="B15" s="8">
        <f>VLOOKUP($G15,[232]Parameter!$V:$W,2,FALSE)</f>
        <v>46083</v>
      </c>
      <c r="C15" s="7" t="str">
        <f>VLOOKUP($I15,[232]Parameter!$A:$M,13,FALSE)</f>
        <v>CSD PET</v>
      </c>
      <c r="D15" s="7" t="str">
        <f>VLOOKUP($I15,[232]Parameter!$A:$M,11,FALSE)</f>
        <v>PET 1500</v>
      </c>
      <c r="E15" s="7" t="str">
        <f>VLOOKUP($I15,[232]Parameter!$A:$N,14,FALSE)</f>
        <v>MRD Green Cream</v>
      </c>
      <c r="F15" s="9">
        <f t="shared" si="1"/>
        <v>2460</v>
      </c>
      <c r="G15" s="10" t="s">
        <v>167</v>
      </c>
      <c r="H15" s="11">
        <v>320022612</v>
      </c>
      <c r="I15" s="11" t="s">
        <v>28</v>
      </c>
      <c r="J15" s="11">
        <v>7101</v>
      </c>
      <c r="K15" s="11" t="s">
        <v>19</v>
      </c>
      <c r="L15" s="12">
        <v>2460</v>
      </c>
      <c r="M15" s="12">
        <v>0</v>
      </c>
      <c r="N15" s="12">
        <v>1</v>
      </c>
      <c r="O15" s="12">
        <v>0</v>
      </c>
      <c r="P15" s="12">
        <v>0</v>
      </c>
      <c r="Q15" s="12">
        <v>2460</v>
      </c>
      <c r="R15" s="12">
        <v>2460</v>
      </c>
    </row>
    <row r="16" spans="1:18" x14ac:dyDescent="0.3">
      <c r="A16" s="7" t="str">
        <f>VLOOKUP(MONTH($B16),[232]Parameter!$P:$Q,2,FALSE)</f>
        <v>Mar</v>
      </c>
      <c r="B16" s="8">
        <f>VLOOKUP($G16,[232]Parameter!$V:$W,2,FALSE)</f>
        <v>46083</v>
      </c>
      <c r="C16" s="7" t="str">
        <f>VLOOKUP($I16,[232]Parameter!$A:$M,13,FALSE)</f>
        <v>CSD PET</v>
      </c>
      <c r="D16" s="7" t="str">
        <f>VLOOKUP($I16,[232]Parameter!$A:$M,11,FALSE)</f>
        <v>PET 1500</v>
      </c>
      <c r="E16" s="7" t="str">
        <f>VLOOKUP($I16,[232]Parameter!$A:$N,14,FALSE)</f>
        <v>MRD Green Cream</v>
      </c>
      <c r="F16" s="9">
        <f t="shared" si="1"/>
        <v>7</v>
      </c>
      <c r="G16" s="10" t="s">
        <v>167</v>
      </c>
      <c r="H16" s="11">
        <v>320022612</v>
      </c>
      <c r="I16" s="11" t="s">
        <v>28</v>
      </c>
      <c r="J16" s="11">
        <v>7102</v>
      </c>
      <c r="K16" s="11" t="s">
        <v>20</v>
      </c>
      <c r="L16" s="12">
        <v>7</v>
      </c>
      <c r="M16" s="12">
        <v>0</v>
      </c>
      <c r="N16" s="12">
        <v>2</v>
      </c>
      <c r="O16" s="12">
        <v>0</v>
      </c>
      <c r="P16" s="12">
        <v>0</v>
      </c>
      <c r="Q16" s="12">
        <v>7</v>
      </c>
      <c r="R16" s="12">
        <v>7</v>
      </c>
    </row>
    <row r="17" spans="1:18" x14ac:dyDescent="0.3">
      <c r="A17" s="7" t="str">
        <f>VLOOKUP(MONTH($B17),[232]Parameter!$P:$Q,2,FALSE)</f>
        <v>Mar</v>
      </c>
      <c r="B17" s="8">
        <f>VLOOKUP($G17,[232]Parameter!$V:$W,2,FALSE)</f>
        <v>46083</v>
      </c>
      <c r="C17" s="7" t="str">
        <f>VLOOKUP($I17,[232]Parameter!$A:$M,13,FALSE)</f>
        <v>NCB PET</v>
      </c>
      <c r="D17" s="7" t="str">
        <f>VLOOKUP($I17,[232]Parameter!$A:$M,11,FALSE)</f>
        <v>PET NCB 320</v>
      </c>
      <c r="E17" s="7" t="str">
        <f>VLOOKUP($I17,[232]Parameter!$A:$N,14,FALSE)</f>
        <v>Lipton</v>
      </c>
      <c r="F17" s="9">
        <f t="shared" si="1"/>
        <v>8942</v>
      </c>
      <c r="G17" s="10" t="s">
        <v>167</v>
      </c>
      <c r="H17" s="11">
        <v>320022618</v>
      </c>
      <c r="I17" s="11" t="s">
        <v>29</v>
      </c>
      <c r="J17" s="11">
        <v>7101</v>
      </c>
      <c r="K17" s="11" t="s">
        <v>19</v>
      </c>
      <c r="L17" s="12">
        <v>8942</v>
      </c>
      <c r="M17" s="12">
        <v>0</v>
      </c>
      <c r="N17" s="12">
        <v>2</v>
      </c>
      <c r="O17" s="12">
        <v>0</v>
      </c>
      <c r="P17" s="12">
        <v>0</v>
      </c>
      <c r="Q17" s="12">
        <v>8942</v>
      </c>
      <c r="R17" s="12">
        <v>8942</v>
      </c>
    </row>
    <row r="18" spans="1:18" x14ac:dyDescent="0.3">
      <c r="A18" s="7" t="str">
        <f>VLOOKUP(MONTH($B18),[232]Parameter!$P:$Q,2,FALSE)</f>
        <v>Mar</v>
      </c>
      <c r="B18" s="8">
        <f>VLOOKUP($G18,[232]Parameter!$V:$W,2,FALSE)</f>
        <v>46083</v>
      </c>
      <c r="C18" s="7" t="str">
        <f>VLOOKUP($I18,[232]Parameter!$A:$M,13,FALSE)</f>
        <v>NCB PET</v>
      </c>
      <c r="D18" s="7" t="str">
        <f>VLOOKUP($I18,[232]Parameter!$A:$M,11,FALSE)</f>
        <v>PET NCB 320</v>
      </c>
      <c r="E18" s="7" t="str">
        <f>VLOOKUP($I18,[232]Parameter!$A:$N,14,FALSE)</f>
        <v>Lipton</v>
      </c>
      <c r="F18" s="9">
        <f t="shared" si="1"/>
        <v>21763</v>
      </c>
      <c r="G18" s="10" t="s">
        <v>167</v>
      </c>
      <c r="H18" s="11">
        <v>320022618</v>
      </c>
      <c r="I18" s="11" t="s">
        <v>29</v>
      </c>
      <c r="J18" s="11">
        <v>7102</v>
      </c>
      <c r="K18" s="11" t="s">
        <v>20</v>
      </c>
      <c r="L18" s="12">
        <v>21763</v>
      </c>
      <c r="M18" s="12">
        <v>0</v>
      </c>
      <c r="N18" s="12">
        <v>2</v>
      </c>
      <c r="O18" s="12">
        <v>0</v>
      </c>
      <c r="P18" s="12">
        <v>0</v>
      </c>
      <c r="Q18" s="12">
        <v>21763</v>
      </c>
      <c r="R18" s="12">
        <v>21763</v>
      </c>
    </row>
    <row r="19" spans="1:18" x14ac:dyDescent="0.3">
      <c r="A19" s="7" t="str">
        <f>VLOOKUP(MONTH($B19),[232]Parameter!$P:$Q,2,FALSE)</f>
        <v>Mar</v>
      </c>
      <c r="B19" s="8">
        <f>VLOOKUP($G19,[232]Parameter!$V:$W,2,FALSE)</f>
        <v>46083</v>
      </c>
      <c r="C19" s="7" t="str">
        <f>VLOOKUP($I19,[232]Parameter!$A:$M,13,FALSE)</f>
        <v>WATER PET</v>
      </c>
      <c r="D19" s="7" t="str">
        <f>VLOOKUP($I19,[232]Parameter!$A:$M,11,FALSE)</f>
        <v>MINERAL 1500</v>
      </c>
      <c r="E19" s="7" t="str">
        <f>VLOOKUP($I19,[232]Parameter!$A:$N,14,FALSE)</f>
        <v>Water</v>
      </c>
      <c r="F19" s="9">
        <f t="shared" si="1"/>
        <v>224</v>
      </c>
      <c r="G19" s="10" t="s">
        <v>167</v>
      </c>
      <c r="H19" s="11">
        <v>320022624</v>
      </c>
      <c r="I19" s="11" t="s">
        <v>30</v>
      </c>
      <c r="J19" s="11">
        <v>7101</v>
      </c>
      <c r="K19" s="11" t="s">
        <v>19</v>
      </c>
      <c r="L19" s="12">
        <v>224</v>
      </c>
      <c r="M19" s="12">
        <v>0</v>
      </c>
      <c r="N19" s="12">
        <v>0</v>
      </c>
      <c r="O19" s="12">
        <v>0</v>
      </c>
      <c r="P19" s="12">
        <v>0</v>
      </c>
      <c r="Q19" s="12">
        <v>224</v>
      </c>
      <c r="R19" s="12">
        <v>224</v>
      </c>
    </row>
    <row r="20" spans="1:18" x14ac:dyDescent="0.3">
      <c r="A20" s="7" t="str">
        <f>VLOOKUP(MONTH($B20),[232]Parameter!$P:$Q,2,FALSE)</f>
        <v>Mar</v>
      </c>
      <c r="B20" s="8">
        <f>VLOOKUP($G20,[232]Parameter!$V:$W,2,FALSE)</f>
        <v>46083</v>
      </c>
      <c r="C20" s="7" t="str">
        <f>VLOOKUP($I20,[232]Parameter!$A:$M,13,FALSE)</f>
        <v>WATER PET</v>
      </c>
      <c r="D20" s="7" t="str">
        <f>VLOOKUP($I20,[232]Parameter!$A:$M,11,FALSE)</f>
        <v>MINERAL 1500</v>
      </c>
      <c r="E20" s="7" t="str">
        <f>VLOOKUP($I20,[232]Parameter!$A:$N,14,FALSE)</f>
        <v>Water</v>
      </c>
      <c r="F20" s="9">
        <f t="shared" si="1"/>
        <v>1265</v>
      </c>
      <c r="G20" s="10" t="s">
        <v>167</v>
      </c>
      <c r="H20" s="11">
        <v>320022624</v>
      </c>
      <c r="I20" s="11" t="s">
        <v>30</v>
      </c>
      <c r="J20" s="11">
        <v>7104</v>
      </c>
      <c r="K20" s="11" t="s">
        <v>23</v>
      </c>
      <c r="L20" s="12">
        <v>1265</v>
      </c>
      <c r="M20" s="12">
        <v>0</v>
      </c>
      <c r="N20" s="12">
        <v>0</v>
      </c>
      <c r="O20" s="12">
        <v>0</v>
      </c>
      <c r="P20" s="12">
        <v>0</v>
      </c>
      <c r="Q20" s="12">
        <v>1265</v>
      </c>
      <c r="R20" s="12">
        <v>1265</v>
      </c>
    </row>
    <row r="21" spans="1:18" x14ac:dyDescent="0.3">
      <c r="A21" s="7" t="str">
        <f>VLOOKUP(MONTH($B21),[232]Parameter!$P:$Q,2,FALSE)</f>
        <v>Mar</v>
      </c>
      <c r="B21" s="8">
        <f>VLOOKUP($G21,[232]Parameter!$V:$W,2,FALSE)</f>
        <v>46083</v>
      </c>
      <c r="C21" s="7" t="str">
        <f>VLOOKUP($I21,[232]Parameter!$A:$M,13,FALSE)</f>
        <v>CSD PET</v>
      </c>
      <c r="D21" s="7" t="str">
        <f>VLOOKUP($I21,[232]Parameter!$A:$M,11,FALSE)</f>
        <v>PET 450</v>
      </c>
      <c r="E21" s="7" t="str">
        <f>VLOOKUP($I21,[232]Parameter!$A:$N,14,FALSE)</f>
        <v>Pepsi Cola</v>
      </c>
      <c r="F21" s="9">
        <f t="shared" si="1"/>
        <v>29725</v>
      </c>
      <c r="G21" s="10" t="s">
        <v>167</v>
      </c>
      <c r="H21" s="11">
        <v>320022675</v>
      </c>
      <c r="I21" s="11" t="s">
        <v>31</v>
      </c>
      <c r="J21" s="11">
        <v>7101</v>
      </c>
      <c r="K21" s="11" t="s">
        <v>19</v>
      </c>
      <c r="L21" s="12">
        <v>29725</v>
      </c>
      <c r="M21" s="12">
        <v>0</v>
      </c>
      <c r="N21" s="12">
        <v>20</v>
      </c>
      <c r="O21" s="12">
        <v>0</v>
      </c>
      <c r="P21" s="12">
        <v>0</v>
      </c>
      <c r="Q21" s="12">
        <v>29725</v>
      </c>
      <c r="R21" s="12">
        <v>29725</v>
      </c>
    </row>
    <row r="22" spans="1:18" x14ac:dyDescent="0.3">
      <c r="A22" s="7" t="str">
        <f>VLOOKUP(MONTH($B22),[232]Parameter!$P:$Q,2,FALSE)</f>
        <v>Mar</v>
      </c>
      <c r="B22" s="8">
        <f>VLOOKUP($G22,[232]Parameter!$V:$W,2,FALSE)</f>
        <v>46083</v>
      </c>
      <c r="C22" s="7" t="str">
        <f>VLOOKUP($I22,[232]Parameter!$A:$M,13,FALSE)</f>
        <v>CSD PET</v>
      </c>
      <c r="D22" s="7" t="str">
        <f>VLOOKUP($I22,[232]Parameter!$A:$M,11,FALSE)</f>
        <v>PET 450</v>
      </c>
      <c r="E22" s="7" t="str">
        <f>VLOOKUP($I22,[232]Parameter!$A:$N,14,FALSE)</f>
        <v>Pepsi Cola</v>
      </c>
      <c r="F22" s="9">
        <f t="shared" si="1"/>
        <v>0</v>
      </c>
      <c r="G22" s="10" t="s">
        <v>167</v>
      </c>
      <c r="H22" s="11">
        <v>320022675</v>
      </c>
      <c r="I22" s="11" t="s">
        <v>31</v>
      </c>
      <c r="J22" s="11">
        <v>7102</v>
      </c>
      <c r="K22" s="11" t="s">
        <v>20</v>
      </c>
      <c r="L22" s="12">
        <v>0</v>
      </c>
      <c r="M22" s="12">
        <v>0</v>
      </c>
      <c r="N22" s="12">
        <v>1</v>
      </c>
      <c r="O22" s="12">
        <v>0</v>
      </c>
      <c r="P22" s="12">
        <v>0</v>
      </c>
      <c r="Q22" s="12">
        <v>0</v>
      </c>
      <c r="R22" s="12">
        <v>0</v>
      </c>
    </row>
    <row r="23" spans="1:18" x14ac:dyDescent="0.3">
      <c r="A23" s="7" t="str">
        <f>VLOOKUP(MONTH($B23),[232]Parameter!$P:$Q,2,FALSE)</f>
        <v>Mar</v>
      </c>
      <c r="B23" s="8">
        <f>VLOOKUP($G23,[232]Parameter!$V:$W,2,FALSE)</f>
        <v>46083</v>
      </c>
      <c r="C23" s="7" t="str">
        <f>VLOOKUP($I23,[232]Parameter!$A:$M,13,FALSE)</f>
        <v>CSD CAN</v>
      </c>
      <c r="D23" s="7" t="str">
        <f>VLOOKUP($I23,[232]Parameter!$A:$M,11,FALSE)</f>
        <v>CAN 250</v>
      </c>
      <c r="E23" s="7" t="str">
        <f>VLOOKUP($I23,[232]Parameter!$A:$N,14,FALSE)</f>
        <v>Pepsi Cola</v>
      </c>
      <c r="F23" s="9">
        <f t="shared" si="1"/>
        <v>9059</v>
      </c>
      <c r="G23" s="10" t="s">
        <v>167</v>
      </c>
      <c r="H23" s="11">
        <v>320022676</v>
      </c>
      <c r="I23" s="11" t="s">
        <v>32</v>
      </c>
      <c r="J23" s="11">
        <v>7101</v>
      </c>
      <c r="K23" s="11" t="s">
        <v>19</v>
      </c>
      <c r="L23" s="12">
        <v>9058</v>
      </c>
      <c r="M23" s="12">
        <v>1</v>
      </c>
      <c r="N23" s="12">
        <v>32</v>
      </c>
      <c r="O23" s="12">
        <v>0</v>
      </c>
      <c r="P23" s="12">
        <v>0</v>
      </c>
      <c r="Q23" s="12">
        <v>9059</v>
      </c>
      <c r="R23" s="12">
        <v>9059</v>
      </c>
    </row>
    <row r="24" spans="1:18" x14ac:dyDescent="0.3">
      <c r="A24" s="7" t="str">
        <f>VLOOKUP(MONTH($B24),[232]Parameter!$P:$Q,2,FALSE)</f>
        <v>Mar</v>
      </c>
      <c r="B24" s="8">
        <f>VLOOKUP($G24,[232]Parameter!$V:$W,2,FALSE)</f>
        <v>46083</v>
      </c>
      <c r="C24" s="7" t="str">
        <f>VLOOKUP($I24,[232]Parameter!$A:$M,13,FALSE)</f>
        <v>CSD CAN</v>
      </c>
      <c r="D24" s="7" t="str">
        <f>VLOOKUP($I24,[232]Parameter!$A:$M,11,FALSE)</f>
        <v>CAN 250</v>
      </c>
      <c r="E24" s="7" t="str">
        <f>VLOOKUP($I24,[232]Parameter!$A:$N,14,FALSE)</f>
        <v>Pepsi Cola</v>
      </c>
      <c r="F24" s="9">
        <f t="shared" si="1"/>
        <v>5933</v>
      </c>
      <c r="G24" s="10" t="s">
        <v>167</v>
      </c>
      <c r="H24" s="11">
        <v>320022676</v>
      </c>
      <c r="I24" s="11" t="s">
        <v>32</v>
      </c>
      <c r="J24" s="11">
        <v>7102</v>
      </c>
      <c r="K24" s="11" t="s">
        <v>20</v>
      </c>
      <c r="L24" s="12">
        <v>5933</v>
      </c>
      <c r="M24" s="12">
        <v>0</v>
      </c>
      <c r="N24" s="12">
        <v>13</v>
      </c>
      <c r="O24" s="12">
        <v>0</v>
      </c>
      <c r="P24" s="12">
        <v>0</v>
      </c>
      <c r="Q24" s="12">
        <v>5933</v>
      </c>
      <c r="R24" s="12">
        <v>5933</v>
      </c>
    </row>
    <row r="25" spans="1:18" x14ac:dyDescent="0.3">
      <c r="A25" s="7" t="str">
        <f>VLOOKUP(MONTH($B25),[232]Parameter!$P:$Q,2,FALSE)</f>
        <v>Mar</v>
      </c>
      <c r="B25" s="8">
        <f>VLOOKUP($G25,[232]Parameter!$V:$W,2,FALSE)</f>
        <v>46083</v>
      </c>
      <c r="C25" s="7" t="str">
        <f>VLOOKUP($I25,[232]Parameter!$A:$M,13,FALSE)</f>
        <v>CSD CAN</v>
      </c>
      <c r="D25" s="7" t="str">
        <f>VLOOKUP($I25,[232]Parameter!$A:$M,11,FALSE)</f>
        <v>CAN 250</v>
      </c>
      <c r="E25" s="7" t="str">
        <f>VLOOKUP($I25,[232]Parameter!$A:$N,14,FALSE)</f>
        <v>Pepsi Cola</v>
      </c>
      <c r="F25" s="9">
        <f t="shared" si="1"/>
        <v>22489</v>
      </c>
      <c r="G25" s="10" t="s">
        <v>167</v>
      </c>
      <c r="H25" s="11">
        <v>320022677</v>
      </c>
      <c r="I25" s="11" t="s">
        <v>33</v>
      </c>
      <c r="J25" s="11">
        <v>7101</v>
      </c>
      <c r="K25" s="11" t="s">
        <v>19</v>
      </c>
      <c r="L25" s="12">
        <v>22345</v>
      </c>
      <c r="M25" s="12">
        <v>144</v>
      </c>
      <c r="N25" s="12">
        <v>42</v>
      </c>
      <c r="O25" s="12">
        <v>0</v>
      </c>
      <c r="P25" s="12">
        <v>0</v>
      </c>
      <c r="Q25" s="12">
        <v>22489</v>
      </c>
      <c r="R25" s="12">
        <v>22489</v>
      </c>
    </row>
    <row r="26" spans="1:18" x14ac:dyDescent="0.3">
      <c r="A26" s="7" t="str">
        <f>VLOOKUP(MONTH($B26),[232]Parameter!$P:$Q,2,FALSE)</f>
        <v>Mar</v>
      </c>
      <c r="B26" s="8">
        <f>VLOOKUP($G26,[232]Parameter!$V:$W,2,FALSE)</f>
        <v>46083</v>
      </c>
      <c r="C26" s="7" t="str">
        <f>VLOOKUP($I26,[232]Parameter!$A:$M,13,FALSE)</f>
        <v>CSD CAN</v>
      </c>
      <c r="D26" s="7" t="str">
        <f>VLOOKUP($I26,[232]Parameter!$A:$M,11,FALSE)</f>
        <v>CAN 250</v>
      </c>
      <c r="E26" s="7" t="str">
        <f>VLOOKUP($I26,[232]Parameter!$A:$N,14,FALSE)</f>
        <v>Pepsi Cola</v>
      </c>
      <c r="F26" s="9">
        <f t="shared" si="1"/>
        <v>6976</v>
      </c>
      <c r="G26" s="10" t="s">
        <v>167</v>
      </c>
      <c r="H26" s="11">
        <v>320022677</v>
      </c>
      <c r="I26" s="11" t="s">
        <v>33</v>
      </c>
      <c r="J26" s="11">
        <v>7102</v>
      </c>
      <c r="K26" s="11" t="s">
        <v>20</v>
      </c>
      <c r="L26" s="12">
        <v>6976</v>
      </c>
      <c r="M26" s="12">
        <v>0</v>
      </c>
      <c r="N26" s="12">
        <v>32</v>
      </c>
      <c r="O26" s="12">
        <v>0</v>
      </c>
      <c r="P26" s="12">
        <v>0</v>
      </c>
      <c r="Q26" s="12">
        <v>6976</v>
      </c>
      <c r="R26" s="12">
        <v>6976</v>
      </c>
    </row>
    <row r="27" spans="1:18" x14ac:dyDescent="0.3">
      <c r="A27" s="7" t="str">
        <f>VLOOKUP(MONTH($B27),[232]Parameter!$P:$Q,2,FALSE)</f>
        <v>Mar</v>
      </c>
      <c r="B27" s="8">
        <f>VLOOKUP($G27,[232]Parameter!$V:$W,2,FALSE)</f>
        <v>46083</v>
      </c>
      <c r="C27" s="7" t="str">
        <f>VLOOKUP($I27,[232]Parameter!$A:$M,13,FALSE)</f>
        <v>CSD CAN</v>
      </c>
      <c r="D27" s="7" t="str">
        <f>VLOOKUP($I27,[232]Parameter!$A:$M,11,FALSE)</f>
        <v>CAN 330</v>
      </c>
      <c r="E27" s="7" t="str">
        <f>VLOOKUP($I27,[232]Parameter!$A:$N,14,FALSE)</f>
        <v>Pepsi Cola</v>
      </c>
      <c r="F27" s="9">
        <f t="shared" si="1"/>
        <v>24041</v>
      </c>
      <c r="G27" s="10" t="s">
        <v>167</v>
      </c>
      <c r="H27" s="11">
        <v>320022678</v>
      </c>
      <c r="I27" s="11" t="s">
        <v>34</v>
      </c>
      <c r="J27" s="11">
        <v>7101</v>
      </c>
      <c r="K27" s="11" t="s">
        <v>19</v>
      </c>
      <c r="L27" s="12">
        <v>24036</v>
      </c>
      <c r="M27" s="12">
        <v>5</v>
      </c>
      <c r="N27" s="12">
        <v>55</v>
      </c>
      <c r="O27" s="12">
        <v>0</v>
      </c>
      <c r="P27" s="12">
        <v>0</v>
      </c>
      <c r="Q27" s="12">
        <v>24041</v>
      </c>
      <c r="R27" s="12">
        <v>24041</v>
      </c>
    </row>
    <row r="28" spans="1:18" x14ac:dyDescent="0.3">
      <c r="A28" s="7" t="str">
        <f>VLOOKUP(MONTH($B28),[232]Parameter!$P:$Q,2,FALSE)</f>
        <v>Mar</v>
      </c>
      <c r="B28" s="8">
        <f>VLOOKUP($G28,[232]Parameter!$V:$W,2,FALSE)</f>
        <v>46083</v>
      </c>
      <c r="C28" s="7" t="str">
        <f>VLOOKUP($I28,[232]Parameter!$A:$M,13,FALSE)</f>
        <v>CSD CAN</v>
      </c>
      <c r="D28" s="7" t="str">
        <f>VLOOKUP($I28,[232]Parameter!$A:$M,11,FALSE)</f>
        <v>CAN 330</v>
      </c>
      <c r="E28" s="7" t="str">
        <f>VLOOKUP($I28,[232]Parameter!$A:$N,14,FALSE)</f>
        <v>Pepsi Cola</v>
      </c>
      <c r="F28" s="9">
        <f t="shared" si="1"/>
        <v>19617</v>
      </c>
      <c r="G28" s="10" t="s">
        <v>167</v>
      </c>
      <c r="H28" s="11">
        <v>320022678</v>
      </c>
      <c r="I28" s="11" t="s">
        <v>34</v>
      </c>
      <c r="J28" s="11">
        <v>7102</v>
      </c>
      <c r="K28" s="11" t="s">
        <v>20</v>
      </c>
      <c r="L28" s="12">
        <v>19617</v>
      </c>
      <c r="M28" s="12">
        <v>0</v>
      </c>
      <c r="N28" s="12">
        <v>29</v>
      </c>
      <c r="O28" s="12">
        <v>0</v>
      </c>
      <c r="P28" s="12">
        <v>0</v>
      </c>
      <c r="Q28" s="12">
        <v>19617</v>
      </c>
      <c r="R28" s="12">
        <v>19617</v>
      </c>
    </row>
    <row r="29" spans="1:18" x14ac:dyDescent="0.3">
      <c r="A29" s="7" t="str">
        <f>VLOOKUP(MONTH($B29),[232]Parameter!$P:$Q,2,FALSE)</f>
        <v>Mar</v>
      </c>
      <c r="B29" s="8">
        <f>VLOOKUP($G29,[232]Parameter!$V:$W,2,FALSE)</f>
        <v>46083</v>
      </c>
      <c r="C29" s="7" t="str">
        <f>VLOOKUP($I29,[232]Parameter!$A:$M,13,FALSE)</f>
        <v>CSD CAN</v>
      </c>
      <c r="D29" s="7" t="str">
        <f>VLOOKUP($I29,[232]Parameter!$A:$M,11,FALSE)</f>
        <v>CAN 330</v>
      </c>
      <c r="E29" s="7" t="str">
        <f>VLOOKUP($I29,[232]Parameter!$A:$N,14,FALSE)</f>
        <v>Pepsi Cola</v>
      </c>
      <c r="F29" s="9">
        <f t="shared" si="1"/>
        <v>20331</v>
      </c>
      <c r="G29" s="10" t="s">
        <v>167</v>
      </c>
      <c r="H29" s="11">
        <v>320022679</v>
      </c>
      <c r="I29" s="11" t="s">
        <v>35</v>
      </c>
      <c r="J29" s="11">
        <v>7101</v>
      </c>
      <c r="K29" s="11" t="s">
        <v>19</v>
      </c>
      <c r="L29" s="12">
        <v>20330</v>
      </c>
      <c r="M29" s="12">
        <v>1</v>
      </c>
      <c r="N29" s="12">
        <v>14</v>
      </c>
      <c r="O29" s="12">
        <v>0</v>
      </c>
      <c r="P29" s="12">
        <v>0</v>
      </c>
      <c r="Q29" s="12">
        <v>20331</v>
      </c>
      <c r="R29" s="12">
        <v>20331</v>
      </c>
    </row>
    <row r="30" spans="1:18" x14ac:dyDescent="0.3">
      <c r="A30" s="7" t="str">
        <f>VLOOKUP(MONTH($B30),[232]Parameter!$P:$Q,2,FALSE)</f>
        <v>Mar</v>
      </c>
      <c r="B30" s="8">
        <f>VLOOKUP($G30,[232]Parameter!$V:$W,2,FALSE)</f>
        <v>46083</v>
      </c>
      <c r="C30" s="7" t="str">
        <f>VLOOKUP($I30,[232]Parameter!$A:$M,13,FALSE)</f>
        <v>CSD CAN</v>
      </c>
      <c r="D30" s="7" t="str">
        <f>VLOOKUP($I30,[232]Parameter!$A:$M,11,FALSE)</f>
        <v>CAN 330</v>
      </c>
      <c r="E30" s="7" t="str">
        <f>VLOOKUP($I30,[232]Parameter!$A:$N,14,FALSE)</f>
        <v>Pepsi Cola</v>
      </c>
      <c r="F30" s="9">
        <f t="shared" si="1"/>
        <v>6444</v>
      </c>
      <c r="G30" s="10" t="s">
        <v>167</v>
      </c>
      <c r="H30" s="11">
        <v>320022679</v>
      </c>
      <c r="I30" s="11" t="s">
        <v>35</v>
      </c>
      <c r="J30" s="11">
        <v>7102</v>
      </c>
      <c r="K30" s="11" t="s">
        <v>20</v>
      </c>
      <c r="L30" s="12">
        <v>5404</v>
      </c>
      <c r="M30" s="12">
        <v>0</v>
      </c>
      <c r="N30" s="12">
        <v>7</v>
      </c>
      <c r="O30" s="12">
        <v>0</v>
      </c>
      <c r="P30" s="12">
        <v>1040</v>
      </c>
      <c r="Q30" s="12">
        <v>6444</v>
      </c>
      <c r="R30" s="12">
        <v>5404</v>
      </c>
    </row>
    <row r="31" spans="1:18" x14ac:dyDescent="0.3">
      <c r="A31" s="7" t="str">
        <f>VLOOKUP(MONTH($B31),[232]Parameter!$P:$Q,2,FALSE)</f>
        <v>Mar</v>
      </c>
      <c r="B31" s="8">
        <f>VLOOKUP($G31,[232]Parameter!$V:$W,2,FALSE)</f>
        <v>46083</v>
      </c>
      <c r="C31" s="7" t="str">
        <f>VLOOKUP($I31,[232]Parameter!$A:$M,13,FALSE)</f>
        <v>CSD CAN</v>
      </c>
      <c r="D31" s="7" t="str">
        <f>VLOOKUP($I31,[232]Parameter!$A:$M,11,FALSE)</f>
        <v>CAN 330</v>
      </c>
      <c r="E31" s="7" t="str">
        <f>VLOOKUP($I31,[232]Parameter!$A:$N,14,FALSE)</f>
        <v>Pepsi Cola</v>
      </c>
      <c r="F31" s="9">
        <f t="shared" si="1"/>
        <v>21427</v>
      </c>
      <c r="G31" s="10" t="s">
        <v>167</v>
      </c>
      <c r="H31" s="11">
        <v>320022683</v>
      </c>
      <c r="I31" s="11" t="s">
        <v>36</v>
      </c>
      <c r="J31" s="11">
        <v>7101</v>
      </c>
      <c r="K31" s="11" t="s">
        <v>19</v>
      </c>
      <c r="L31" s="12">
        <v>21427</v>
      </c>
      <c r="M31" s="12">
        <v>0</v>
      </c>
      <c r="N31" s="12">
        <v>2</v>
      </c>
      <c r="O31" s="12">
        <v>0</v>
      </c>
      <c r="P31" s="12">
        <v>0</v>
      </c>
      <c r="Q31" s="12">
        <v>21427</v>
      </c>
      <c r="R31" s="12">
        <v>21427</v>
      </c>
    </row>
    <row r="32" spans="1:18" x14ac:dyDescent="0.3">
      <c r="A32" s="7" t="str">
        <f>VLOOKUP(MONTH($B32),[232]Parameter!$P:$Q,2,FALSE)</f>
        <v>Mar</v>
      </c>
      <c r="B32" s="8">
        <f>VLOOKUP($G32,[232]Parameter!$V:$W,2,FALSE)</f>
        <v>46083</v>
      </c>
      <c r="C32" s="7" t="str">
        <f>VLOOKUP($I32,[232]Parameter!$A:$M,13,FALSE)</f>
        <v>CSD PET</v>
      </c>
      <c r="D32" s="7" t="str">
        <f>VLOOKUP($I32,[232]Parameter!$A:$M,11,FALSE)</f>
        <v>PET 640</v>
      </c>
      <c r="E32" s="7" t="str">
        <f>VLOOKUP($I32,[232]Parameter!$A:$N,14,FALSE)</f>
        <v>Pepsi Cola</v>
      </c>
      <c r="F32" s="9">
        <f t="shared" si="1"/>
        <v>0</v>
      </c>
      <c r="G32" s="10" t="s">
        <v>167</v>
      </c>
      <c r="H32" s="11">
        <v>320022724</v>
      </c>
      <c r="I32" s="11" t="s">
        <v>37</v>
      </c>
      <c r="J32" s="11">
        <v>7101</v>
      </c>
      <c r="K32" s="11" t="s">
        <v>19</v>
      </c>
      <c r="L32" s="12">
        <v>0</v>
      </c>
      <c r="M32" s="12">
        <v>0</v>
      </c>
      <c r="N32" s="12">
        <v>1</v>
      </c>
      <c r="O32" s="12">
        <v>0</v>
      </c>
      <c r="P32" s="12">
        <v>0</v>
      </c>
      <c r="Q32" s="12">
        <v>0</v>
      </c>
      <c r="R32" s="12">
        <v>0</v>
      </c>
    </row>
    <row r="33" spans="1:18" x14ac:dyDescent="0.3">
      <c r="A33" s="7" t="str">
        <f>VLOOKUP(MONTH($B33),[232]Parameter!$P:$Q,2,FALSE)</f>
        <v>Mar</v>
      </c>
      <c r="B33" s="8">
        <f>VLOOKUP($G33,[232]Parameter!$V:$W,2,FALSE)</f>
        <v>46083</v>
      </c>
      <c r="C33" s="7" t="str">
        <f>VLOOKUP($I33,[232]Parameter!$A:$M,13,FALSE)</f>
        <v>CSD PET</v>
      </c>
      <c r="D33" s="7" t="str">
        <f>VLOOKUP($I33,[232]Parameter!$A:$M,11,FALSE)</f>
        <v>PET 640</v>
      </c>
      <c r="E33" s="7" t="str">
        <f>VLOOKUP($I33,[232]Parameter!$A:$N,14,FALSE)</f>
        <v>Pepsi Cola</v>
      </c>
      <c r="F33" s="9">
        <f t="shared" si="1"/>
        <v>0</v>
      </c>
      <c r="G33" s="10" t="s">
        <v>167</v>
      </c>
      <c r="H33" s="11">
        <v>320022724</v>
      </c>
      <c r="I33" s="11" t="s">
        <v>37</v>
      </c>
      <c r="J33" s="11">
        <v>7102</v>
      </c>
      <c r="K33" s="11" t="s">
        <v>20</v>
      </c>
      <c r="L33" s="12">
        <v>0</v>
      </c>
      <c r="M33" s="12">
        <v>0</v>
      </c>
      <c r="N33" s="12">
        <v>8</v>
      </c>
      <c r="O33" s="12">
        <v>0</v>
      </c>
      <c r="P33" s="12">
        <v>0</v>
      </c>
      <c r="Q33" s="12">
        <v>0</v>
      </c>
      <c r="R33" s="12">
        <v>0</v>
      </c>
    </row>
    <row r="34" spans="1:18" x14ac:dyDescent="0.3">
      <c r="A34" s="7" t="str">
        <f>VLOOKUP(MONTH($B34),[232]Parameter!$P:$Q,2,FALSE)</f>
        <v>Mar</v>
      </c>
      <c r="B34" s="8">
        <f>VLOOKUP($G34,[232]Parameter!$V:$W,2,FALSE)</f>
        <v>46083</v>
      </c>
      <c r="C34" s="7" t="str">
        <f>VLOOKUP($I34,[232]Parameter!$A:$M,13,FALSE)</f>
        <v>NCB PET</v>
      </c>
      <c r="D34" s="7" t="str">
        <f>VLOOKUP($I34,[232]Parameter!$A:$M,11,FALSE)</f>
        <v>PET GTR 350 P12</v>
      </c>
      <c r="E34" s="7" t="str">
        <f>VLOOKUP($I34,[232]Parameter!$A:$N,14,FALSE)</f>
        <v>GATORADE</v>
      </c>
      <c r="F34" s="9">
        <f t="shared" si="1"/>
        <v>2893</v>
      </c>
      <c r="G34" s="10" t="s">
        <v>167</v>
      </c>
      <c r="H34" s="11">
        <v>320022735</v>
      </c>
      <c r="I34" s="11" t="s">
        <v>38</v>
      </c>
      <c r="J34" s="11">
        <v>7101</v>
      </c>
      <c r="K34" s="11" t="s">
        <v>19</v>
      </c>
      <c r="L34" s="12">
        <v>2893</v>
      </c>
      <c r="M34" s="12">
        <v>0</v>
      </c>
      <c r="N34" s="12">
        <v>0</v>
      </c>
      <c r="O34" s="12">
        <v>0</v>
      </c>
      <c r="P34" s="12">
        <v>0</v>
      </c>
      <c r="Q34" s="12">
        <v>2893</v>
      </c>
      <c r="R34" s="12">
        <v>2893</v>
      </c>
    </row>
    <row r="35" spans="1:18" x14ac:dyDescent="0.3">
      <c r="A35" s="7" t="str">
        <f>VLOOKUP(MONTH($B35),[232]Parameter!$P:$Q,2,FALSE)</f>
        <v>Mar</v>
      </c>
      <c r="B35" s="8">
        <f>VLOOKUP($G35,[232]Parameter!$V:$W,2,FALSE)</f>
        <v>46083</v>
      </c>
      <c r="C35" s="7" t="str">
        <f>VLOOKUP($I35,[232]Parameter!$A:$M,13,FALSE)</f>
        <v>NCB PET</v>
      </c>
      <c r="D35" s="7" t="str">
        <f>VLOOKUP($I35,[232]Parameter!$A:$M,11,FALSE)</f>
        <v>PET GTR 350 P12</v>
      </c>
      <c r="E35" s="7" t="str">
        <f>VLOOKUP($I35,[232]Parameter!$A:$N,14,FALSE)</f>
        <v>GATORADE</v>
      </c>
      <c r="F35" s="9">
        <f t="shared" si="1"/>
        <v>12998</v>
      </c>
      <c r="G35" s="10" t="s">
        <v>167</v>
      </c>
      <c r="H35" s="11">
        <v>320022735</v>
      </c>
      <c r="I35" s="11" t="s">
        <v>38</v>
      </c>
      <c r="J35" s="11">
        <v>7102</v>
      </c>
      <c r="K35" s="11" t="s">
        <v>20</v>
      </c>
      <c r="L35" s="12">
        <v>12998</v>
      </c>
      <c r="M35" s="12">
        <v>0</v>
      </c>
      <c r="N35" s="12">
        <v>0</v>
      </c>
      <c r="O35" s="12">
        <v>0</v>
      </c>
      <c r="P35" s="12">
        <v>0</v>
      </c>
      <c r="Q35" s="12">
        <v>12998</v>
      </c>
      <c r="R35" s="12">
        <v>12998</v>
      </c>
    </row>
    <row r="36" spans="1:18" x14ac:dyDescent="0.3">
      <c r="A36" s="7" t="str">
        <f>VLOOKUP(MONTH($B36),[232]Parameter!$P:$Q,2,FALSE)</f>
        <v>Mar</v>
      </c>
      <c r="B36" s="8">
        <f>VLOOKUP($G36,[232]Parameter!$V:$W,2,FALSE)</f>
        <v>46083</v>
      </c>
      <c r="C36" s="7" t="str">
        <f>VLOOKUP($I36,[232]Parameter!$A:$M,13,FALSE)</f>
        <v>CSD PMX</v>
      </c>
      <c r="D36" s="7" t="str">
        <f>VLOOKUP($I36,[232]Parameter!$A:$M,11,FALSE)</f>
        <v>BIB 10L</v>
      </c>
      <c r="E36" s="7" t="str">
        <f>VLOOKUP($I36,[232]Parameter!$A:$N,14,FALSE)</f>
        <v>PEPSI NO SUGAR</v>
      </c>
      <c r="F36" s="9">
        <f t="shared" si="1"/>
        <v>3283</v>
      </c>
      <c r="G36" s="10" t="s">
        <v>167</v>
      </c>
      <c r="H36" s="11">
        <v>320022756</v>
      </c>
      <c r="I36" s="11" t="s">
        <v>39</v>
      </c>
      <c r="J36" s="11">
        <v>7101</v>
      </c>
      <c r="K36" s="11" t="s">
        <v>19</v>
      </c>
      <c r="L36" s="12">
        <v>3283</v>
      </c>
      <c r="M36" s="12">
        <v>0</v>
      </c>
      <c r="N36" s="12">
        <v>2</v>
      </c>
      <c r="O36" s="12">
        <v>0</v>
      </c>
      <c r="P36" s="12">
        <v>0</v>
      </c>
      <c r="Q36" s="12">
        <v>3283</v>
      </c>
      <c r="R36" s="12">
        <v>3283</v>
      </c>
    </row>
    <row r="37" spans="1:18" x14ac:dyDescent="0.3">
      <c r="A37" s="7" t="str">
        <f>VLOOKUP(MONTH($B37),[232]Parameter!$P:$Q,2,FALSE)</f>
        <v>Mar</v>
      </c>
      <c r="B37" s="8">
        <f>VLOOKUP($G37,[232]Parameter!$V:$W,2,FALSE)</f>
        <v>46083</v>
      </c>
      <c r="C37" s="7" t="str">
        <f>VLOOKUP($I37,[232]Parameter!$A:$M,13,FALSE)</f>
        <v>CSD PMX</v>
      </c>
      <c r="D37" s="7" t="str">
        <f>VLOOKUP($I37,[232]Parameter!$A:$M,11,FALSE)</f>
        <v>BIB 10L</v>
      </c>
      <c r="E37" s="7" t="str">
        <f>VLOOKUP($I37,[232]Parameter!$A:$N,14,FALSE)</f>
        <v>PEPSI NO SUGAR</v>
      </c>
      <c r="F37" s="9">
        <f t="shared" si="1"/>
        <v>2512</v>
      </c>
      <c r="G37" s="10" t="s">
        <v>167</v>
      </c>
      <c r="H37" s="11">
        <v>320022756</v>
      </c>
      <c r="I37" s="11" t="s">
        <v>39</v>
      </c>
      <c r="J37" s="11">
        <v>7102</v>
      </c>
      <c r="K37" s="11" t="s">
        <v>20</v>
      </c>
      <c r="L37" s="12">
        <v>2032</v>
      </c>
      <c r="M37" s="12">
        <v>0</v>
      </c>
      <c r="N37" s="12">
        <v>2</v>
      </c>
      <c r="O37" s="12">
        <v>0</v>
      </c>
      <c r="P37" s="12">
        <v>480</v>
      </c>
      <c r="Q37" s="12">
        <v>2512</v>
      </c>
      <c r="R37" s="12">
        <v>2032</v>
      </c>
    </row>
    <row r="38" spans="1:18" x14ac:dyDescent="0.3">
      <c r="A38" s="7" t="str">
        <f>VLOOKUP(MONTH($B38),[232]Parameter!$P:$Q,2,FALSE)</f>
        <v>Mar</v>
      </c>
      <c r="B38" s="8">
        <f>VLOOKUP($G38,[232]Parameter!$V:$W,2,FALSE)</f>
        <v>46083</v>
      </c>
      <c r="C38" s="7" t="str">
        <f>VLOOKUP($I38,[232]Parameter!$A:$M,13,FALSE)</f>
        <v>CSD CAN</v>
      </c>
      <c r="D38" s="7" t="str">
        <f>VLOOKUP($I38,[232]Parameter!$A:$M,11,FALSE)</f>
        <v>CAN 330</v>
      </c>
      <c r="E38" s="7" t="str">
        <f>VLOOKUP($I38,[232]Parameter!$A:$N,14,FALSE)</f>
        <v>PEPSI NO SUGAR</v>
      </c>
      <c r="F38" s="9">
        <f t="shared" si="1"/>
        <v>16476</v>
      </c>
      <c r="G38" s="10" t="s">
        <v>167</v>
      </c>
      <c r="H38" s="11">
        <v>320022760</v>
      </c>
      <c r="I38" s="11" t="s">
        <v>40</v>
      </c>
      <c r="J38" s="11">
        <v>7101</v>
      </c>
      <c r="K38" s="11" t="s">
        <v>19</v>
      </c>
      <c r="L38" s="12">
        <v>16476</v>
      </c>
      <c r="M38" s="12">
        <v>0</v>
      </c>
      <c r="N38" s="12">
        <v>32</v>
      </c>
      <c r="O38" s="12">
        <v>0</v>
      </c>
      <c r="P38" s="12">
        <v>0</v>
      </c>
      <c r="Q38" s="12">
        <v>16476</v>
      </c>
      <c r="R38" s="12">
        <v>16476</v>
      </c>
    </row>
    <row r="39" spans="1:18" x14ac:dyDescent="0.3">
      <c r="A39" s="7" t="str">
        <f>VLOOKUP(MONTH($B39),[232]Parameter!$P:$Q,2,FALSE)</f>
        <v>Mar</v>
      </c>
      <c r="B39" s="8">
        <f>VLOOKUP($G39,[232]Parameter!$V:$W,2,FALSE)</f>
        <v>46083</v>
      </c>
      <c r="C39" s="7" t="str">
        <f>VLOOKUP($I39,[232]Parameter!$A:$M,13,FALSE)</f>
        <v>CSD CAN</v>
      </c>
      <c r="D39" s="7" t="str">
        <f>VLOOKUP($I39,[232]Parameter!$A:$M,11,FALSE)</f>
        <v>CAN 330</v>
      </c>
      <c r="E39" s="7" t="str">
        <f>VLOOKUP($I39,[232]Parameter!$A:$N,14,FALSE)</f>
        <v>PEPSI NO SUGAR</v>
      </c>
      <c r="F39" s="9">
        <f t="shared" si="1"/>
        <v>3141</v>
      </c>
      <c r="G39" s="10" t="s">
        <v>167</v>
      </c>
      <c r="H39" s="11">
        <v>320022760</v>
      </c>
      <c r="I39" s="11" t="s">
        <v>40</v>
      </c>
      <c r="J39" s="11">
        <v>7102</v>
      </c>
      <c r="K39" s="11" t="s">
        <v>20</v>
      </c>
      <c r="L39" s="12">
        <v>3141</v>
      </c>
      <c r="M39" s="12">
        <v>0</v>
      </c>
      <c r="N39" s="12">
        <v>8</v>
      </c>
      <c r="O39" s="12">
        <v>0</v>
      </c>
      <c r="P39" s="12">
        <v>0</v>
      </c>
      <c r="Q39" s="12">
        <v>3141</v>
      </c>
      <c r="R39" s="12">
        <v>3141</v>
      </c>
    </row>
    <row r="40" spans="1:18" x14ac:dyDescent="0.3">
      <c r="A40" s="7" t="str">
        <f>VLOOKUP(MONTH($B40),[232]Parameter!$P:$Q,2,FALSE)</f>
        <v>Mar</v>
      </c>
      <c r="B40" s="8">
        <f>VLOOKUP($G40,[232]Parameter!$V:$W,2,FALSE)</f>
        <v>46083</v>
      </c>
      <c r="C40" s="7" t="str">
        <f>VLOOKUP($I40,[232]Parameter!$A:$M,13,FALSE)</f>
        <v>CSD PET</v>
      </c>
      <c r="D40" s="7" t="str">
        <f>VLOOKUP($I40,[232]Parameter!$A:$M,11,FALSE)</f>
        <v>PET 2000</v>
      </c>
      <c r="E40" s="7" t="str">
        <f>VLOOKUP($I40,[232]Parameter!$A:$N,14,FALSE)</f>
        <v>PEPSI NO SUGAR</v>
      </c>
      <c r="F40" s="9">
        <f t="shared" si="1"/>
        <v>28685</v>
      </c>
      <c r="G40" s="10" t="s">
        <v>167</v>
      </c>
      <c r="H40" s="11">
        <v>320022767</v>
      </c>
      <c r="I40" s="11" t="s">
        <v>41</v>
      </c>
      <c r="J40" s="11">
        <v>7101</v>
      </c>
      <c r="K40" s="11" t="s">
        <v>19</v>
      </c>
      <c r="L40" s="12">
        <v>28685</v>
      </c>
      <c r="M40" s="12">
        <v>0</v>
      </c>
      <c r="N40" s="12">
        <v>15</v>
      </c>
      <c r="O40" s="12">
        <v>0</v>
      </c>
      <c r="P40" s="12">
        <v>0</v>
      </c>
      <c r="Q40" s="12">
        <v>28685</v>
      </c>
      <c r="R40" s="12">
        <v>28685</v>
      </c>
    </row>
    <row r="41" spans="1:18" x14ac:dyDescent="0.3">
      <c r="A41" s="7" t="str">
        <f>VLOOKUP(MONTH($B41),[232]Parameter!$P:$Q,2,FALSE)</f>
        <v>Mar</v>
      </c>
      <c r="B41" s="8">
        <f>VLOOKUP($G41,[232]Parameter!$V:$W,2,FALSE)</f>
        <v>46083</v>
      </c>
      <c r="C41" s="7" t="str">
        <f>VLOOKUP($I41,[232]Parameter!$A:$M,13,FALSE)</f>
        <v>CSD PET</v>
      </c>
      <c r="D41" s="7" t="str">
        <f>VLOOKUP($I41,[232]Parameter!$A:$M,11,FALSE)</f>
        <v>PET 2000</v>
      </c>
      <c r="E41" s="7" t="str">
        <f>VLOOKUP($I41,[232]Parameter!$A:$N,14,FALSE)</f>
        <v>PEPSI NO SUGAR</v>
      </c>
      <c r="F41" s="9">
        <f t="shared" si="1"/>
        <v>84</v>
      </c>
      <c r="G41" s="10" t="s">
        <v>167</v>
      </c>
      <c r="H41" s="11">
        <v>320022767</v>
      </c>
      <c r="I41" s="11" t="s">
        <v>41</v>
      </c>
      <c r="J41" s="11">
        <v>7102</v>
      </c>
      <c r="K41" s="11" t="s">
        <v>20</v>
      </c>
      <c r="L41" s="12">
        <v>84</v>
      </c>
      <c r="M41" s="12">
        <v>0</v>
      </c>
      <c r="N41" s="12">
        <v>1</v>
      </c>
      <c r="O41" s="12">
        <v>0</v>
      </c>
      <c r="P41" s="12">
        <v>0</v>
      </c>
      <c r="Q41" s="12">
        <v>84</v>
      </c>
      <c r="R41" s="12">
        <v>84</v>
      </c>
    </row>
    <row r="42" spans="1:18" x14ac:dyDescent="0.3">
      <c r="A42" s="7" t="str">
        <f>VLOOKUP(MONTH($B42),[232]Parameter!$P:$Q,2,FALSE)</f>
        <v>Mar</v>
      </c>
      <c r="B42" s="8">
        <f>VLOOKUP($G42,[232]Parameter!$V:$W,2,FALSE)</f>
        <v>46083</v>
      </c>
      <c r="C42" s="7" t="str">
        <f>VLOOKUP($I42,[232]Parameter!$A:$M,13,FALSE)</f>
        <v>NCB PET</v>
      </c>
      <c r="D42" s="7" t="str">
        <f>VLOOKUP($I42,[232]Parameter!$A:$M,11,FALSE)</f>
        <v>PET GTR 500 P12</v>
      </c>
      <c r="E42" s="7" t="str">
        <f>VLOOKUP($I42,[232]Parameter!$A:$N,14,FALSE)</f>
        <v>GATORADE</v>
      </c>
      <c r="F42" s="9">
        <f t="shared" si="1"/>
        <v>1414</v>
      </c>
      <c r="G42" s="10" t="s">
        <v>167</v>
      </c>
      <c r="H42" s="11">
        <v>320022802</v>
      </c>
      <c r="I42" s="11" t="s">
        <v>42</v>
      </c>
      <c r="J42" s="11">
        <v>7101</v>
      </c>
      <c r="K42" s="11" t="s">
        <v>19</v>
      </c>
      <c r="L42" s="12">
        <v>1414</v>
      </c>
      <c r="M42" s="12">
        <v>0</v>
      </c>
      <c r="N42" s="12">
        <v>0</v>
      </c>
      <c r="O42" s="12">
        <v>0</v>
      </c>
      <c r="P42" s="12">
        <v>0</v>
      </c>
      <c r="Q42" s="12">
        <v>1414</v>
      </c>
      <c r="R42" s="12">
        <v>1414</v>
      </c>
    </row>
    <row r="43" spans="1:18" x14ac:dyDescent="0.3">
      <c r="A43" s="7" t="str">
        <f>VLOOKUP(MONTH($B43),[232]Parameter!$P:$Q,2,FALSE)</f>
        <v>Mar</v>
      </c>
      <c r="B43" s="8">
        <f>VLOOKUP($G43,[232]Parameter!$V:$W,2,FALSE)</f>
        <v>46083</v>
      </c>
      <c r="C43" s="7" t="str">
        <f>VLOOKUP($I43,[232]Parameter!$A:$M,13,FALSE)</f>
        <v>NCB PET</v>
      </c>
      <c r="D43" s="7" t="str">
        <f>VLOOKUP($I43,[232]Parameter!$A:$M,11,FALSE)</f>
        <v>PET GTR 500 P12</v>
      </c>
      <c r="E43" s="7" t="str">
        <f>VLOOKUP($I43,[232]Parameter!$A:$N,14,FALSE)</f>
        <v>GATORADE</v>
      </c>
      <c r="F43" s="9">
        <f t="shared" si="1"/>
        <v>789</v>
      </c>
      <c r="G43" s="10" t="s">
        <v>167</v>
      </c>
      <c r="H43" s="11">
        <v>320022802</v>
      </c>
      <c r="I43" s="11" t="s">
        <v>42</v>
      </c>
      <c r="J43" s="11">
        <v>7102</v>
      </c>
      <c r="K43" s="11" t="s">
        <v>20</v>
      </c>
      <c r="L43" s="12">
        <v>789</v>
      </c>
      <c r="M43" s="12">
        <v>0</v>
      </c>
      <c r="N43" s="12">
        <v>0</v>
      </c>
      <c r="O43" s="12">
        <v>0</v>
      </c>
      <c r="P43" s="12">
        <v>0</v>
      </c>
      <c r="Q43" s="12">
        <v>789</v>
      </c>
      <c r="R43" s="12">
        <v>789</v>
      </c>
    </row>
    <row r="44" spans="1:18" x14ac:dyDescent="0.3">
      <c r="A44" s="7" t="str">
        <f>VLOOKUP(MONTH($B44),[232]Parameter!$P:$Q,2,FALSE)</f>
        <v>Mar</v>
      </c>
      <c r="B44" s="8">
        <f>VLOOKUP($G44,[232]Parameter!$V:$W,2,FALSE)</f>
        <v>46083</v>
      </c>
      <c r="C44" s="7" t="str">
        <f>VLOOKUP($I44,[232]Parameter!$A:$M,13,FALSE)</f>
        <v>CSD PMX</v>
      </c>
      <c r="D44" s="7" t="str">
        <f>VLOOKUP($I44,[232]Parameter!$A:$M,11,FALSE)</f>
        <v>BIB 10L</v>
      </c>
      <c r="E44" s="7" t="str">
        <f>VLOOKUP($I44,[232]Parameter!$A:$N,14,FALSE)</f>
        <v>MRD Orange</v>
      </c>
      <c r="F44" s="9">
        <f t="shared" si="1"/>
        <v>1089</v>
      </c>
      <c r="G44" s="10" t="s">
        <v>167</v>
      </c>
      <c r="H44" s="11">
        <v>320022804</v>
      </c>
      <c r="I44" s="11" t="s">
        <v>43</v>
      </c>
      <c r="J44" s="11">
        <v>7101</v>
      </c>
      <c r="K44" s="11" t="s">
        <v>19</v>
      </c>
      <c r="L44" s="12">
        <v>1089</v>
      </c>
      <c r="M44" s="12">
        <v>0</v>
      </c>
      <c r="N44" s="12">
        <v>11</v>
      </c>
      <c r="O44" s="12">
        <v>0</v>
      </c>
      <c r="P44" s="12">
        <v>0</v>
      </c>
      <c r="Q44" s="12">
        <v>1089</v>
      </c>
      <c r="R44" s="12">
        <v>1089</v>
      </c>
    </row>
    <row r="45" spans="1:18" x14ac:dyDescent="0.3">
      <c r="A45" s="7" t="str">
        <f>VLOOKUP(MONTH($B45),[232]Parameter!$P:$Q,2,FALSE)</f>
        <v>Mar</v>
      </c>
      <c r="B45" s="8">
        <f>VLOOKUP($G45,[232]Parameter!$V:$W,2,FALSE)</f>
        <v>46083</v>
      </c>
      <c r="C45" s="7" t="str">
        <f>VLOOKUP($I45,[232]Parameter!$A:$M,13,FALSE)</f>
        <v>CSD PMX</v>
      </c>
      <c r="D45" s="7" t="str">
        <f>VLOOKUP($I45,[232]Parameter!$A:$M,11,FALSE)</f>
        <v>BIB 10L</v>
      </c>
      <c r="E45" s="7" t="str">
        <f>VLOOKUP($I45,[232]Parameter!$A:$N,14,FALSE)</f>
        <v>MRD Orange</v>
      </c>
      <c r="F45" s="9">
        <f t="shared" si="1"/>
        <v>1035</v>
      </c>
      <c r="G45" s="10" t="s">
        <v>167</v>
      </c>
      <c r="H45" s="11">
        <v>320022804</v>
      </c>
      <c r="I45" s="11" t="s">
        <v>43</v>
      </c>
      <c r="J45" s="11">
        <v>7102</v>
      </c>
      <c r="K45" s="11" t="s">
        <v>20</v>
      </c>
      <c r="L45" s="12">
        <v>1035</v>
      </c>
      <c r="M45" s="12">
        <v>0</v>
      </c>
      <c r="N45" s="12">
        <v>1</v>
      </c>
      <c r="O45" s="12">
        <v>0</v>
      </c>
      <c r="P45" s="12">
        <v>0</v>
      </c>
      <c r="Q45" s="12">
        <v>1035</v>
      </c>
      <c r="R45" s="12">
        <v>1035</v>
      </c>
    </row>
    <row r="46" spans="1:18" x14ac:dyDescent="0.3">
      <c r="A46" s="7" t="str">
        <f>VLOOKUP(MONTH($B46),[232]Parameter!$P:$Q,2,FALSE)</f>
        <v>Mar</v>
      </c>
      <c r="B46" s="8">
        <f>VLOOKUP($G46,[232]Parameter!$V:$W,2,FALSE)</f>
        <v>46083</v>
      </c>
      <c r="C46" s="7" t="str">
        <f>VLOOKUP($I46,[232]Parameter!$A:$M,13,FALSE)</f>
        <v>CSD PMX</v>
      </c>
      <c r="D46" s="7" t="str">
        <f>VLOOKUP($I46,[232]Parameter!$A:$M,11,FALSE)</f>
        <v>BIB 10L</v>
      </c>
      <c r="E46" s="7" t="str">
        <f>VLOOKUP($I46,[232]Parameter!$A:$N,14,FALSE)</f>
        <v>MRD Strawberry</v>
      </c>
      <c r="F46" s="9">
        <f t="shared" si="1"/>
        <v>705</v>
      </c>
      <c r="G46" s="10" t="s">
        <v>167</v>
      </c>
      <c r="H46" s="11">
        <v>320022805</v>
      </c>
      <c r="I46" s="11" t="s">
        <v>44</v>
      </c>
      <c r="J46" s="11">
        <v>7101</v>
      </c>
      <c r="K46" s="11" t="s">
        <v>19</v>
      </c>
      <c r="L46" s="12">
        <v>705</v>
      </c>
      <c r="M46" s="12">
        <v>0</v>
      </c>
      <c r="N46" s="12">
        <v>6</v>
      </c>
      <c r="O46" s="12">
        <v>0</v>
      </c>
      <c r="P46" s="12">
        <v>0</v>
      </c>
      <c r="Q46" s="12">
        <v>705</v>
      </c>
      <c r="R46" s="12">
        <v>705</v>
      </c>
    </row>
    <row r="47" spans="1:18" x14ac:dyDescent="0.3">
      <c r="A47" s="7" t="str">
        <f>VLOOKUP(MONTH($B47),[232]Parameter!$P:$Q,2,FALSE)</f>
        <v>Mar</v>
      </c>
      <c r="B47" s="8">
        <f>VLOOKUP($G47,[232]Parameter!$V:$W,2,FALSE)</f>
        <v>46083</v>
      </c>
      <c r="C47" s="7" t="str">
        <f>VLOOKUP($I47,[232]Parameter!$A:$M,13,FALSE)</f>
        <v>CSD PMX</v>
      </c>
      <c r="D47" s="7" t="str">
        <f>VLOOKUP($I47,[232]Parameter!$A:$M,11,FALSE)</f>
        <v>BIB 10L</v>
      </c>
      <c r="E47" s="7" t="str">
        <f>VLOOKUP($I47,[232]Parameter!$A:$N,14,FALSE)</f>
        <v>MRD Strawberry</v>
      </c>
      <c r="F47" s="9">
        <f t="shared" si="1"/>
        <v>1704</v>
      </c>
      <c r="G47" s="10" t="s">
        <v>167</v>
      </c>
      <c r="H47" s="11">
        <v>320022805</v>
      </c>
      <c r="I47" s="11" t="s">
        <v>44</v>
      </c>
      <c r="J47" s="11">
        <v>7102</v>
      </c>
      <c r="K47" s="11" t="s">
        <v>20</v>
      </c>
      <c r="L47" s="12">
        <v>1704</v>
      </c>
      <c r="M47" s="12">
        <v>0</v>
      </c>
      <c r="N47" s="12">
        <v>13</v>
      </c>
      <c r="O47" s="12">
        <v>0</v>
      </c>
      <c r="P47" s="12">
        <v>0</v>
      </c>
      <c r="Q47" s="12">
        <v>1704</v>
      </c>
      <c r="R47" s="12">
        <v>1704</v>
      </c>
    </row>
    <row r="48" spans="1:18" x14ac:dyDescent="0.3">
      <c r="A48" s="7" t="str">
        <f>VLOOKUP(MONTH($B48),[232]Parameter!$P:$Q,2,FALSE)</f>
        <v>Mar</v>
      </c>
      <c r="B48" s="8">
        <f>VLOOKUP($G48,[232]Parameter!$V:$W,2,FALSE)</f>
        <v>46083</v>
      </c>
      <c r="C48" s="7" t="str">
        <f>VLOOKUP($I48,[232]Parameter!$A:$M,13,FALSE)</f>
        <v>CSD PMX</v>
      </c>
      <c r="D48" s="7" t="str">
        <f>VLOOKUP($I48,[232]Parameter!$A:$M,11,FALSE)</f>
        <v>BIB 10L</v>
      </c>
      <c r="E48" s="7" t="str">
        <f>VLOOKUP($I48,[232]Parameter!$A:$N,14,FALSE)</f>
        <v>MRD Strawberry</v>
      </c>
      <c r="F48" s="9">
        <f t="shared" si="1"/>
        <v>589</v>
      </c>
      <c r="G48" s="10" t="s">
        <v>167</v>
      </c>
      <c r="H48" s="11">
        <v>320022806</v>
      </c>
      <c r="I48" s="11" t="s">
        <v>45</v>
      </c>
      <c r="J48" s="11">
        <v>7101</v>
      </c>
      <c r="K48" s="11" t="s">
        <v>19</v>
      </c>
      <c r="L48" s="12">
        <v>589</v>
      </c>
      <c r="M48" s="12">
        <v>0</v>
      </c>
      <c r="N48" s="12">
        <v>0</v>
      </c>
      <c r="O48" s="12">
        <v>0</v>
      </c>
      <c r="P48" s="12">
        <v>0</v>
      </c>
      <c r="Q48" s="12">
        <v>589</v>
      </c>
      <c r="R48" s="12">
        <v>589</v>
      </c>
    </row>
    <row r="49" spans="1:18" x14ac:dyDescent="0.3">
      <c r="A49" s="7" t="str">
        <f>VLOOKUP(MONTH($B49),[232]Parameter!$P:$Q,2,FALSE)</f>
        <v>Mar</v>
      </c>
      <c r="B49" s="8">
        <f>VLOOKUP($G49,[232]Parameter!$V:$W,2,FALSE)</f>
        <v>46083</v>
      </c>
      <c r="C49" s="7" t="str">
        <f>VLOOKUP($I49,[232]Parameter!$A:$M,13,FALSE)</f>
        <v>NCB PET</v>
      </c>
      <c r="D49" s="7" t="str">
        <f>VLOOKUP($I49,[232]Parameter!$A:$M,11,FALSE)</f>
        <v>PET NCB 445</v>
      </c>
      <c r="E49" s="7" t="str">
        <f>VLOOKUP($I49,[232]Parameter!$A:$N,14,FALSE)</f>
        <v>Lipton</v>
      </c>
      <c r="F49" s="9">
        <f t="shared" si="1"/>
        <v>1934</v>
      </c>
      <c r="G49" s="10" t="s">
        <v>167</v>
      </c>
      <c r="H49" s="11">
        <v>320022818</v>
      </c>
      <c r="I49" s="11" t="s">
        <v>46</v>
      </c>
      <c r="J49" s="11">
        <v>7101</v>
      </c>
      <c r="K49" s="11" t="s">
        <v>19</v>
      </c>
      <c r="L49" s="12">
        <v>614</v>
      </c>
      <c r="M49" s="12">
        <v>0</v>
      </c>
      <c r="N49" s="12">
        <v>0</v>
      </c>
      <c r="O49" s="12">
        <v>0</v>
      </c>
      <c r="P49" s="12">
        <v>1320</v>
      </c>
      <c r="Q49" s="12">
        <v>1934</v>
      </c>
      <c r="R49" s="12">
        <v>614</v>
      </c>
    </row>
    <row r="50" spans="1:18" x14ac:dyDescent="0.3">
      <c r="A50" s="7" t="str">
        <f>VLOOKUP(MONTH($B50),[232]Parameter!$P:$Q,2,FALSE)</f>
        <v>Mar</v>
      </c>
      <c r="B50" s="8">
        <f>VLOOKUP($G50,[232]Parameter!$V:$W,2,FALSE)</f>
        <v>46083</v>
      </c>
      <c r="C50" s="7" t="str">
        <f>VLOOKUP($I50,[232]Parameter!$A:$M,13,FALSE)</f>
        <v>NCB PET</v>
      </c>
      <c r="D50" s="7" t="str">
        <f>VLOOKUP($I50,[232]Parameter!$A:$M,11,FALSE)</f>
        <v>PET NCB 445</v>
      </c>
      <c r="E50" s="7" t="str">
        <f>VLOOKUP($I50,[232]Parameter!$A:$N,14,FALSE)</f>
        <v>Lipton</v>
      </c>
      <c r="F50" s="9">
        <f t="shared" si="1"/>
        <v>16412</v>
      </c>
      <c r="G50" s="10" t="s">
        <v>167</v>
      </c>
      <c r="H50" s="11">
        <v>320022818</v>
      </c>
      <c r="I50" s="11" t="s">
        <v>46</v>
      </c>
      <c r="J50" s="11">
        <v>7102</v>
      </c>
      <c r="K50" s="11" t="s">
        <v>20</v>
      </c>
      <c r="L50" s="12">
        <v>16412</v>
      </c>
      <c r="M50" s="12">
        <v>0</v>
      </c>
      <c r="N50" s="12">
        <v>0</v>
      </c>
      <c r="O50" s="12">
        <v>0</v>
      </c>
      <c r="P50" s="12">
        <v>0</v>
      </c>
      <c r="Q50" s="12">
        <v>16412</v>
      </c>
      <c r="R50" s="12">
        <v>16412</v>
      </c>
    </row>
    <row r="51" spans="1:18" x14ac:dyDescent="0.3">
      <c r="A51" s="7" t="str">
        <f>VLOOKUP(MONTH($B51),[232]Parameter!$P:$Q,2,FALSE)</f>
        <v>Mar</v>
      </c>
      <c r="B51" s="8">
        <f>VLOOKUP($G51,[232]Parameter!$V:$W,2,FALSE)</f>
        <v>46083</v>
      </c>
      <c r="C51" s="7" t="str">
        <f>VLOOKUP($I51,[232]Parameter!$A:$M,13,FALSE)</f>
        <v>CSD PET</v>
      </c>
      <c r="D51" s="7" t="str">
        <f>VLOOKUP($I51,[232]Parameter!$A:$M,11,FALSE)</f>
        <v>PET 450</v>
      </c>
      <c r="E51" s="7" t="str">
        <f>VLOOKUP($I51,[232]Parameter!$A:$N,14,FALSE)</f>
        <v>7-Up</v>
      </c>
      <c r="F51" s="9">
        <f t="shared" si="1"/>
        <v>439</v>
      </c>
      <c r="G51" s="10" t="s">
        <v>167</v>
      </c>
      <c r="H51" s="11">
        <v>320022837</v>
      </c>
      <c r="I51" s="11" t="s">
        <v>47</v>
      </c>
      <c r="J51" s="11">
        <v>7101</v>
      </c>
      <c r="K51" s="11" t="s">
        <v>19</v>
      </c>
      <c r="L51" s="12">
        <v>439</v>
      </c>
      <c r="M51" s="12">
        <v>0</v>
      </c>
      <c r="N51" s="12">
        <v>5</v>
      </c>
      <c r="O51" s="12">
        <v>0</v>
      </c>
      <c r="P51" s="12">
        <v>0</v>
      </c>
      <c r="Q51" s="12">
        <v>439</v>
      </c>
      <c r="R51" s="12">
        <v>439</v>
      </c>
    </row>
    <row r="52" spans="1:18" x14ac:dyDescent="0.3">
      <c r="A52" s="7" t="str">
        <f>VLOOKUP(MONTH($B52),[232]Parameter!$P:$Q,2,FALSE)</f>
        <v>Mar</v>
      </c>
      <c r="B52" s="8">
        <f>VLOOKUP($G52,[232]Parameter!$V:$W,2,FALSE)</f>
        <v>46083</v>
      </c>
      <c r="C52" s="7" t="str">
        <f>VLOOKUP($I52,[232]Parameter!$A:$M,13,FALSE)</f>
        <v>CSD PET</v>
      </c>
      <c r="D52" s="7" t="str">
        <f>VLOOKUP($I52,[232]Parameter!$A:$M,11,FALSE)</f>
        <v>PET 450</v>
      </c>
      <c r="E52" s="7" t="str">
        <f>VLOOKUP($I52,[232]Parameter!$A:$N,14,FALSE)</f>
        <v>7-Up</v>
      </c>
      <c r="F52" s="9">
        <f t="shared" si="1"/>
        <v>0</v>
      </c>
      <c r="G52" s="10" t="s">
        <v>167</v>
      </c>
      <c r="H52" s="11">
        <v>320022837</v>
      </c>
      <c r="I52" s="11" t="s">
        <v>47</v>
      </c>
      <c r="J52" s="11">
        <v>7102</v>
      </c>
      <c r="K52" s="11" t="s">
        <v>20</v>
      </c>
      <c r="L52" s="12">
        <v>0</v>
      </c>
      <c r="M52" s="12">
        <v>0</v>
      </c>
      <c r="N52" s="12">
        <v>366</v>
      </c>
      <c r="O52" s="12">
        <v>0</v>
      </c>
      <c r="P52" s="12">
        <v>0</v>
      </c>
      <c r="Q52" s="12">
        <v>0</v>
      </c>
      <c r="R52" s="12">
        <v>0</v>
      </c>
    </row>
    <row r="53" spans="1:18" x14ac:dyDescent="0.3">
      <c r="A53" s="7" t="str">
        <f>VLOOKUP(MONTH($B53),[232]Parameter!$P:$Q,2,FALSE)</f>
        <v>Mar</v>
      </c>
      <c r="B53" s="8">
        <f>VLOOKUP($G53,[232]Parameter!$V:$W,2,FALSE)</f>
        <v>46083</v>
      </c>
      <c r="C53" s="7" t="str">
        <f>VLOOKUP($I53,[232]Parameter!$A:$M,13,FALSE)</f>
        <v>CSD PET</v>
      </c>
      <c r="D53" s="7" t="str">
        <f>VLOOKUP($I53,[232]Parameter!$A:$M,11,FALSE)</f>
        <v>PET 350 P24</v>
      </c>
      <c r="E53" s="7" t="str">
        <f>VLOOKUP($I53,[232]Parameter!$A:$N,14,FALSE)</f>
        <v>Pepsi Cola</v>
      </c>
      <c r="F53" s="9">
        <f t="shared" si="1"/>
        <v>490</v>
      </c>
      <c r="G53" s="10" t="s">
        <v>167</v>
      </c>
      <c r="H53" s="11">
        <v>320022839</v>
      </c>
      <c r="I53" s="11" t="s">
        <v>48</v>
      </c>
      <c r="J53" s="11">
        <v>7101</v>
      </c>
      <c r="K53" s="11" t="s">
        <v>19</v>
      </c>
      <c r="L53" s="12">
        <v>490</v>
      </c>
      <c r="M53" s="12">
        <v>0</v>
      </c>
      <c r="N53" s="12">
        <v>8</v>
      </c>
      <c r="O53" s="12">
        <v>0</v>
      </c>
      <c r="P53" s="12">
        <v>0</v>
      </c>
      <c r="Q53" s="12">
        <v>490</v>
      </c>
      <c r="R53" s="12">
        <v>490</v>
      </c>
    </row>
    <row r="54" spans="1:18" x14ac:dyDescent="0.3">
      <c r="A54" s="7" t="str">
        <f>VLOOKUP(MONTH($B54),[232]Parameter!$P:$Q,2,FALSE)</f>
        <v>Mar</v>
      </c>
      <c r="B54" s="8">
        <f>VLOOKUP($G54,[232]Parameter!$V:$W,2,FALSE)</f>
        <v>46083</v>
      </c>
      <c r="C54" s="7" t="str">
        <f>VLOOKUP($I54,[232]Parameter!$A:$M,13,FALSE)</f>
        <v>CSD PET</v>
      </c>
      <c r="D54" s="7" t="str">
        <f>VLOOKUP($I54,[232]Parameter!$A:$M,11,FALSE)</f>
        <v>PET 350 P24</v>
      </c>
      <c r="E54" s="7" t="str">
        <f>VLOOKUP($I54,[232]Parameter!$A:$N,14,FALSE)</f>
        <v>Pepsi Cola</v>
      </c>
      <c r="F54" s="9">
        <f t="shared" si="1"/>
        <v>601</v>
      </c>
      <c r="G54" s="10" t="s">
        <v>167</v>
      </c>
      <c r="H54" s="11">
        <v>320022839</v>
      </c>
      <c r="I54" s="11" t="s">
        <v>48</v>
      </c>
      <c r="J54" s="11">
        <v>7102</v>
      </c>
      <c r="K54" s="11" t="s">
        <v>20</v>
      </c>
      <c r="L54" s="12">
        <v>601</v>
      </c>
      <c r="M54" s="12">
        <v>0</v>
      </c>
      <c r="N54" s="12">
        <v>8</v>
      </c>
      <c r="O54" s="12">
        <v>0</v>
      </c>
      <c r="P54" s="12">
        <v>0</v>
      </c>
      <c r="Q54" s="12">
        <v>601</v>
      </c>
      <c r="R54" s="12">
        <v>601</v>
      </c>
    </row>
    <row r="55" spans="1:18" x14ac:dyDescent="0.3">
      <c r="A55" s="7" t="str">
        <f>VLOOKUP(MONTH($B55),[232]Parameter!$P:$Q,2,FALSE)</f>
        <v>Mar</v>
      </c>
      <c r="B55" s="8">
        <f>VLOOKUP($G55,[232]Parameter!$V:$W,2,FALSE)</f>
        <v>46083</v>
      </c>
      <c r="C55" s="7" t="str">
        <f>VLOOKUP($I55,[232]Parameter!$A:$M,13,FALSE)</f>
        <v>WATER PET</v>
      </c>
      <c r="D55" s="7" t="str">
        <f>VLOOKUP($I55,[232]Parameter!$A:$M,11,FALSE)</f>
        <v>WATER 1500</v>
      </c>
      <c r="E55" s="7" t="str">
        <f>VLOOKUP($I55,[232]Parameter!$A:$N,14,FALSE)</f>
        <v>Water</v>
      </c>
      <c r="F55" s="9">
        <f t="shared" si="1"/>
        <v>157924</v>
      </c>
      <c r="G55" s="10" t="s">
        <v>167</v>
      </c>
      <c r="H55" s="11">
        <v>320022840</v>
      </c>
      <c r="I55" s="11" t="s">
        <v>49</v>
      </c>
      <c r="J55" s="11">
        <v>7104</v>
      </c>
      <c r="K55" s="11" t="s">
        <v>23</v>
      </c>
      <c r="L55" s="12">
        <v>157924</v>
      </c>
      <c r="M55" s="12">
        <v>0</v>
      </c>
      <c r="N55" s="12">
        <v>0</v>
      </c>
      <c r="O55" s="12">
        <v>0</v>
      </c>
      <c r="P55" s="12">
        <v>0</v>
      </c>
      <c r="Q55" s="12">
        <v>157924</v>
      </c>
      <c r="R55" s="12">
        <v>157924</v>
      </c>
    </row>
    <row r="56" spans="1:18" x14ac:dyDescent="0.3">
      <c r="A56" s="7" t="str">
        <f>VLOOKUP(MONTH($B56),[232]Parameter!$P:$Q,2,FALSE)</f>
        <v>Mar</v>
      </c>
      <c r="B56" s="8">
        <f>VLOOKUP($G56,[232]Parameter!$V:$W,2,FALSE)</f>
        <v>46083</v>
      </c>
      <c r="C56" s="7" t="str">
        <f>VLOOKUP($I56,[232]Parameter!$A:$M,13,FALSE)</f>
        <v>WATER PET</v>
      </c>
      <c r="D56" s="7" t="str">
        <f>VLOOKUP($I56,[232]Parameter!$A:$M,11,FALSE)</f>
        <v>WATER 550</v>
      </c>
      <c r="E56" s="7" t="str">
        <f>VLOOKUP($I56,[232]Parameter!$A:$N,14,FALSE)</f>
        <v>Water</v>
      </c>
      <c r="F56" s="9">
        <f t="shared" si="1"/>
        <v>208944</v>
      </c>
      <c r="G56" s="10" t="s">
        <v>167</v>
      </c>
      <c r="H56" s="11">
        <v>320022841</v>
      </c>
      <c r="I56" s="11" t="s">
        <v>50</v>
      </c>
      <c r="J56" s="11">
        <v>7104</v>
      </c>
      <c r="K56" s="11" t="s">
        <v>23</v>
      </c>
      <c r="L56" s="12">
        <v>208944</v>
      </c>
      <c r="M56" s="12">
        <v>0</v>
      </c>
      <c r="N56" s="12">
        <v>0</v>
      </c>
      <c r="O56" s="12">
        <v>0</v>
      </c>
      <c r="P56" s="12">
        <v>0</v>
      </c>
      <c r="Q56" s="12">
        <v>208944</v>
      </c>
      <c r="R56" s="12">
        <v>208944</v>
      </c>
    </row>
    <row r="57" spans="1:18" x14ac:dyDescent="0.3">
      <c r="A57" s="7" t="str">
        <f>VLOOKUP(MONTH($B57),[232]Parameter!$P:$Q,2,FALSE)</f>
        <v>Mar</v>
      </c>
      <c r="B57" s="8">
        <f>VLOOKUP($G57,[232]Parameter!$V:$W,2,FALSE)</f>
        <v>46083</v>
      </c>
      <c r="C57" s="7" t="str">
        <f>VLOOKUP($I57,[232]Parameter!$A:$M,13,FALSE)</f>
        <v>CSD PMX</v>
      </c>
      <c r="D57" s="7" t="str">
        <f>VLOOKUP($I57,[232]Parameter!$A:$M,11,FALSE)</f>
        <v>BIB 10L</v>
      </c>
      <c r="E57" s="7" t="str">
        <f>VLOOKUP($I57,[232]Parameter!$A:$N,14,FALSE)</f>
        <v>7-Up</v>
      </c>
      <c r="F57" s="9">
        <f t="shared" si="1"/>
        <v>359</v>
      </c>
      <c r="G57" s="10" t="s">
        <v>167</v>
      </c>
      <c r="H57" s="11">
        <v>320022844</v>
      </c>
      <c r="I57" s="11" t="s">
        <v>51</v>
      </c>
      <c r="J57" s="11">
        <v>7101</v>
      </c>
      <c r="K57" s="11" t="s">
        <v>19</v>
      </c>
      <c r="L57" s="12">
        <v>359</v>
      </c>
      <c r="M57" s="12">
        <v>0</v>
      </c>
      <c r="N57" s="12">
        <v>5</v>
      </c>
      <c r="O57" s="12">
        <v>0</v>
      </c>
      <c r="P57" s="12">
        <v>0</v>
      </c>
      <c r="Q57" s="12">
        <v>359</v>
      </c>
      <c r="R57" s="12">
        <v>359</v>
      </c>
    </row>
    <row r="58" spans="1:18" x14ac:dyDescent="0.3">
      <c r="A58" s="7" t="str">
        <f>VLOOKUP(MONTH($B58),[232]Parameter!$P:$Q,2,FALSE)</f>
        <v>Mar</v>
      </c>
      <c r="B58" s="8">
        <f>VLOOKUP($G58,[232]Parameter!$V:$W,2,FALSE)</f>
        <v>46083</v>
      </c>
      <c r="C58" s="7" t="str">
        <f>VLOOKUP($I58,[232]Parameter!$A:$M,13,FALSE)</f>
        <v>CSD PMX</v>
      </c>
      <c r="D58" s="7" t="str">
        <f>VLOOKUP($I58,[232]Parameter!$A:$M,11,FALSE)</f>
        <v>BIB 10L</v>
      </c>
      <c r="E58" s="7" t="str">
        <f>VLOOKUP($I58,[232]Parameter!$A:$N,14,FALSE)</f>
        <v>7-Up</v>
      </c>
      <c r="F58" s="9">
        <f t="shared" si="1"/>
        <v>745</v>
      </c>
      <c r="G58" s="10" t="s">
        <v>167</v>
      </c>
      <c r="H58" s="11">
        <v>320022844</v>
      </c>
      <c r="I58" s="11" t="s">
        <v>51</v>
      </c>
      <c r="J58" s="11">
        <v>7102</v>
      </c>
      <c r="K58" s="11" t="s">
        <v>20</v>
      </c>
      <c r="L58" s="12">
        <v>745</v>
      </c>
      <c r="M58" s="12">
        <v>0</v>
      </c>
      <c r="N58" s="12">
        <v>1</v>
      </c>
      <c r="O58" s="12">
        <v>0</v>
      </c>
      <c r="P58" s="12">
        <v>0</v>
      </c>
      <c r="Q58" s="12">
        <v>745</v>
      </c>
      <c r="R58" s="12">
        <v>745</v>
      </c>
    </row>
    <row r="59" spans="1:18" x14ac:dyDescent="0.3">
      <c r="A59" s="7" t="str">
        <f>VLOOKUP(MONTH($B59),[232]Parameter!$P:$Q,2,FALSE)</f>
        <v>Mar</v>
      </c>
      <c r="B59" s="8">
        <f>VLOOKUP($G59,[232]Parameter!$V:$W,2,FALSE)</f>
        <v>46083</v>
      </c>
      <c r="C59" s="7" t="str">
        <f>VLOOKUP($I59,[232]Parameter!$A:$M,13,FALSE)</f>
        <v>NCB PET</v>
      </c>
      <c r="D59" s="7" t="str">
        <f>VLOOKUP($I59,[232]Parameter!$A:$M,11,FALSE)</f>
        <v>PET NCB 445</v>
      </c>
      <c r="E59" s="7" t="str">
        <f>VLOOKUP($I59,[232]Parameter!$A:$N,14,FALSE)</f>
        <v>Lipton</v>
      </c>
      <c r="F59" s="9">
        <f t="shared" si="1"/>
        <v>2535</v>
      </c>
      <c r="G59" s="10" t="s">
        <v>167</v>
      </c>
      <c r="H59" s="11">
        <v>320022866</v>
      </c>
      <c r="I59" s="11" t="s">
        <v>52</v>
      </c>
      <c r="J59" s="11">
        <v>7101</v>
      </c>
      <c r="K59" s="11" t="s">
        <v>19</v>
      </c>
      <c r="L59" s="12">
        <v>2535</v>
      </c>
      <c r="M59" s="12">
        <v>0</v>
      </c>
      <c r="N59" s="12">
        <v>404</v>
      </c>
      <c r="O59" s="12">
        <v>0</v>
      </c>
      <c r="P59" s="12">
        <v>0</v>
      </c>
      <c r="Q59" s="12">
        <v>2535</v>
      </c>
      <c r="R59" s="12">
        <v>2535</v>
      </c>
    </row>
    <row r="60" spans="1:18" x14ac:dyDescent="0.3">
      <c r="A60" s="7" t="str">
        <f>VLOOKUP(MONTH($B60),[232]Parameter!$P:$Q,2,FALSE)</f>
        <v>Mar</v>
      </c>
      <c r="B60" s="8">
        <f>VLOOKUP($G60,[232]Parameter!$V:$W,2,FALSE)</f>
        <v>46083</v>
      </c>
      <c r="C60" s="7" t="str">
        <f>VLOOKUP($I60,[232]Parameter!$A:$M,13,FALSE)</f>
        <v>NCB PET</v>
      </c>
      <c r="D60" s="7" t="str">
        <f>VLOOKUP($I60,[232]Parameter!$A:$M,11,FALSE)</f>
        <v>PET NCB 445</v>
      </c>
      <c r="E60" s="7" t="str">
        <f>VLOOKUP($I60,[232]Parameter!$A:$N,14,FALSE)</f>
        <v>Lipton</v>
      </c>
      <c r="F60" s="9">
        <f t="shared" si="1"/>
        <v>16593</v>
      </c>
      <c r="G60" s="10" t="s">
        <v>167</v>
      </c>
      <c r="H60" s="11">
        <v>320022866</v>
      </c>
      <c r="I60" s="11" t="s">
        <v>52</v>
      </c>
      <c r="J60" s="11">
        <v>7102</v>
      </c>
      <c r="K60" s="11" t="s">
        <v>20</v>
      </c>
      <c r="L60" s="12">
        <v>16593</v>
      </c>
      <c r="M60" s="12">
        <v>0</v>
      </c>
      <c r="N60" s="12">
        <v>1</v>
      </c>
      <c r="O60" s="12">
        <v>0</v>
      </c>
      <c r="P60" s="12">
        <v>0</v>
      </c>
      <c r="Q60" s="12">
        <v>16593</v>
      </c>
      <c r="R60" s="12">
        <v>16593</v>
      </c>
    </row>
    <row r="61" spans="1:18" x14ac:dyDescent="0.3">
      <c r="A61" s="7" t="str">
        <f>VLOOKUP(MONTH($B61),[232]Parameter!$P:$Q,2,FALSE)</f>
        <v>Mar</v>
      </c>
      <c r="B61" s="8">
        <f>VLOOKUP($G61,[232]Parameter!$V:$W,2,FALSE)</f>
        <v>46083</v>
      </c>
      <c r="C61" s="7" t="str">
        <f>VLOOKUP($I61,[232]Parameter!$A:$M,13,FALSE)</f>
        <v>NCB PET</v>
      </c>
      <c r="D61" s="7" t="str">
        <f>VLOOKUP($I61,[232]Parameter!$A:$M,11,FALSE)</f>
        <v>PET NCB 445</v>
      </c>
      <c r="E61" s="7" t="str">
        <f>VLOOKUP($I61,[232]Parameter!$A:$N,14,FALSE)</f>
        <v>Lipton</v>
      </c>
      <c r="F61" s="9">
        <f t="shared" si="1"/>
        <v>5952</v>
      </c>
      <c r="G61" s="10" t="s">
        <v>167</v>
      </c>
      <c r="H61" s="11">
        <v>320022867</v>
      </c>
      <c r="I61" s="11" t="s">
        <v>53</v>
      </c>
      <c r="J61" s="11">
        <v>7101</v>
      </c>
      <c r="K61" s="11" t="s">
        <v>19</v>
      </c>
      <c r="L61" s="12">
        <v>5952</v>
      </c>
      <c r="M61" s="12">
        <v>0</v>
      </c>
      <c r="N61" s="12">
        <v>3</v>
      </c>
      <c r="O61" s="12">
        <v>0</v>
      </c>
      <c r="P61" s="12">
        <v>0</v>
      </c>
      <c r="Q61" s="12">
        <v>5952</v>
      </c>
      <c r="R61" s="12">
        <v>5952</v>
      </c>
    </row>
    <row r="62" spans="1:18" x14ac:dyDescent="0.3">
      <c r="A62" s="7" t="str">
        <f>VLOOKUP(MONTH($B62),[232]Parameter!$P:$Q,2,FALSE)</f>
        <v>Mar</v>
      </c>
      <c r="B62" s="8">
        <f>VLOOKUP($G62,[232]Parameter!$V:$W,2,FALSE)</f>
        <v>46083</v>
      </c>
      <c r="C62" s="7" t="str">
        <f>VLOOKUP($I62,[232]Parameter!$A:$M,13,FALSE)</f>
        <v>NCB PET</v>
      </c>
      <c r="D62" s="7" t="str">
        <f>VLOOKUP($I62,[232]Parameter!$A:$M,11,FALSE)</f>
        <v>PET NCB 445</v>
      </c>
      <c r="E62" s="7" t="str">
        <f>VLOOKUP($I62,[232]Parameter!$A:$N,14,FALSE)</f>
        <v>Lipton</v>
      </c>
      <c r="F62" s="9">
        <f t="shared" si="1"/>
        <v>27176</v>
      </c>
      <c r="G62" s="10" t="s">
        <v>167</v>
      </c>
      <c r="H62" s="11">
        <v>320022867</v>
      </c>
      <c r="I62" s="11" t="s">
        <v>53</v>
      </c>
      <c r="J62" s="11">
        <v>7102</v>
      </c>
      <c r="K62" s="11" t="s">
        <v>20</v>
      </c>
      <c r="L62" s="12">
        <v>27176</v>
      </c>
      <c r="M62" s="12">
        <v>0</v>
      </c>
      <c r="N62" s="12">
        <v>1</v>
      </c>
      <c r="O62" s="12">
        <v>0</v>
      </c>
      <c r="P62" s="12">
        <v>0</v>
      </c>
      <c r="Q62" s="12">
        <v>27176</v>
      </c>
      <c r="R62" s="12">
        <v>27176</v>
      </c>
    </row>
    <row r="63" spans="1:18" x14ac:dyDescent="0.3">
      <c r="A63" s="7" t="str">
        <f>VLOOKUP(MONTH($B63),[232]Parameter!$P:$Q,2,FALSE)</f>
        <v>Mar</v>
      </c>
      <c r="B63" s="8">
        <f>VLOOKUP($G63,[232]Parameter!$V:$W,2,FALSE)</f>
        <v>46083</v>
      </c>
      <c r="C63" s="7" t="str">
        <f>VLOOKUP($I63,[232]Parameter!$A:$M,13,FALSE)</f>
        <v>CSD PET</v>
      </c>
      <c r="D63" s="7" t="str">
        <f>VLOOKUP($I63,[232]Parameter!$A:$M,11,FALSE)</f>
        <v>PET 550</v>
      </c>
      <c r="E63" s="7" t="str">
        <f>VLOOKUP($I63,[232]Parameter!$A:$N,14,FALSE)</f>
        <v>Pepsi Cola</v>
      </c>
      <c r="F63" s="9">
        <f t="shared" si="1"/>
        <v>50520</v>
      </c>
      <c r="G63" s="10" t="s">
        <v>167</v>
      </c>
      <c r="H63" s="11">
        <v>320022908</v>
      </c>
      <c r="I63" s="11" t="s">
        <v>54</v>
      </c>
      <c r="J63" s="11">
        <v>7101</v>
      </c>
      <c r="K63" s="11" t="s">
        <v>19</v>
      </c>
      <c r="L63" s="12">
        <v>50520</v>
      </c>
      <c r="M63" s="12">
        <v>0</v>
      </c>
      <c r="N63" s="12">
        <v>82</v>
      </c>
      <c r="O63" s="12">
        <v>0</v>
      </c>
      <c r="P63" s="12">
        <v>0</v>
      </c>
      <c r="Q63" s="12">
        <v>50520</v>
      </c>
      <c r="R63" s="12">
        <v>50520</v>
      </c>
    </row>
    <row r="64" spans="1:18" x14ac:dyDescent="0.3">
      <c r="A64" s="7" t="str">
        <f>VLOOKUP(MONTH($B64),[232]Parameter!$P:$Q,2,FALSE)</f>
        <v>Mar</v>
      </c>
      <c r="B64" s="8">
        <f>VLOOKUP($G64,[232]Parameter!$V:$W,2,FALSE)</f>
        <v>46083</v>
      </c>
      <c r="C64" s="7" t="str">
        <f>VLOOKUP($I64,[232]Parameter!$A:$M,13,FALSE)</f>
        <v>CSD PET</v>
      </c>
      <c r="D64" s="7" t="str">
        <f>VLOOKUP($I64,[232]Parameter!$A:$M,11,FALSE)</f>
        <v>PET 550</v>
      </c>
      <c r="E64" s="7" t="str">
        <f>VLOOKUP($I64,[232]Parameter!$A:$N,14,FALSE)</f>
        <v>Pepsi Cola</v>
      </c>
      <c r="F64" s="9">
        <f t="shared" si="1"/>
        <v>3166</v>
      </c>
      <c r="G64" s="10" t="s">
        <v>167</v>
      </c>
      <c r="H64" s="11">
        <v>320022908</v>
      </c>
      <c r="I64" s="11" t="s">
        <v>54</v>
      </c>
      <c r="J64" s="11">
        <v>7102</v>
      </c>
      <c r="K64" s="11" t="s">
        <v>20</v>
      </c>
      <c r="L64" s="12">
        <v>3166</v>
      </c>
      <c r="M64" s="12">
        <v>0</v>
      </c>
      <c r="N64" s="12">
        <v>12</v>
      </c>
      <c r="O64" s="12">
        <v>0</v>
      </c>
      <c r="P64" s="12">
        <v>0</v>
      </c>
      <c r="Q64" s="12">
        <v>3166</v>
      </c>
      <c r="R64" s="12">
        <v>3166</v>
      </c>
    </row>
    <row r="65" spans="1:18" x14ac:dyDescent="0.3">
      <c r="A65" s="7" t="str">
        <f>VLOOKUP(MONTH($B65),[232]Parameter!$P:$Q,2,FALSE)</f>
        <v>Mar</v>
      </c>
      <c r="B65" s="8">
        <f>VLOOKUP($G65,[232]Parameter!$V:$W,2,FALSE)</f>
        <v>46083</v>
      </c>
      <c r="C65" s="7" t="str">
        <f>VLOOKUP($I65,[232]Parameter!$A:$M,13,FALSE)</f>
        <v>CSD PET</v>
      </c>
      <c r="D65" s="7" t="str">
        <f>VLOOKUP($I65,[232]Parameter!$A:$M,11,FALSE)</f>
        <v>PET 550</v>
      </c>
      <c r="E65" s="7" t="str">
        <f>VLOOKUP($I65,[232]Parameter!$A:$N,14,FALSE)</f>
        <v>PEPSI NO SUGAR</v>
      </c>
      <c r="F65" s="9">
        <f t="shared" si="1"/>
        <v>12358</v>
      </c>
      <c r="G65" s="10" t="s">
        <v>167</v>
      </c>
      <c r="H65" s="11">
        <v>320022909</v>
      </c>
      <c r="I65" s="11" t="s">
        <v>55</v>
      </c>
      <c r="J65" s="11">
        <v>7101</v>
      </c>
      <c r="K65" s="11" t="s">
        <v>19</v>
      </c>
      <c r="L65" s="12">
        <v>12358</v>
      </c>
      <c r="M65" s="12">
        <v>0</v>
      </c>
      <c r="N65" s="12">
        <v>23</v>
      </c>
      <c r="O65" s="12">
        <v>0</v>
      </c>
      <c r="P65" s="12">
        <v>0</v>
      </c>
      <c r="Q65" s="12">
        <v>12358</v>
      </c>
      <c r="R65" s="12">
        <v>12358</v>
      </c>
    </row>
    <row r="66" spans="1:18" x14ac:dyDescent="0.3">
      <c r="A66" s="7" t="str">
        <f>VLOOKUP(MONTH($B66),[232]Parameter!$P:$Q,2,FALSE)</f>
        <v>Mar</v>
      </c>
      <c r="B66" s="8">
        <f>VLOOKUP($G66,[232]Parameter!$V:$W,2,FALSE)</f>
        <v>46083</v>
      </c>
      <c r="C66" s="7" t="str">
        <f>VLOOKUP($I66,[232]Parameter!$A:$M,13,FALSE)</f>
        <v>CSD PET</v>
      </c>
      <c r="D66" s="7" t="str">
        <f>VLOOKUP($I66,[232]Parameter!$A:$M,11,FALSE)</f>
        <v>PET 550</v>
      </c>
      <c r="E66" s="7" t="str">
        <f>VLOOKUP($I66,[232]Parameter!$A:$N,14,FALSE)</f>
        <v>PEPSI NO SUGAR</v>
      </c>
      <c r="F66" s="9">
        <f t="shared" si="1"/>
        <v>330</v>
      </c>
      <c r="G66" s="10" t="s">
        <v>167</v>
      </c>
      <c r="H66" s="11">
        <v>320022909</v>
      </c>
      <c r="I66" s="11" t="s">
        <v>55</v>
      </c>
      <c r="J66" s="11">
        <v>7102</v>
      </c>
      <c r="K66" s="11" t="s">
        <v>20</v>
      </c>
      <c r="L66" s="12">
        <v>330</v>
      </c>
      <c r="M66" s="12">
        <v>0</v>
      </c>
      <c r="N66" s="12">
        <v>3</v>
      </c>
      <c r="O66" s="12">
        <v>0</v>
      </c>
      <c r="P66" s="12">
        <v>0</v>
      </c>
      <c r="Q66" s="12">
        <v>330</v>
      </c>
      <c r="R66" s="12">
        <v>330</v>
      </c>
    </row>
    <row r="67" spans="1:18" x14ac:dyDescent="0.3">
      <c r="A67" s="7" t="str">
        <f>VLOOKUP(MONTH($B67),[232]Parameter!$P:$Q,2,FALSE)</f>
        <v>Mar</v>
      </c>
      <c r="B67" s="8">
        <f>VLOOKUP($G67,[232]Parameter!$V:$W,2,FALSE)</f>
        <v>46083</v>
      </c>
      <c r="C67" s="7" t="str">
        <f>VLOOKUP($I67,[232]Parameter!$A:$M,13,FALSE)</f>
        <v>NCB CAN</v>
      </c>
      <c r="D67" s="7" t="str">
        <f>VLOOKUP($I67,[232]Parameter!$A:$M,11,FALSE)</f>
        <v>CAN NCB 250</v>
      </c>
      <c r="E67" s="7" t="str">
        <f>VLOOKUP($I67,[232]Parameter!$A:$N,14,FALSE)</f>
        <v>Lipton</v>
      </c>
      <c r="F67" s="9">
        <f t="shared" si="1"/>
        <v>9739</v>
      </c>
      <c r="G67" s="10" t="s">
        <v>167</v>
      </c>
      <c r="H67" s="11">
        <v>320022913</v>
      </c>
      <c r="I67" s="11" t="s">
        <v>56</v>
      </c>
      <c r="J67" s="11">
        <v>7101</v>
      </c>
      <c r="K67" s="11" t="s">
        <v>19</v>
      </c>
      <c r="L67" s="12">
        <v>9739</v>
      </c>
      <c r="M67" s="12">
        <v>0</v>
      </c>
      <c r="N67" s="12">
        <v>0</v>
      </c>
      <c r="O67" s="12">
        <v>0</v>
      </c>
      <c r="P67" s="12">
        <v>0</v>
      </c>
      <c r="Q67" s="12">
        <v>9739</v>
      </c>
      <c r="R67" s="12">
        <v>9739</v>
      </c>
    </row>
    <row r="68" spans="1:18" x14ac:dyDescent="0.3">
      <c r="A68" s="7" t="str">
        <f>VLOOKUP(MONTH($B68),[232]Parameter!$P:$Q,2,FALSE)</f>
        <v>Mar</v>
      </c>
      <c r="B68" s="8">
        <f>VLOOKUP($G68,[232]Parameter!$V:$W,2,FALSE)</f>
        <v>46083</v>
      </c>
      <c r="C68" s="7" t="str">
        <f>VLOOKUP($I68,[232]Parameter!$A:$M,13,FALSE)</f>
        <v>NCB CAN</v>
      </c>
      <c r="D68" s="7" t="str">
        <f>VLOOKUP($I68,[232]Parameter!$A:$M,11,FALSE)</f>
        <v>CAN NCB 250</v>
      </c>
      <c r="E68" s="7" t="str">
        <f>VLOOKUP($I68,[232]Parameter!$A:$N,14,FALSE)</f>
        <v>Lipton</v>
      </c>
      <c r="F68" s="9">
        <f t="shared" si="1"/>
        <v>8491</v>
      </c>
      <c r="G68" s="10" t="s">
        <v>167</v>
      </c>
      <c r="H68" s="11">
        <v>320022913</v>
      </c>
      <c r="I68" s="11" t="s">
        <v>56</v>
      </c>
      <c r="J68" s="11">
        <v>7102</v>
      </c>
      <c r="K68" s="11" t="s">
        <v>20</v>
      </c>
      <c r="L68" s="12">
        <v>8491</v>
      </c>
      <c r="M68" s="12">
        <v>0</v>
      </c>
      <c r="N68" s="12">
        <v>1</v>
      </c>
      <c r="O68" s="12">
        <v>0</v>
      </c>
      <c r="P68" s="12">
        <v>0</v>
      </c>
      <c r="Q68" s="12">
        <v>8491</v>
      </c>
      <c r="R68" s="12">
        <v>8491</v>
      </c>
    </row>
    <row r="69" spans="1:18" x14ac:dyDescent="0.3">
      <c r="A69" s="7" t="str">
        <f>VLOOKUP(MONTH($B69),[232]Parameter!$P:$Q,2,FALSE)</f>
        <v>Mar</v>
      </c>
      <c r="B69" s="8">
        <f>VLOOKUP($G69,[232]Parameter!$V:$W,2,FALSE)</f>
        <v>46083</v>
      </c>
      <c r="C69" s="7" t="str">
        <f>VLOOKUP($I69,[232]Parameter!$A:$M,13,FALSE)</f>
        <v>NCB CAN</v>
      </c>
      <c r="D69" s="7" t="str">
        <f>VLOOKUP($I69,[232]Parameter!$A:$M,11,FALSE)</f>
        <v>CAN NCB 250</v>
      </c>
      <c r="E69" s="7" t="str">
        <f>VLOOKUP($I69,[232]Parameter!$A:$N,14,FALSE)</f>
        <v>Lipton</v>
      </c>
      <c r="F69" s="9">
        <f t="shared" si="1"/>
        <v>16724</v>
      </c>
      <c r="G69" s="10" t="s">
        <v>167</v>
      </c>
      <c r="H69" s="11">
        <v>320022914</v>
      </c>
      <c r="I69" s="11" t="s">
        <v>57</v>
      </c>
      <c r="J69" s="11">
        <v>7101</v>
      </c>
      <c r="K69" s="11" t="s">
        <v>19</v>
      </c>
      <c r="L69" s="12">
        <v>16724</v>
      </c>
      <c r="M69" s="12">
        <v>0</v>
      </c>
      <c r="N69" s="12">
        <v>23</v>
      </c>
      <c r="O69" s="12">
        <v>0</v>
      </c>
      <c r="P69" s="12">
        <v>0</v>
      </c>
      <c r="Q69" s="12">
        <v>16724</v>
      </c>
      <c r="R69" s="12">
        <v>16724</v>
      </c>
    </row>
    <row r="70" spans="1:18" x14ac:dyDescent="0.3">
      <c r="A70" s="7" t="str">
        <f>VLOOKUP(MONTH($B70),[232]Parameter!$P:$Q,2,FALSE)</f>
        <v>Mar</v>
      </c>
      <c r="B70" s="8">
        <f>VLOOKUP($G70,[232]Parameter!$V:$W,2,FALSE)</f>
        <v>46083</v>
      </c>
      <c r="C70" s="7" t="str">
        <f>VLOOKUP($I70,[232]Parameter!$A:$M,13,FALSE)</f>
        <v>NCB CAN</v>
      </c>
      <c r="D70" s="7" t="str">
        <f>VLOOKUP($I70,[232]Parameter!$A:$M,11,FALSE)</f>
        <v>CAN NCB 250</v>
      </c>
      <c r="E70" s="7" t="str">
        <f>VLOOKUP($I70,[232]Parameter!$A:$N,14,FALSE)</f>
        <v>Lipton</v>
      </c>
      <c r="F70" s="9">
        <f t="shared" si="1"/>
        <v>6097</v>
      </c>
      <c r="G70" s="10" t="s">
        <v>167</v>
      </c>
      <c r="H70" s="11">
        <v>320022914</v>
      </c>
      <c r="I70" s="11" t="s">
        <v>57</v>
      </c>
      <c r="J70" s="11">
        <v>7102</v>
      </c>
      <c r="K70" s="11" t="s">
        <v>20</v>
      </c>
      <c r="L70" s="12">
        <v>6097</v>
      </c>
      <c r="M70" s="12">
        <v>0</v>
      </c>
      <c r="N70" s="12">
        <v>3</v>
      </c>
      <c r="O70" s="12">
        <v>0</v>
      </c>
      <c r="P70" s="12">
        <v>0</v>
      </c>
      <c r="Q70" s="12">
        <v>6097</v>
      </c>
      <c r="R70" s="12">
        <v>6097</v>
      </c>
    </row>
    <row r="71" spans="1:18" x14ac:dyDescent="0.3">
      <c r="A71" s="7" t="str">
        <f>VLOOKUP(MONTH($B71),[232]Parameter!$P:$Q,2,FALSE)</f>
        <v>Mar</v>
      </c>
      <c r="B71" s="8">
        <f>VLOOKUP($G71,[232]Parameter!$V:$W,2,FALSE)</f>
        <v>46083</v>
      </c>
      <c r="C71" s="7" t="str">
        <f>VLOOKUP($I71,[232]Parameter!$A:$M,13,FALSE)</f>
        <v>CSD CAN</v>
      </c>
      <c r="D71" s="7" t="str">
        <f>VLOOKUP($I71,[232]Parameter!$A:$M,11,FALSE)</f>
        <v>CAN 250</v>
      </c>
      <c r="E71" s="7" t="str">
        <f>VLOOKUP($I71,[232]Parameter!$A:$N,14,FALSE)</f>
        <v>PEPSI NO SUGAR</v>
      </c>
      <c r="F71" s="9">
        <f t="shared" si="1"/>
        <v>3239</v>
      </c>
      <c r="G71" s="10" t="s">
        <v>167</v>
      </c>
      <c r="H71" s="11">
        <v>320022915</v>
      </c>
      <c r="I71" s="11" t="s">
        <v>58</v>
      </c>
      <c r="J71" s="11">
        <v>7101</v>
      </c>
      <c r="K71" s="11" t="s">
        <v>19</v>
      </c>
      <c r="L71" s="12">
        <v>3239</v>
      </c>
      <c r="M71" s="12">
        <v>0</v>
      </c>
      <c r="N71" s="12">
        <v>6</v>
      </c>
      <c r="O71" s="12">
        <v>0</v>
      </c>
      <c r="P71" s="12">
        <v>0</v>
      </c>
      <c r="Q71" s="12">
        <v>3239</v>
      </c>
      <c r="R71" s="12">
        <v>3239</v>
      </c>
    </row>
    <row r="72" spans="1:18" x14ac:dyDescent="0.3">
      <c r="A72" s="7" t="str">
        <f>VLOOKUP(MONTH($B72),[232]Parameter!$P:$Q,2,FALSE)</f>
        <v>Mar</v>
      </c>
      <c r="B72" s="8">
        <f>VLOOKUP($G72,[232]Parameter!$V:$W,2,FALSE)</f>
        <v>46083</v>
      </c>
      <c r="C72" s="7" t="str">
        <f>VLOOKUP($I72,[232]Parameter!$A:$M,13,FALSE)</f>
        <v>CSD CAN</v>
      </c>
      <c r="D72" s="7" t="str">
        <f>VLOOKUP($I72,[232]Parameter!$A:$M,11,FALSE)</f>
        <v>CAN 250</v>
      </c>
      <c r="E72" s="7" t="str">
        <f>VLOOKUP($I72,[232]Parameter!$A:$N,14,FALSE)</f>
        <v>PEPSI NO SUGAR</v>
      </c>
      <c r="F72" s="9">
        <f t="shared" si="1"/>
        <v>4925</v>
      </c>
      <c r="G72" s="10" t="s">
        <v>167</v>
      </c>
      <c r="H72" s="11">
        <v>320022915</v>
      </c>
      <c r="I72" s="11" t="s">
        <v>58</v>
      </c>
      <c r="J72" s="11">
        <v>7102</v>
      </c>
      <c r="K72" s="11" t="s">
        <v>20</v>
      </c>
      <c r="L72" s="12">
        <v>4925</v>
      </c>
      <c r="M72" s="12">
        <v>0</v>
      </c>
      <c r="N72" s="12">
        <v>4</v>
      </c>
      <c r="O72" s="12">
        <v>0</v>
      </c>
      <c r="P72" s="12">
        <v>0</v>
      </c>
      <c r="Q72" s="12">
        <v>4925</v>
      </c>
      <c r="R72" s="12">
        <v>4925</v>
      </c>
    </row>
    <row r="73" spans="1:18" x14ac:dyDescent="0.3">
      <c r="A73" s="7" t="str">
        <f>VLOOKUP(MONTH($B73),[232]Parameter!$P:$Q,2,FALSE)</f>
        <v>Mar</v>
      </c>
      <c r="B73" s="8">
        <f>VLOOKUP($G73,[232]Parameter!$V:$W,2,FALSE)</f>
        <v>46083</v>
      </c>
      <c r="C73" s="7" t="str">
        <f>VLOOKUP($I73,[232]Parameter!$A:$M,13,FALSE)</f>
        <v>NCB PET</v>
      </c>
      <c r="D73" s="7" t="str">
        <f>VLOOKUP($I73,[232]Parameter!$A:$M,11,FALSE)</f>
        <v>PET COFF 250</v>
      </c>
      <c r="E73" s="7" t="str">
        <f>VLOOKUP($I73,[232]Parameter!$A:$N,14,FALSE)</f>
        <v>BOSS COFFEE</v>
      </c>
      <c r="F73" s="9">
        <f t="shared" si="1"/>
        <v>4537</v>
      </c>
      <c r="G73" s="10" t="s">
        <v>167</v>
      </c>
      <c r="H73" s="11">
        <v>320022924</v>
      </c>
      <c r="I73" s="11" t="s">
        <v>59</v>
      </c>
      <c r="J73" s="11">
        <v>7101</v>
      </c>
      <c r="K73" s="11" t="s">
        <v>19</v>
      </c>
      <c r="L73" s="12">
        <v>4537</v>
      </c>
      <c r="M73" s="12">
        <v>0</v>
      </c>
      <c r="N73" s="12">
        <v>0</v>
      </c>
      <c r="O73" s="12">
        <v>0</v>
      </c>
      <c r="P73" s="12">
        <v>0</v>
      </c>
      <c r="Q73" s="12">
        <v>4537</v>
      </c>
      <c r="R73" s="12">
        <v>4537</v>
      </c>
    </row>
    <row r="74" spans="1:18" x14ac:dyDescent="0.3">
      <c r="A74" s="7" t="str">
        <f>VLOOKUP(MONTH($B74),[232]Parameter!$P:$Q,2,FALSE)</f>
        <v>Mar</v>
      </c>
      <c r="B74" s="8">
        <f>VLOOKUP($G74,[232]Parameter!$V:$W,2,FALSE)</f>
        <v>46083</v>
      </c>
      <c r="C74" s="7" t="str">
        <f>VLOOKUP($I74,[232]Parameter!$A:$M,13,FALSE)</f>
        <v>NCB PET</v>
      </c>
      <c r="D74" s="7" t="str">
        <f>VLOOKUP($I74,[232]Parameter!$A:$M,11,FALSE)</f>
        <v>PET COFF 250</v>
      </c>
      <c r="E74" s="7" t="str">
        <f>VLOOKUP($I74,[232]Parameter!$A:$N,14,FALSE)</f>
        <v>BOSS COFFEE</v>
      </c>
      <c r="F74" s="9">
        <f t="shared" ref="F74:F137" si="2">$Q74</f>
        <v>558</v>
      </c>
      <c r="G74" s="10" t="s">
        <v>167</v>
      </c>
      <c r="H74" s="11">
        <v>320022924</v>
      </c>
      <c r="I74" s="11" t="s">
        <v>59</v>
      </c>
      <c r="J74" s="11">
        <v>7105</v>
      </c>
      <c r="K74" s="11" t="s">
        <v>60</v>
      </c>
      <c r="L74" s="12">
        <v>558</v>
      </c>
      <c r="M74" s="12">
        <v>0</v>
      </c>
      <c r="N74" s="12">
        <v>0</v>
      </c>
      <c r="O74" s="12">
        <v>0</v>
      </c>
      <c r="P74" s="12">
        <v>0</v>
      </c>
      <c r="Q74" s="12">
        <v>558</v>
      </c>
      <c r="R74" s="12">
        <v>558</v>
      </c>
    </row>
    <row r="75" spans="1:18" x14ac:dyDescent="0.3">
      <c r="A75" s="7" t="str">
        <f>VLOOKUP(MONTH($B75),[232]Parameter!$P:$Q,2,FALSE)</f>
        <v>Mar</v>
      </c>
      <c r="B75" s="8">
        <f>VLOOKUP($G75,[232]Parameter!$V:$W,2,FALSE)</f>
        <v>46083</v>
      </c>
      <c r="C75" s="7" t="str">
        <f>VLOOKUP($I75,[232]Parameter!$A:$M,13,FALSE)</f>
        <v>NCB PET</v>
      </c>
      <c r="D75" s="7" t="str">
        <f>VLOOKUP($I75,[232]Parameter!$A:$M,11,FALSE)</f>
        <v>PET COFF 230</v>
      </c>
      <c r="E75" s="7" t="str">
        <f>VLOOKUP($I75,[232]Parameter!$A:$N,14,FALSE)</f>
        <v>BOSS COFFEE</v>
      </c>
      <c r="F75" s="9">
        <f t="shared" si="2"/>
        <v>383</v>
      </c>
      <c r="G75" s="10" t="s">
        <v>167</v>
      </c>
      <c r="H75" s="11">
        <v>320022925</v>
      </c>
      <c r="I75" s="11" t="s">
        <v>61</v>
      </c>
      <c r="J75" s="11">
        <v>7101</v>
      </c>
      <c r="K75" s="11" t="s">
        <v>19</v>
      </c>
      <c r="L75" s="12">
        <v>383</v>
      </c>
      <c r="M75" s="12">
        <v>0</v>
      </c>
      <c r="N75" s="12">
        <v>0</v>
      </c>
      <c r="O75" s="12">
        <v>0</v>
      </c>
      <c r="P75" s="12">
        <v>0</v>
      </c>
      <c r="Q75" s="12">
        <v>383</v>
      </c>
      <c r="R75" s="12">
        <v>383</v>
      </c>
    </row>
    <row r="76" spans="1:18" x14ac:dyDescent="0.3">
      <c r="A76" s="7" t="str">
        <f>VLOOKUP(MONTH($B76),[232]Parameter!$P:$Q,2,FALSE)</f>
        <v>Mar</v>
      </c>
      <c r="B76" s="8">
        <f>VLOOKUP($G76,[232]Parameter!$V:$W,2,FALSE)</f>
        <v>46083</v>
      </c>
      <c r="C76" s="7" t="str">
        <f>VLOOKUP($I76,[232]Parameter!$A:$M,13,FALSE)</f>
        <v>NCB PET</v>
      </c>
      <c r="D76" s="7" t="str">
        <f>VLOOKUP($I76,[232]Parameter!$A:$M,11,FALSE)</f>
        <v>PET COFF 230</v>
      </c>
      <c r="E76" s="7" t="str">
        <f>VLOOKUP($I76,[232]Parameter!$A:$N,14,FALSE)</f>
        <v>BOSS COFFEE</v>
      </c>
      <c r="F76" s="9">
        <f t="shared" si="2"/>
        <v>1614</v>
      </c>
      <c r="G76" s="10" t="s">
        <v>167</v>
      </c>
      <c r="H76" s="11">
        <v>320022925</v>
      </c>
      <c r="I76" s="11" t="s">
        <v>61</v>
      </c>
      <c r="J76" s="11">
        <v>7102</v>
      </c>
      <c r="K76" s="11" t="s">
        <v>20</v>
      </c>
      <c r="L76" s="12">
        <v>1614</v>
      </c>
      <c r="M76" s="12">
        <v>0</v>
      </c>
      <c r="N76" s="12">
        <v>0</v>
      </c>
      <c r="O76" s="12">
        <v>0</v>
      </c>
      <c r="P76" s="12">
        <v>0</v>
      </c>
      <c r="Q76" s="12">
        <v>1614</v>
      </c>
      <c r="R76" s="12">
        <v>1614</v>
      </c>
    </row>
    <row r="77" spans="1:18" x14ac:dyDescent="0.3">
      <c r="A77" s="7" t="str">
        <f>VLOOKUP(MONTH($B77),[232]Parameter!$P:$Q,2,FALSE)</f>
        <v>Mar</v>
      </c>
      <c r="B77" s="8">
        <f>VLOOKUP($G77,[232]Parameter!$V:$W,2,FALSE)</f>
        <v>46083</v>
      </c>
      <c r="C77" s="7" t="str">
        <f>VLOOKUP($I77,[232]Parameter!$A:$M,13,FALSE)</f>
        <v>NCB PET</v>
      </c>
      <c r="D77" s="7" t="str">
        <f>VLOOKUP($I77,[232]Parameter!$A:$M,11,FALSE)</f>
        <v>PET COFF 230</v>
      </c>
      <c r="E77" s="7" t="str">
        <f>VLOOKUP($I77,[232]Parameter!$A:$N,14,FALSE)</f>
        <v>BOSS COFFEE</v>
      </c>
      <c r="F77" s="9">
        <f t="shared" si="2"/>
        <v>84</v>
      </c>
      <c r="G77" s="10" t="s">
        <v>167</v>
      </c>
      <c r="H77" s="11">
        <v>320022926</v>
      </c>
      <c r="I77" s="11" t="s">
        <v>62</v>
      </c>
      <c r="J77" s="11">
        <v>7101</v>
      </c>
      <c r="K77" s="11" t="s">
        <v>19</v>
      </c>
      <c r="L77" s="12">
        <v>84</v>
      </c>
      <c r="M77" s="12">
        <v>0</v>
      </c>
      <c r="N77" s="12">
        <v>0</v>
      </c>
      <c r="O77" s="12">
        <v>0</v>
      </c>
      <c r="P77" s="12">
        <v>0</v>
      </c>
      <c r="Q77" s="12">
        <v>84</v>
      </c>
      <c r="R77" s="12">
        <v>84</v>
      </c>
    </row>
    <row r="78" spans="1:18" x14ac:dyDescent="0.3">
      <c r="A78" s="7" t="str">
        <f>VLOOKUP(MONTH($B78),[232]Parameter!$P:$Q,2,FALSE)</f>
        <v>Mar</v>
      </c>
      <c r="B78" s="8">
        <f>VLOOKUP($G78,[232]Parameter!$V:$W,2,FALSE)</f>
        <v>46083</v>
      </c>
      <c r="C78" s="7" t="str">
        <f>VLOOKUP($I78,[232]Parameter!$A:$M,13,FALSE)</f>
        <v>NCB PET</v>
      </c>
      <c r="D78" s="7" t="str">
        <f>VLOOKUP($I78,[232]Parameter!$A:$M,11,FALSE)</f>
        <v>PET COFF 230</v>
      </c>
      <c r="E78" s="7" t="str">
        <f>VLOOKUP($I78,[232]Parameter!$A:$N,14,FALSE)</f>
        <v>BOSS COFFEE</v>
      </c>
      <c r="F78" s="9">
        <f t="shared" si="2"/>
        <v>450</v>
      </c>
      <c r="G78" s="10" t="s">
        <v>167</v>
      </c>
      <c r="H78" s="11">
        <v>320022926</v>
      </c>
      <c r="I78" s="11" t="s">
        <v>62</v>
      </c>
      <c r="J78" s="11">
        <v>7102</v>
      </c>
      <c r="K78" s="11" t="s">
        <v>20</v>
      </c>
      <c r="L78" s="12">
        <v>450</v>
      </c>
      <c r="M78" s="12">
        <v>0</v>
      </c>
      <c r="N78" s="12">
        <v>0</v>
      </c>
      <c r="O78" s="12">
        <v>0</v>
      </c>
      <c r="P78" s="12">
        <v>0</v>
      </c>
      <c r="Q78" s="12">
        <v>450</v>
      </c>
      <c r="R78" s="12">
        <v>450</v>
      </c>
    </row>
    <row r="79" spans="1:18" x14ac:dyDescent="0.3">
      <c r="A79" s="7" t="str">
        <f>VLOOKUP(MONTH($B79),[232]Parameter!$P:$Q,2,FALSE)</f>
        <v>Mar</v>
      </c>
      <c r="B79" s="8">
        <f>VLOOKUP($G79,[232]Parameter!$V:$W,2,FALSE)</f>
        <v>46083</v>
      </c>
      <c r="C79" s="7" t="str">
        <f>VLOOKUP($I79,[232]Parameter!$A:$M,13,FALSE)</f>
        <v>NCB PET</v>
      </c>
      <c r="D79" s="7" t="str">
        <f>VLOOKUP($I79,[232]Parameter!$A:$M,11,FALSE)</f>
        <v>PET COFF 250</v>
      </c>
      <c r="E79" s="7" t="str">
        <f>VLOOKUP($I79,[232]Parameter!$A:$N,14,FALSE)</f>
        <v>BOSS COFFEE</v>
      </c>
      <c r="F79" s="9">
        <f t="shared" si="2"/>
        <v>6847</v>
      </c>
      <c r="G79" s="10" t="s">
        <v>167</v>
      </c>
      <c r="H79" s="11">
        <v>320022927</v>
      </c>
      <c r="I79" s="11" t="s">
        <v>63</v>
      </c>
      <c r="J79" s="11">
        <v>7101</v>
      </c>
      <c r="K79" s="11" t="s">
        <v>19</v>
      </c>
      <c r="L79" s="12">
        <v>6847</v>
      </c>
      <c r="M79" s="12">
        <v>0</v>
      </c>
      <c r="N79" s="12">
        <v>0</v>
      </c>
      <c r="O79" s="12">
        <v>0</v>
      </c>
      <c r="P79" s="12">
        <v>0</v>
      </c>
      <c r="Q79" s="12">
        <v>6847</v>
      </c>
      <c r="R79" s="12">
        <v>6847</v>
      </c>
    </row>
    <row r="80" spans="1:18" x14ac:dyDescent="0.3">
      <c r="A80" s="7" t="str">
        <f>VLOOKUP(MONTH($B80),[232]Parameter!$P:$Q,2,FALSE)</f>
        <v>Mar</v>
      </c>
      <c r="B80" s="8">
        <f>VLOOKUP($G80,[232]Parameter!$V:$W,2,FALSE)</f>
        <v>46083</v>
      </c>
      <c r="C80" s="7" t="str">
        <f>VLOOKUP($I80,[232]Parameter!$A:$M,13,FALSE)</f>
        <v>NCB PET</v>
      </c>
      <c r="D80" s="7" t="str">
        <f>VLOOKUP($I80,[232]Parameter!$A:$M,11,FALSE)</f>
        <v>PET COFF 250</v>
      </c>
      <c r="E80" s="7" t="str">
        <f>VLOOKUP($I80,[232]Parameter!$A:$N,14,FALSE)</f>
        <v>BOSS COFFEE</v>
      </c>
      <c r="F80" s="9">
        <f t="shared" si="2"/>
        <v>2496</v>
      </c>
      <c r="G80" s="10" t="s">
        <v>167</v>
      </c>
      <c r="H80" s="11">
        <v>320022927</v>
      </c>
      <c r="I80" s="11" t="s">
        <v>63</v>
      </c>
      <c r="J80" s="11">
        <v>7105</v>
      </c>
      <c r="K80" s="11" t="s">
        <v>60</v>
      </c>
      <c r="L80" s="12">
        <v>2496</v>
      </c>
      <c r="M80" s="12">
        <v>0</v>
      </c>
      <c r="N80" s="12">
        <v>0</v>
      </c>
      <c r="O80" s="12">
        <v>0</v>
      </c>
      <c r="P80" s="12">
        <v>0</v>
      </c>
      <c r="Q80" s="12">
        <v>2496</v>
      </c>
      <c r="R80" s="12">
        <v>2496</v>
      </c>
    </row>
    <row r="81" spans="1:18" x14ac:dyDescent="0.3">
      <c r="A81" s="7" t="str">
        <f>VLOOKUP(MONTH($B81),[232]Parameter!$P:$Q,2,FALSE)</f>
        <v>Mar</v>
      </c>
      <c r="B81" s="8">
        <f>VLOOKUP($G81,[232]Parameter!$V:$W,2,FALSE)</f>
        <v>46083</v>
      </c>
      <c r="C81" s="7" t="str">
        <f>VLOOKUP($I81,[232]Parameter!$A:$M,13,FALSE)</f>
        <v>NCB PET</v>
      </c>
      <c r="D81" s="7" t="str">
        <f>VLOOKUP($I81,[232]Parameter!$A:$M,11,FALSE)</f>
        <v>PET COFF 250</v>
      </c>
      <c r="E81" s="7" t="str">
        <f>VLOOKUP($I81,[232]Parameter!$A:$N,14,FALSE)</f>
        <v>BOSS COFFEE</v>
      </c>
      <c r="F81" s="9">
        <f t="shared" si="2"/>
        <v>14</v>
      </c>
      <c r="G81" s="10" t="s">
        <v>167</v>
      </c>
      <c r="H81" s="11">
        <v>320022929</v>
      </c>
      <c r="I81" s="11" t="s">
        <v>64</v>
      </c>
      <c r="J81" s="11">
        <v>7101</v>
      </c>
      <c r="K81" s="11" t="s">
        <v>19</v>
      </c>
      <c r="L81" s="12">
        <v>14</v>
      </c>
      <c r="M81" s="12">
        <v>0</v>
      </c>
      <c r="N81" s="12">
        <v>0</v>
      </c>
      <c r="O81" s="12">
        <v>0</v>
      </c>
      <c r="P81" s="12">
        <v>0</v>
      </c>
      <c r="Q81" s="12">
        <v>14</v>
      </c>
      <c r="R81" s="12">
        <v>14</v>
      </c>
    </row>
    <row r="82" spans="1:18" x14ac:dyDescent="0.3">
      <c r="A82" s="7" t="str">
        <f>VLOOKUP(MONTH($B82),[232]Parameter!$P:$Q,2,FALSE)</f>
        <v>Mar</v>
      </c>
      <c r="B82" s="8">
        <f>VLOOKUP($G82,[232]Parameter!$V:$W,2,FALSE)</f>
        <v>46083</v>
      </c>
      <c r="C82" s="7" t="str">
        <f>VLOOKUP($I82,[232]Parameter!$A:$M,13,FALSE)</f>
        <v>CSD PET</v>
      </c>
      <c r="D82" s="7" t="str">
        <f>VLOOKUP($I82,[232]Parameter!$A:$M,11,FALSE)</f>
        <v>PET 550</v>
      </c>
      <c r="E82" s="7" t="str">
        <f>VLOOKUP($I82,[232]Parameter!$A:$N,14,FALSE)</f>
        <v>PEPSI NO SUGAR</v>
      </c>
      <c r="F82" s="9">
        <f t="shared" si="2"/>
        <v>1663</v>
      </c>
      <c r="G82" s="10" t="s">
        <v>167</v>
      </c>
      <c r="H82" s="11">
        <v>320022942</v>
      </c>
      <c r="I82" s="11" t="s">
        <v>65</v>
      </c>
      <c r="J82" s="11">
        <v>7101</v>
      </c>
      <c r="K82" s="11" t="s">
        <v>19</v>
      </c>
      <c r="L82" s="12">
        <v>1663</v>
      </c>
      <c r="M82" s="12">
        <v>0</v>
      </c>
      <c r="N82" s="12">
        <v>5</v>
      </c>
      <c r="O82" s="12">
        <v>0</v>
      </c>
      <c r="P82" s="12">
        <v>0</v>
      </c>
      <c r="Q82" s="12">
        <v>1663</v>
      </c>
      <c r="R82" s="12">
        <v>1663</v>
      </c>
    </row>
    <row r="83" spans="1:18" x14ac:dyDescent="0.3">
      <c r="A83" s="7" t="str">
        <f>VLOOKUP(MONTH($B83),[232]Parameter!$P:$Q,2,FALSE)</f>
        <v>Mar</v>
      </c>
      <c r="B83" s="8">
        <f>VLOOKUP($G83,[232]Parameter!$V:$W,2,FALSE)</f>
        <v>46083</v>
      </c>
      <c r="C83" s="7" t="str">
        <f>VLOOKUP($I83,[232]Parameter!$A:$M,13,FALSE)</f>
        <v>CSD PET</v>
      </c>
      <c r="D83" s="7" t="str">
        <f>VLOOKUP($I83,[232]Parameter!$A:$M,11,FALSE)</f>
        <v>PET 550</v>
      </c>
      <c r="E83" s="7" t="str">
        <f>VLOOKUP($I83,[232]Parameter!$A:$N,14,FALSE)</f>
        <v>PEPSI NO SUGAR</v>
      </c>
      <c r="F83" s="9">
        <f t="shared" si="2"/>
        <v>0</v>
      </c>
      <c r="G83" s="10" t="s">
        <v>167</v>
      </c>
      <c r="H83" s="11">
        <v>320022942</v>
      </c>
      <c r="I83" s="11" t="s">
        <v>65</v>
      </c>
      <c r="J83" s="11">
        <v>7102</v>
      </c>
      <c r="K83" s="11" t="s">
        <v>20</v>
      </c>
      <c r="L83" s="12">
        <v>0</v>
      </c>
      <c r="M83" s="12">
        <v>0</v>
      </c>
      <c r="N83" s="12">
        <v>134</v>
      </c>
      <c r="O83" s="12">
        <v>0</v>
      </c>
      <c r="P83" s="12">
        <v>0</v>
      </c>
      <c r="Q83" s="12">
        <v>0</v>
      </c>
      <c r="R83" s="12">
        <v>0</v>
      </c>
    </row>
    <row r="84" spans="1:18" x14ac:dyDescent="0.3">
      <c r="A84" s="7" t="str">
        <f>VLOOKUP(MONTH($B84),[232]Parameter!$P:$Q,2,FALSE)</f>
        <v>Mar</v>
      </c>
      <c r="B84" s="8">
        <f>VLOOKUP($G84,[232]Parameter!$V:$W,2,FALSE)</f>
        <v>46083</v>
      </c>
      <c r="C84" s="7" t="str">
        <f>VLOOKUP($I84,[232]Parameter!$A:$M,13,FALSE)</f>
        <v>NCB PET</v>
      </c>
      <c r="D84" s="7" t="str">
        <f>VLOOKUP($I84,[232]Parameter!$A:$M,11,FALSE)</f>
        <v>PET TEA+ 500</v>
      </c>
      <c r="E84" s="7" t="str">
        <f>VLOOKUP($I84,[232]Parameter!$A:$N,14,FALSE)</f>
        <v>TEA PLUS</v>
      </c>
      <c r="F84" s="9">
        <f t="shared" si="2"/>
        <v>0</v>
      </c>
      <c r="G84" s="10" t="s">
        <v>167</v>
      </c>
      <c r="H84" s="11">
        <v>320022956</v>
      </c>
      <c r="I84" s="11" t="s">
        <v>66</v>
      </c>
      <c r="J84" s="11">
        <v>7102</v>
      </c>
      <c r="K84" s="11" t="s">
        <v>20</v>
      </c>
      <c r="L84" s="12">
        <v>0</v>
      </c>
      <c r="M84" s="12">
        <v>0</v>
      </c>
      <c r="N84" s="12">
        <v>1</v>
      </c>
      <c r="O84" s="12">
        <v>0</v>
      </c>
      <c r="P84" s="12">
        <v>0</v>
      </c>
      <c r="Q84" s="12">
        <v>0</v>
      </c>
      <c r="R84" s="12">
        <v>0</v>
      </c>
    </row>
    <row r="85" spans="1:18" x14ac:dyDescent="0.3">
      <c r="A85" s="7" t="str">
        <f>VLOOKUP(MONTH($B85),[232]Parameter!$P:$Q,2,FALSE)</f>
        <v>Mar</v>
      </c>
      <c r="B85" s="8">
        <f>VLOOKUP($G85,[232]Parameter!$V:$W,2,FALSE)</f>
        <v>46083</v>
      </c>
      <c r="C85" s="7" t="str">
        <f>VLOOKUP($I85,[232]Parameter!$A:$M,13,FALSE)</f>
        <v>NCB PET</v>
      </c>
      <c r="D85" s="7" t="str">
        <f>VLOOKUP($I85,[232]Parameter!$A:$M,11,FALSE)</f>
        <v>PET TEA+ 500</v>
      </c>
      <c r="E85" s="7" t="str">
        <f>VLOOKUP($I85,[232]Parameter!$A:$N,14,FALSE)</f>
        <v>TEA PLUS</v>
      </c>
      <c r="F85" s="9">
        <f t="shared" si="2"/>
        <v>74</v>
      </c>
      <c r="G85" s="10" t="s">
        <v>167</v>
      </c>
      <c r="H85" s="11">
        <v>320022961</v>
      </c>
      <c r="I85" s="11" t="s">
        <v>67</v>
      </c>
      <c r="J85" s="11">
        <v>7102</v>
      </c>
      <c r="K85" s="11" t="s">
        <v>20</v>
      </c>
      <c r="L85" s="12">
        <v>74</v>
      </c>
      <c r="M85" s="12">
        <v>0</v>
      </c>
      <c r="N85" s="12">
        <v>0</v>
      </c>
      <c r="O85" s="12">
        <v>0</v>
      </c>
      <c r="P85" s="12">
        <v>0</v>
      </c>
      <c r="Q85" s="12">
        <v>74</v>
      </c>
      <c r="R85" s="12">
        <v>74</v>
      </c>
    </row>
    <row r="86" spans="1:18" x14ac:dyDescent="0.3">
      <c r="A86" s="7" t="str">
        <f>VLOOKUP(MONTH($B86),[232]Parameter!$P:$Q,2,FALSE)</f>
        <v>Mar</v>
      </c>
      <c r="B86" s="8">
        <f>VLOOKUP($G86,[232]Parameter!$V:$W,2,FALSE)</f>
        <v>46083</v>
      </c>
      <c r="C86" s="7" t="str">
        <f>VLOOKUP($I86,[232]Parameter!$A:$M,13,FALSE)</f>
        <v>CSD PET</v>
      </c>
      <c r="D86" s="7" t="str">
        <f>VLOOKUP($I86,[232]Parameter!$A:$M,11,FALSE)</f>
        <v>PET 350 P12</v>
      </c>
      <c r="E86" s="7" t="str">
        <f>VLOOKUP($I86,[232]Parameter!$A:$N,14,FALSE)</f>
        <v>MRD Orange</v>
      </c>
      <c r="F86" s="9">
        <f t="shared" si="2"/>
        <v>20570</v>
      </c>
      <c r="G86" s="10" t="s">
        <v>167</v>
      </c>
      <c r="H86" s="11">
        <v>320022964</v>
      </c>
      <c r="I86" s="11" t="s">
        <v>68</v>
      </c>
      <c r="J86" s="11">
        <v>7101</v>
      </c>
      <c r="K86" s="11" t="s">
        <v>19</v>
      </c>
      <c r="L86" s="12">
        <v>20569</v>
      </c>
      <c r="M86" s="12">
        <v>1</v>
      </c>
      <c r="N86" s="12">
        <v>1</v>
      </c>
      <c r="O86" s="12">
        <v>0</v>
      </c>
      <c r="P86" s="12">
        <v>0</v>
      </c>
      <c r="Q86" s="12">
        <v>20570</v>
      </c>
      <c r="R86" s="12">
        <v>20570</v>
      </c>
    </row>
    <row r="87" spans="1:18" x14ac:dyDescent="0.3">
      <c r="A87" s="7" t="str">
        <f>VLOOKUP(MONTH($B87),[232]Parameter!$P:$Q,2,FALSE)</f>
        <v>Mar</v>
      </c>
      <c r="B87" s="8">
        <f>VLOOKUP($G87,[232]Parameter!$V:$W,2,FALSE)</f>
        <v>46083</v>
      </c>
      <c r="C87" s="7" t="str">
        <f>VLOOKUP($I87,[232]Parameter!$A:$M,13,FALSE)</f>
        <v>CSD PET</v>
      </c>
      <c r="D87" s="7" t="str">
        <f>VLOOKUP($I87,[232]Parameter!$A:$M,11,FALSE)</f>
        <v>PET 350 P12</v>
      </c>
      <c r="E87" s="7" t="str">
        <f>VLOOKUP($I87,[232]Parameter!$A:$N,14,FALSE)</f>
        <v>MRD Orange</v>
      </c>
      <c r="F87" s="9">
        <f t="shared" si="2"/>
        <v>1537</v>
      </c>
      <c r="G87" s="10" t="s">
        <v>167</v>
      </c>
      <c r="H87" s="11">
        <v>320022964</v>
      </c>
      <c r="I87" s="11" t="s">
        <v>68</v>
      </c>
      <c r="J87" s="11">
        <v>7102</v>
      </c>
      <c r="K87" s="11" t="s">
        <v>20</v>
      </c>
      <c r="L87" s="12">
        <v>1537</v>
      </c>
      <c r="M87" s="12">
        <v>0</v>
      </c>
      <c r="N87" s="12">
        <v>0</v>
      </c>
      <c r="O87" s="12">
        <v>0</v>
      </c>
      <c r="P87" s="12">
        <v>0</v>
      </c>
      <c r="Q87" s="12">
        <v>1537</v>
      </c>
      <c r="R87" s="12">
        <v>1537</v>
      </c>
    </row>
    <row r="88" spans="1:18" x14ac:dyDescent="0.3">
      <c r="A88" s="7" t="str">
        <f>VLOOKUP(MONTH($B88),[232]Parameter!$P:$Q,2,FALSE)</f>
        <v>Mar</v>
      </c>
      <c r="B88" s="8">
        <f>VLOOKUP($G88,[232]Parameter!$V:$W,2,FALSE)</f>
        <v>46083</v>
      </c>
      <c r="C88" s="7" t="str">
        <f>VLOOKUP($I88,[232]Parameter!$A:$M,13,FALSE)</f>
        <v>CSD PET</v>
      </c>
      <c r="D88" s="7" t="str">
        <f>VLOOKUP($I88,[232]Parameter!$A:$M,11,FALSE)</f>
        <v>PET 350 P12</v>
      </c>
      <c r="E88" s="7" t="str">
        <f>VLOOKUP($I88,[232]Parameter!$A:$N,14,FALSE)</f>
        <v>MRD Green Cream</v>
      </c>
      <c r="F88" s="9">
        <f t="shared" si="2"/>
        <v>16836</v>
      </c>
      <c r="G88" s="10" t="s">
        <v>167</v>
      </c>
      <c r="H88" s="11">
        <v>320022965</v>
      </c>
      <c r="I88" s="11" t="s">
        <v>69</v>
      </c>
      <c r="J88" s="11">
        <v>7101</v>
      </c>
      <c r="K88" s="11" t="s">
        <v>19</v>
      </c>
      <c r="L88" s="12">
        <v>16836</v>
      </c>
      <c r="M88" s="12">
        <v>0</v>
      </c>
      <c r="N88" s="12">
        <v>0</v>
      </c>
      <c r="O88" s="12">
        <v>0</v>
      </c>
      <c r="P88" s="12">
        <v>0</v>
      </c>
      <c r="Q88" s="12">
        <v>16836</v>
      </c>
      <c r="R88" s="12">
        <v>16836</v>
      </c>
    </row>
    <row r="89" spans="1:18" x14ac:dyDescent="0.3">
      <c r="A89" s="7" t="str">
        <f>VLOOKUP(MONTH($B89),[232]Parameter!$P:$Q,2,FALSE)</f>
        <v>Mar</v>
      </c>
      <c r="B89" s="8">
        <f>VLOOKUP($G89,[232]Parameter!$V:$W,2,FALSE)</f>
        <v>46083</v>
      </c>
      <c r="C89" s="7" t="str">
        <f>VLOOKUP($I89,[232]Parameter!$A:$M,13,FALSE)</f>
        <v>CSD PET</v>
      </c>
      <c r="D89" s="7" t="str">
        <f>VLOOKUP($I89,[232]Parameter!$A:$M,11,FALSE)</f>
        <v>PET 350 P12</v>
      </c>
      <c r="E89" s="7" t="str">
        <f>VLOOKUP($I89,[232]Parameter!$A:$N,14,FALSE)</f>
        <v>MRD Green Cream</v>
      </c>
      <c r="F89" s="9">
        <f t="shared" si="2"/>
        <v>7983</v>
      </c>
      <c r="G89" s="10" t="s">
        <v>167</v>
      </c>
      <c r="H89" s="11">
        <v>320022965</v>
      </c>
      <c r="I89" s="11" t="s">
        <v>69</v>
      </c>
      <c r="J89" s="11">
        <v>7102</v>
      </c>
      <c r="K89" s="11" t="s">
        <v>20</v>
      </c>
      <c r="L89" s="12">
        <v>7983</v>
      </c>
      <c r="M89" s="12">
        <v>0</v>
      </c>
      <c r="N89" s="12">
        <v>10</v>
      </c>
      <c r="O89" s="12">
        <v>0</v>
      </c>
      <c r="P89" s="12">
        <v>0</v>
      </c>
      <c r="Q89" s="12">
        <v>7983</v>
      </c>
      <c r="R89" s="12">
        <v>7983</v>
      </c>
    </row>
    <row r="90" spans="1:18" x14ac:dyDescent="0.3">
      <c r="A90" s="7" t="str">
        <f>VLOOKUP(MONTH($B90),[232]Parameter!$P:$Q,2,FALSE)</f>
        <v>Mar</v>
      </c>
      <c r="B90" s="8">
        <f>VLOOKUP($G90,[232]Parameter!$V:$W,2,FALSE)</f>
        <v>46083</v>
      </c>
      <c r="C90" s="7" t="str">
        <f>VLOOKUP($I90,[232]Parameter!$A:$M,13,FALSE)</f>
        <v>CSD PET</v>
      </c>
      <c r="D90" s="7" t="str">
        <f>VLOOKUP($I90,[232]Parameter!$A:$M,11,FALSE)</f>
        <v>PET 350 P12</v>
      </c>
      <c r="E90" s="7" t="str">
        <f>VLOOKUP($I90,[232]Parameter!$A:$N,14,FALSE)</f>
        <v>7-Up</v>
      </c>
      <c r="F90" s="9">
        <f t="shared" si="2"/>
        <v>47593</v>
      </c>
      <c r="G90" s="10" t="s">
        <v>167</v>
      </c>
      <c r="H90" s="11">
        <v>320022967</v>
      </c>
      <c r="I90" s="11" t="s">
        <v>70</v>
      </c>
      <c r="J90" s="11">
        <v>7101</v>
      </c>
      <c r="K90" s="11" t="s">
        <v>19</v>
      </c>
      <c r="L90" s="12">
        <v>47592</v>
      </c>
      <c r="M90" s="12">
        <v>1</v>
      </c>
      <c r="N90" s="12">
        <v>0</v>
      </c>
      <c r="O90" s="12">
        <v>0</v>
      </c>
      <c r="P90" s="12">
        <v>0</v>
      </c>
      <c r="Q90" s="12">
        <v>47593</v>
      </c>
      <c r="R90" s="12">
        <v>47593</v>
      </c>
    </row>
    <row r="91" spans="1:18" x14ac:dyDescent="0.3">
      <c r="A91" s="7" t="str">
        <f>VLOOKUP(MONTH($B91),[232]Parameter!$P:$Q,2,FALSE)</f>
        <v>Mar</v>
      </c>
      <c r="B91" s="8">
        <f>VLOOKUP($G91,[232]Parameter!$V:$W,2,FALSE)</f>
        <v>46083</v>
      </c>
      <c r="C91" s="7" t="str">
        <f>VLOOKUP($I91,[232]Parameter!$A:$M,13,FALSE)</f>
        <v>CSD PET</v>
      </c>
      <c r="D91" s="7" t="str">
        <f>VLOOKUP($I91,[232]Parameter!$A:$M,11,FALSE)</f>
        <v>PET 350 P12</v>
      </c>
      <c r="E91" s="7" t="str">
        <f>VLOOKUP($I91,[232]Parameter!$A:$N,14,FALSE)</f>
        <v>7-Up</v>
      </c>
      <c r="F91" s="9">
        <f t="shared" si="2"/>
        <v>35</v>
      </c>
      <c r="G91" s="10" t="s">
        <v>167</v>
      </c>
      <c r="H91" s="11">
        <v>320022967</v>
      </c>
      <c r="I91" s="11" t="s">
        <v>70</v>
      </c>
      <c r="J91" s="11">
        <v>7102</v>
      </c>
      <c r="K91" s="11" t="s">
        <v>20</v>
      </c>
      <c r="L91" s="12">
        <v>35</v>
      </c>
      <c r="M91" s="12">
        <v>0</v>
      </c>
      <c r="N91" s="12">
        <v>0</v>
      </c>
      <c r="O91" s="12">
        <v>0</v>
      </c>
      <c r="P91" s="12">
        <v>0</v>
      </c>
      <c r="Q91" s="12">
        <v>35</v>
      </c>
      <c r="R91" s="12">
        <v>35</v>
      </c>
    </row>
    <row r="92" spans="1:18" x14ac:dyDescent="0.3">
      <c r="A92" s="7" t="str">
        <f>VLOOKUP(MONTH($B92),[232]Parameter!$P:$Q,2,FALSE)</f>
        <v>Mar</v>
      </c>
      <c r="B92" s="8">
        <f>VLOOKUP($G92,[232]Parameter!$V:$W,2,FALSE)</f>
        <v>46083</v>
      </c>
      <c r="C92" s="7" t="str">
        <f>VLOOKUP($I92,[232]Parameter!$A:$M,13,FALSE)</f>
        <v>CSD CAN</v>
      </c>
      <c r="D92" s="7" t="str">
        <f>VLOOKUP($I92,[232]Parameter!$A:$M,11,FALSE)</f>
        <v>CAN 250</v>
      </c>
      <c r="E92" s="7" t="str">
        <f>VLOOKUP($I92,[232]Parameter!$A:$N,14,FALSE)</f>
        <v>Pepsi Cola</v>
      </c>
      <c r="F92" s="9">
        <f t="shared" si="2"/>
        <v>476</v>
      </c>
      <c r="G92" s="10" t="s">
        <v>167</v>
      </c>
      <c r="H92" s="11">
        <v>320022969</v>
      </c>
      <c r="I92" s="11" t="s">
        <v>71</v>
      </c>
      <c r="J92" s="11">
        <v>7101</v>
      </c>
      <c r="K92" s="11" t="s">
        <v>19</v>
      </c>
      <c r="L92" s="12">
        <v>476</v>
      </c>
      <c r="M92" s="12">
        <v>0</v>
      </c>
      <c r="N92" s="12">
        <v>0</v>
      </c>
      <c r="O92" s="12">
        <v>0</v>
      </c>
      <c r="P92" s="12">
        <v>0</v>
      </c>
      <c r="Q92" s="12">
        <v>476</v>
      </c>
      <c r="R92" s="12">
        <v>476</v>
      </c>
    </row>
    <row r="93" spans="1:18" x14ac:dyDescent="0.3">
      <c r="A93" s="7" t="str">
        <f>VLOOKUP(MONTH($B93),[232]Parameter!$P:$Q,2,FALSE)</f>
        <v>Mar</v>
      </c>
      <c r="B93" s="8">
        <f>VLOOKUP($G93,[232]Parameter!$V:$W,2,FALSE)</f>
        <v>46083</v>
      </c>
      <c r="C93" s="7" t="str">
        <f>VLOOKUP($I93,[232]Parameter!$A:$M,13,FALSE)</f>
        <v>CSD CAN</v>
      </c>
      <c r="D93" s="7" t="str">
        <f>VLOOKUP($I93,[232]Parameter!$A:$M,11,FALSE)</f>
        <v>CAN 250</v>
      </c>
      <c r="E93" s="7" t="str">
        <f>VLOOKUP($I93,[232]Parameter!$A:$N,14,FALSE)</f>
        <v>Pepsi Cola</v>
      </c>
      <c r="F93" s="9">
        <f t="shared" si="2"/>
        <v>5452</v>
      </c>
      <c r="G93" s="10" t="s">
        <v>167</v>
      </c>
      <c r="H93" s="11">
        <v>320022969</v>
      </c>
      <c r="I93" s="11" t="s">
        <v>71</v>
      </c>
      <c r="J93" s="11">
        <v>7102</v>
      </c>
      <c r="K93" s="11" t="s">
        <v>20</v>
      </c>
      <c r="L93" s="12">
        <v>5452</v>
      </c>
      <c r="M93" s="12">
        <v>0</v>
      </c>
      <c r="N93" s="12">
        <v>0</v>
      </c>
      <c r="O93" s="12">
        <v>0</v>
      </c>
      <c r="P93" s="12">
        <v>0</v>
      </c>
      <c r="Q93" s="12">
        <v>5452</v>
      </c>
      <c r="R93" s="12">
        <v>5452</v>
      </c>
    </row>
    <row r="94" spans="1:18" x14ac:dyDescent="0.3">
      <c r="A94" s="7" t="str">
        <f>VLOOKUP(MONTH($B94),[232]Parameter!$P:$Q,2,FALSE)</f>
        <v>Mar</v>
      </c>
      <c r="B94" s="8">
        <f>VLOOKUP($G94,[232]Parameter!$V:$W,2,FALSE)</f>
        <v>46083</v>
      </c>
      <c r="C94" s="7" t="str">
        <f>VLOOKUP($I94,[232]Parameter!$A:$M,13,FALSE)</f>
        <v>CSD PET</v>
      </c>
      <c r="D94" s="7" t="str">
        <f>VLOOKUP($I94,[232]Parameter!$A:$M,11,FALSE)</f>
        <v>PET 300 EMN P24</v>
      </c>
      <c r="E94" s="7" t="str">
        <f>VLOOKUP($I94,[232]Parameter!$A:$N,14,FALSE)</f>
        <v>Pepsi Cola</v>
      </c>
      <c r="F94" s="9">
        <f t="shared" si="2"/>
        <v>17</v>
      </c>
      <c r="G94" s="10" t="s">
        <v>167</v>
      </c>
      <c r="H94" s="11">
        <v>320022970</v>
      </c>
      <c r="I94" s="11" t="s">
        <v>72</v>
      </c>
      <c r="J94" s="11">
        <v>7101</v>
      </c>
      <c r="K94" s="11" t="s">
        <v>19</v>
      </c>
      <c r="L94" s="12">
        <v>16</v>
      </c>
      <c r="M94" s="12">
        <v>1</v>
      </c>
      <c r="N94" s="12">
        <v>0</v>
      </c>
      <c r="O94" s="12">
        <v>0</v>
      </c>
      <c r="P94" s="12">
        <v>0</v>
      </c>
      <c r="Q94" s="12">
        <v>17</v>
      </c>
      <c r="R94" s="12">
        <v>17</v>
      </c>
    </row>
    <row r="95" spans="1:18" x14ac:dyDescent="0.3">
      <c r="A95" s="7" t="str">
        <f>VLOOKUP(MONTH($B95),[232]Parameter!$P:$Q,2,FALSE)</f>
        <v>Mar</v>
      </c>
      <c r="B95" s="8">
        <f>VLOOKUP($G95,[232]Parameter!$V:$W,2,FALSE)</f>
        <v>46083</v>
      </c>
      <c r="C95" s="7" t="str">
        <f>VLOOKUP($I95,[232]Parameter!$A:$M,13,FALSE)</f>
        <v>CSD PET</v>
      </c>
      <c r="D95" s="7" t="str">
        <f>VLOOKUP($I95,[232]Parameter!$A:$M,11,FALSE)</f>
        <v>PET 300 EMN P24</v>
      </c>
      <c r="E95" s="7" t="str">
        <f>VLOOKUP($I95,[232]Parameter!$A:$N,14,FALSE)</f>
        <v>Pepsi Cola</v>
      </c>
      <c r="F95" s="9">
        <f t="shared" si="2"/>
        <v>32</v>
      </c>
      <c r="G95" s="10" t="s">
        <v>167</v>
      </c>
      <c r="H95" s="11">
        <v>320022970</v>
      </c>
      <c r="I95" s="11" t="s">
        <v>72</v>
      </c>
      <c r="J95" s="11">
        <v>7102</v>
      </c>
      <c r="K95" s="11" t="s">
        <v>20</v>
      </c>
      <c r="L95" s="12">
        <v>32</v>
      </c>
      <c r="M95" s="12">
        <v>0</v>
      </c>
      <c r="N95" s="12">
        <v>0</v>
      </c>
      <c r="O95" s="12">
        <v>0</v>
      </c>
      <c r="P95" s="12">
        <v>0</v>
      </c>
      <c r="Q95" s="12">
        <v>32</v>
      </c>
      <c r="R95" s="12">
        <v>32</v>
      </c>
    </row>
    <row r="96" spans="1:18" x14ac:dyDescent="0.3">
      <c r="A96" s="7" t="str">
        <f>VLOOKUP(MONTH($B96),[232]Parameter!$P:$Q,2,FALSE)</f>
        <v>Mar</v>
      </c>
      <c r="B96" s="8">
        <f>VLOOKUP($G96,[232]Parameter!$V:$W,2,FALSE)</f>
        <v>46083</v>
      </c>
      <c r="C96" s="7" t="str">
        <f>VLOOKUP($I96,[232]Parameter!$A:$M,13,FALSE)</f>
        <v>CSD CAN</v>
      </c>
      <c r="D96" s="7" t="str">
        <f>VLOOKUP($I96,[232]Parameter!$A:$M,11,FALSE)</f>
        <v>CAN 330</v>
      </c>
      <c r="E96" s="7" t="str">
        <f>VLOOKUP($I96,[232]Parameter!$A:$N,14,FALSE)</f>
        <v>7-Up</v>
      </c>
      <c r="F96" s="9">
        <f t="shared" si="2"/>
        <v>17588</v>
      </c>
      <c r="G96" s="10" t="s">
        <v>167</v>
      </c>
      <c r="H96" s="11">
        <v>320022971</v>
      </c>
      <c r="I96" s="11" t="s">
        <v>73</v>
      </c>
      <c r="J96" s="11">
        <v>7101</v>
      </c>
      <c r="K96" s="11" t="s">
        <v>19</v>
      </c>
      <c r="L96" s="12">
        <v>17587</v>
      </c>
      <c r="M96" s="12">
        <v>1</v>
      </c>
      <c r="N96" s="12">
        <v>4</v>
      </c>
      <c r="O96" s="12">
        <v>0</v>
      </c>
      <c r="P96" s="12">
        <v>0</v>
      </c>
      <c r="Q96" s="12">
        <v>17588</v>
      </c>
      <c r="R96" s="12">
        <v>17588</v>
      </c>
    </row>
    <row r="97" spans="1:18" x14ac:dyDescent="0.3">
      <c r="A97" s="7" t="str">
        <f>VLOOKUP(MONTH($B97),[232]Parameter!$P:$Q,2,FALSE)</f>
        <v>Mar</v>
      </c>
      <c r="B97" s="8">
        <f>VLOOKUP($G97,[232]Parameter!$V:$W,2,FALSE)</f>
        <v>46083</v>
      </c>
      <c r="C97" s="7" t="str">
        <f>VLOOKUP($I97,[232]Parameter!$A:$M,13,FALSE)</f>
        <v>CSD CAN</v>
      </c>
      <c r="D97" s="7" t="str">
        <f>VLOOKUP($I97,[232]Parameter!$A:$M,11,FALSE)</f>
        <v>CAN 330</v>
      </c>
      <c r="E97" s="7" t="str">
        <f>VLOOKUP($I97,[232]Parameter!$A:$N,14,FALSE)</f>
        <v>7-Up</v>
      </c>
      <c r="F97" s="9">
        <f t="shared" si="2"/>
        <v>3940</v>
      </c>
      <c r="G97" s="10" t="s">
        <v>167</v>
      </c>
      <c r="H97" s="11">
        <v>320022971</v>
      </c>
      <c r="I97" s="11" t="s">
        <v>73</v>
      </c>
      <c r="J97" s="11">
        <v>7102</v>
      </c>
      <c r="K97" s="11" t="s">
        <v>20</v>
      </c>
      <c r="L97" s="12">
        <v>3940</v>
      </c>
      <c r="M97" s="12">
        <v>0</v>
      </c>
      <c r="N97" s="12">
        <v>4</v>
      </c>
      <c r="O97" s="12">
        <v>0</v>
      </c>
      <c r="P97" s="12">
        <v>0</v>
      </c>
      <c r="Q97" s="12">
        <v>3940</v>
      </c>
      <c r="R97" s="12">
        <v>3940</v>
      </c>
    </row>
    <row r="98" spans="1:18" x14ac:dyDescent="0.3">
      <c r="A98" s="7" t="str">
        <f>VLOOKUP(MONTH($B98),[232]Parameter!$P:$Q,2,FALSE)</f>
        <v>Mar</v>
      </c>
      <c r="B98" s="8">
        <f>VLOOKUP($G98,[232]Parameter!$V:$W,2,FALSE)</f>
        <v>46083</v>
      </c>
      <c r="C98" s="7" t="str">
        <f>VLOOKUP($I98,[232]Parameter!$A:$M,13,FALSE)</f>
        <v>CSD PET</v>
      </c>
      <c r="D98" s="7" t="str">
        <f>VLOOKUP($I98,[232]Parameter!$A:$M,11,FALSE)</f>
        <v>PET 350 P12</v>
      </c>
      <c r="E98" s="7" t="str">
        <f>VLOOKUP($I98,[232]Parameter!$A:$N,14,FALSE)</f>
        <v>PEPSI NO SUGAR</v>
      </c>
      <c r="F98" s="9">
        <f t="shared" si="2"/>
        <v>1425</v>
      </c>
      <c r="G98" s="10" t="s">
        <v>167</v>
      </c>
      <c r="H98" s="11">
        <v>320022972</v>
      </c>
      <c r="I98" s="11" t="s">
        <v>74</v>
      </c>
      <c r="J98" s="11">
        <v>7101</v>
      </c>
      <c r="K98" s="11" t="s">
        <v>19</v>
      </c>
      <c r="L98" s="12">
        <v>1422</v>
      </c>
      <c r="M98" s="12">
        <v>3</v>
      </c>
      <c r="N98" s="12">
        <v>11</v>
      </c>
      <c r="O98" s="12">
        <v>0</v>
      </c>
      <c r="P98" s="12">
        <v>0</v>
      </c>
      <c r="Q98" s="12">
        <v>1425</v>
      </c>
      <c r="R98" s="12">
        <v>1425</v>
      </c>
    </row>
    <row r="99" spans="1:18" x14ac:dyDescent="0.3">
      <c r="A99" s="7" t="str">
        <f>VLOOKUP(MONTH($B99),[232]Parameter!$P:$Q,2,FALSE)</f>
        <v>Mar</v>
      </c>
      <c r="B99" s="8">
        <f>VLOOKUP($G99,[232]Parameter!$V:$W,2,FALSE)</f>
        <v>46083</v>
      </c>
      <c r="C99" s="7" t="str">
        <f>VLOOKUP($I99,[232]Parameter!$A:$M,13,FALSE)</f>
        <v>CSD PET</v>
      </c>
      <c r="D99" s="7" t="str">
        <f>VLOOKUP($I99,[232]Parameter!$A:$M,11,FALSE)</f>
        <v>PET 350 P12</v>
      </c>
      <c r="E99" s="7" t="str">
        <f>VLOOKUP($I99,[232]Parameter!$A:$N,14,FALSE)</f>
        <v>PEPSI NO SUGAR</v>
      </c>
      <c r="F99" s="9">
        <f t="shared" si="2"/>
        <v>192</v>
      </c>
      <c r="G99" s="10" t="s">
        <v>167</v>
      </c>
      <c r="H99" s="11">
        <v>320022972</v>
      </c>
      <c r="I99" s="11" t="s">
        <v>74</v>
      </c>
      <c r="J99" s="11">
        <v>7102</v>
      </c>
      <c r="K99" s="11" t="s">
        <v>20</v>
      </c>
      <c r="L99" s="12">
        <v>192</v>
      </c>
      <c r="M99" s="12">
        <v>0</v>
      </c>
      <c r="N99" s="12">
        <v>2</v>
      </c>
      <c r="O99" s="12">
        <v>0</v>
      </c>
      <c r="P99" s="12">
        <v>0</v>
      </c>
      <c r="Q99" s="12">
        <v>192</v>
      </c>
      <c r="R99" s="12">
        <v>192</v>
      </c>
    </row>
    <row r="100" spans="1:18" x14ac:dyDescent="0.3">
      <c r="A100" s="7" t="str">
        <f>VLOOKUP(MONTH($B100),[232]Parameter!$P:$Q,2,FALSE)</f>
        <v>Mar</v>
      </c>
      <c r="B100" s="8">
        <f>VLOOKUP($G100,[232]Parameter!$V:$W,2,FALSE)</f>
        <v>46083</v>
      </c>
      <c r="C100" s="7" t="str">
        <f>VLOOKUP($I100,[232]Parameter!$A:$M,13,FALSE)</f>
        <v>CSD CAN</v>
      </c>
      <c r="D100" s="7" t="str">
        <f>VLOOKUP($I100,[232]Parameter!$A:$M,11,FALSE)</f>
        <v>CAN 330</v>
      </c>
      <c r="E100" s="7" t="str">
        <f>VLOOKUP($I100,[232]Parameter!$A:$N,14,FALSE)</f>
        <v>Lipton</v>
      </c>
      <c r="F100" s="9">
        <f t="shared" si="2"/>
        <v>5906</v>
      </c>
      <c r="G100" s="10" t="s">
        <v>167</v>
      </c>
      <c r="H100" s="11">
        <v>320022978</v>
      </c>
      <c r="I100" s="11" t="s">
        <v>75</v>
      </c>
      <c r="J100" s="11">
        <v>7101</v>
      </c>
      <c r="K100" s="11" t="s">
        <v>19</v>
      </c>
      <c r="L100" s="12">
        <v>5906</v>
      </c>
      <c r="M100" s="12">
        <v>0</v>
      </c>
      <c r="N100" s="12">
        <v>4</v>
      </c>
      <c r="O100" s="12">
        <v>0</v>
      </c>
      <c r="P100" s="12">
        <v>0</v>
      </c>
      <c r="Q100" s="12">
        <v>5906</v>
      </c>
      <c r="R100" s="12">
        <v>5906</v>
      </c>
    </row>
    <row r="101" spans="1:18" x14ac:dyDescent="0.3">
      <c r="A101" s="7" t="str">
        <f>VLOOKUP(MONTH($B101),[232]Parameter!$P:$Q,2,FALSE)</f>
        <v>Mar</v>
      </c>
      <c r="B101" s="8">
        <f>VLOOKUP($G101,[232]Parameter!$V:$W,2,FALSE)</f>
        <v>46083</v>
      </c>
      <c r="C101" s="7" t="str">
        <f>VLOOKUP($I101,[232]Parameter!$A:$M,13,FALSE)</f>
        <v>CSD CAN</v>
      </c>
      <c r="D101" s="7" t="str">
        <f>VLOOKUP($I101,[232]Parameter!$A:$M,11,FALSE)</f>
        <v>CAN 330</v>
      </c>
      <c r="E101" s="7" t="str">
        <f>VLOOKUP($I101,[232]Parameter!$A:$N,14,FALSE)</f>
        <v>Lipton</v>
      </c>
      <c r="F101" s="9">
        <f t="shared" si="2"/>
        <v>5756</v>
      </c>
      <c r="G101" s="10" t="s">
        <v>167</v>
      </c>
      <c r="H101" s="11">
        <v>320022978</v>
      </c>
      <c r="I101" s="11" t="s">
        <v>75</v>
      </c>
      <c r="J101" s="11">
        <v>7102</v>
      </c>
      <c r="K101" s="11" t="s">
        <v>20</v>
      </c>
      <c r="L101" s="12">
        <v>5756</v>
      </c>
      <c r="M101" s="12">
        <v>0</v>
      </c>
      <c r="N101" s="12">
        <v>1</v>
      </c>
      <c r="O101" s="12">
        <v>0</v>
      </c>
      <c r="P101" s="12">
        <v>0</v>
      </c>
      <c r="Q101" s="12">
        <v>5756</v>
      </c>
      <c r="R101" s="12">
        <v>5756</v>
      </c>
    </row>
    <row r="102" spans="1:18" x14ac:dyDescent="0.3">
      <c r="A102" s="7" t="str">
        <f>VLOOKUP(MONTH($B102),[232]Parameter!$P:$Q,2,FALSE)</f>
        <v>Mar</v>
      </c>
      <c r="B102" s="8">
        <f>VLOOKUP($G102,[232]Parameter!$V:$W,2,FALSE)</f>
        <v>46083</v>
      </c>
      <c r="C102" s="7" t="str">
        <f>VLOOKUP($I102,[232]Parameter!$A:$M,13,FALSE)</f>
        <v>CSD PET</v>
      </c>
      <c r="D102" s="7" t="str">
        <f>VLOOKUP($I102,[232]Parameter!$A:$M,11,FALSE)</f>
        <v>PET AQ 450</v>
      </c>
      <c r="E102" s="7" t="str">
        <f>VLOOKUP($I102,[232]Parameter!$A:$N,14,FALSE)</f>
        <v>Lipton</v>
      </c>
      <c r="F102" s="9">
        <f t="shared" si="2"/>
        <v>12866</v>
      </c>
      <c r="G102" s="10" t="s">
        <v>167</v>
      </c>
      <c r="H102" s="11">
        <v>320023009</v>
      </c>
      <c r="I102" s="11" t="s">
        <v>76</v>
      </c>
      <c r="J102" s="11">
        <v>7101</v>
      </c>
      <c r="K102" s="11" t="s">
        <v>19</v>
      </c>
      <c r="L102" s="12">
        <v>12866</v>
      </c>
      <c r="M102" s="12">
        <v>0</v>
      </c>
      <c r="N102" s="12">
        <v>4</v>
      </c>
      <c r="O102" s="12">
        <v>0</v>
      </c>
      <c r="P102" s="12">
        <v>0</v>
      </c>
      <c r="Q102" s="12">
        <v>12866</v>
      </c>
      <c r="R102" s="12">
        <v>12866</v>
      </c>
    </row>
    <row r="103" spans="1:18" x14ac:dyDescent="0.3">
      <c r="A103" s="7" t="str">
        <f>VLOOKUP(MONTH($B103),[232]Parameter!$P:$Q,2,FALSE)</f>
        <v>Mar</v>
      </c>
      <c r="B103" s="8">
        <f>VLOOKUP($G103,[232]Parameter!$V:$W,2,FALSE)</f>
        <v>46083</v>
      </c>
      <c r="C103" s="7" t="str">
        <f>VLOOKUP($I103,[232]Parameter!$A:$M,13,FALSE)</f>
        <v>CSD PET</v>
      </c>
      <c r="D103" s="7" t="str">
        <f>VLOOKUP($I103,[232]Parameter!$A:$M,11,FALSE)</f>
        <v>PET AQ 450</v>
      </c>
      <c r="E103" s="7" t="str">
        <f>VLOOKUP($I103,[232]Parameter!$A:$N,14,FALSE)</f>
        <v>Lipton</v>
      </c>
      <c r="F103" s="9">
        <f t="shared" si="2"/>
        <v>59</v>
      </c>
      <c r="G103" s="10" t="s">
        <v>167</v>
      </c>
      <c r="H103" s="11">
        <v>320023009</v>
      </c>
      <c r="I103" s="11" t="s">
        <v>76</v>
      </c>
      <c r="J103" s="11">
        <v>7102</v>
      </c>
      <c r="K103" s="11" t="s">
        <v>20</v>
      </c>
      <c r="L103" s="12">
        <v>59</v>
      </c>
      <c r="M103" s="12">
        <v>0</v>
      </c>
      <c r="N103" s="12">
        <v>158</v>
      </c>
      <c r="O103" s="12">
        <v>0</v>
      </c>
      <c r="P103" s="12">
        <v>0</v>
      </c>
      <c r="Q103" s="12">
        <v>59</v>
      </c>
      <c r="R103" s="12">
        <v>59</v>
      </c>
    </row>
    <row r="104" spans="1:18" x14ac:dyDescent="0.3">
      <c r="A104" s="7" t="str">
        <f>VLOOKUP(MONTH($B104),[232]Parameter!$P:$Q,2,FALSE)</f>
        <v>Mar</v>
      </c>
      <c r="B104" s="8">
        <f>VLOOKUP($G104,[232]Parameter!$V:$W,2,FALSE)</f>
        <v>46083</v>
      </c>
      <c r="C104" s="7" t="str">
        <f>VLOOKUP($I104,[232]Parameter!$A:$M,13,FALSE)</f>
        <v>NCB PET</v>
      </c>
      <c r="D104" s="7" t="str">
        <f>VLOOKUP($I104,[232]Parameter!$A:$M,11,FALSE)</f>
        <v>PET NCB 1000</v>
      </c>
      <c r="E104" s="7" t="str">
        <f>VLOOKUP($I104,[232]Parameter!$A:$N,14,FALSE)</f>
        <v>Lipton</v>
      </c>
      <c r="F104" s="9">
        <f t="shared" si="2"/>
        <v>2917</v>
      </c>
      <c r="G104" s="10" t="s">
        <v>167</v>
      </c>
      <c r="H104" s="11">
        <v>320023019</v>
      </c>
      <c r="I104" s="11" t="s">
        <v>77</v>
      </c>
      <c r="J104" s="11">
        <v>7101</v>
      </c>
      <c r="K104" s="11" t="s">
        <v>19</v>
      </c>
      <c r="L104" s="12">
        <v>2917</v>
      </c>
      <c r="M104" s="12">
        <v>0</v>
      </c>
      <c r="N104" s="12">
        <v>5</v>
      </c>
      <c r="O104" s="12">
        <v>0</v>
      </c>
      <c r="P104" s="12">
        <v>0</v>
      </c>
      <c r="Q104" s="12">
        <v>2917</v>
      </c>
      <c r="R104" s="12">
        <v>2917</v>
      </c>
    </row>
    <row r="105" spans="1:18" x14ac:dyDescent="0.3">
      <c r="A105" s="7" t="str">
        <f>VLOOKUP(MONTH($B105),[232]Parameter!$P:$Q,2,FALSE)</f>
        <v>Mar</v>
      </c>
      <c r="B105" s="8">
        <f>VLOOKUP($G105,[232]Parameter!$V:$W,2,FALSE)</f>
        <v>46083</v>
      </c>
      <c r="C105" s="7" t="str">
        <f>VLOOKUP($I105,[232]Parameter!$A:$M,13,FALSE)</f>
        <v>NCB PET</v>
      </c>
      <c r="D105" s="7" t="str">
        <f>VLOOKUP($I105,[232]Parameter!$A:$M,11,FALSE)</f>
        <v>PET NCB 1000</v>
      </c>
      <c r="E105" s="7" t="str">
        <f>VLOOKUP($I105,[232]Parameter!$A:$N,14,FALSE)</f>
        <v>Lipton</v>
      </c>
      <c r="F105" s="9">
        <f t="shared" si="2"/>
        <v>9535</v>
      </c>
      <c r="G105" s="10" t="s">
        <v>167</v>
      </c>
      <c r="H105" s="11">
        <v>320023019</v>
      </c>
      <c r="I105" s="11" t="s">
        <v>77</v>
      </c>
      <c r="J105" s="11">
        <v>7102</v>
      </c>
      <c r="K105" s="11" t="s">
        <v>20</v>
      </c>
      <c r="L105" s="12">
        <v>9535</v>
      </c>
      <c r="M105" s="12">
        <v>0</v>
      </c>
      <c r="N105" s="12">
        <v>0</v>
      </c>
      <c r="O105" s="12">
        <v>0</v>
      </c>
      <c r="P105" s="12">
        <v>0</v>
      </c>
      <c r="Q105" s="12">
        <v>9535</v>
      </c>
      <c r="R105" s="12">
        <v>9535</v>
      </c>
    </row>
    <row r="106" spans="1:18" x14ac:dyDescent="0.3">
      <c r="A106" s="7" t="str">
        <f>VLOOKUP(MONTH($B106),[232]Parameter!$P:$Q,2,FALSE)</f>
        <v>Mar</v>
      </c>
      <c r="B106" s="8">
        <f>VLOOKUP($G106,[232]Parameter!$V:$W,2,FALSE)</f>
        <v>46083</v>
      </c>
      <c r="C106" s="7" t="str">
        <f>VLOOKUP($I106,[232]Parameter!$A:$M,13,FALSE)</f>
        <v>NCB PET</v>
      </c>
      <c r="D106" s="7" t="str">
        <f>VLOOKUP($I106,[232]Parameter!$A:$M,11,FALSE)</f>
        <v>PET GTR 500 P12</v>
      </c>
      <c r="E106" s="7" t="str">
        <f>VLOOKUP($I106,[232]Parameter!$A:$N,14,FALSE)</f>
        <v>GATORADE</v>
      </c>
      <c r="F106" s="9">
        <f t="shared" si="2"/>
        <v>9491</v>
      </c>
      <c r="G106" s="10" t="s">
        <v>167</v>
      </c>
      <c r="H106" s="11">
        <v>320023020</v>
      </c>
      <c r="I106" s="11" t="s">
        <v>78</v>
      </c>
      <c r="J106" s="11">
        <v>7101</v>
      </c>
      <c r="K106" s="11" t="s">
        <v>19</v>
      </c>
      <c r="L106" s="12">
        <v>9491</v>
      </c>
      <c r="M106" s="12">
        <v>0</v>
      </c>
      <c r="N106" s="12">
        <v>0</v>
      </c>
      <c r="O106" s="12">
        <v>0</v>
      </c>
      <c r="P106" s="12">
        <v>0</v>
      </c>
      <c r="Q106" s="12">
        <v>9491</v>
      </c>
      <c r="R106" s="12">
        <v>9491</v>
      </c>
    </row>
    <row r="107" spans="1:18" x14ac:dyDescent="0.3">
      <c r="A107" s="7" t="str">
        <f>VLOOKUP(MONTH($B107),[232]Parameter!$P:$Q,2,FALSE)</f>
        <v>Mar</v>
      </c>
      <c r="B107" s="8">
        <f>VLOOKUP($G107,[232]Parameter!$V:$W,2,FALSE)</f>
        <v>46083</v>
      </c>
      <c r="C107" s="7" t="str">
        <f>VLOOKUP($I107,[232]Parameter!$A:$M,13,FALSE)</f>
        <v>NCB PET</v>
      </c>
      <c r="D107" s="7" t="str">
        <f>VLOOKUP($I107,[232]Parameter!$A:$M,11,FALSE)</f>
        <v>PET GTR 500 P12</v>
      </c>
      <c r="E107" s="7" t="str">
        <f>VLOOKUP($I107,[232]Parameter!$A:$N,14,FALSE)</f>
        <v>GATORADE</v>
      </c>
      <c r="F107" s="9">
        <f t="shared" si="2"/>
        <v>13150</v>
      </c>
      <c r="G107" s="10" t="s">
        <v>167</v>
      </c>
      <c r="H107" s="11">
        <v>320023020</v>
      </c>
      <c r="I107" s="11" t="s">
        <v>78</v>
      </c>
      <c r="J107" s="11">
        <v>7102</v>
      </c>
      <c r="K107" s="11" t="s">
        <v>20</v>
      </c>
      <c r="L107" s="12">
        <v>13150</v>
      </c>
      <c r="M107" s="12">
        <v>0</v>
      </c>
      <c r="N107" s="12">
        <v>0</v>
      </c>
      <c r="O107" s="12">
        <v>0</v>
      </c>
      <c r="P107" s="12">
        <v>0</v>
      </c>
      <c r="Q107" s="12">
        <v>13150</v>
      </c>
      <c r="R107" s="12">
        <v>13150</v>
      </c>
    </row>
    <row r="108" spans="1:18" x14ac:dyDescent="0.3">
      <c r="A108" s="7" t="str">
        <f>VLOOKUP(MONTH($B108),[232]Parameter!$P:$Q,2,FALSE)</f>
        <v>Mar</v>
      </c>
      <c r="B108" s="8">
        <f>VLOOKUP($G108,[232]Parameter!$V:$W,2,FALSE)</f>
        <v>46083</v>
      </c>
      <c r="C108" s="7" t="str">
        <f>VLOOKUP($I108,[232]Parameter!$A:$M,13,FALSE)</f>
        <v>NCB PET</v>
      </c>
      <c r="D108" s="7" t="str">
        <f>VLOOKUP($I108,[232]Parameter!$A:$M,11,FALSE)</f>
        <v>PET GTR 500 P12</v>
      </c>
      <c r="E108" s="7" t="str">
        <f>VLOOKUP($I108,[232]Parameter!$A:$N,14,FALSE)</f>
        <v>GATORADE</v>
      </c>
      <c r="F108" s="9">
        <f t="shared" si="2"/>
        <v>8852</v>
      </c>
      <c r="G108" s="10" t="s">
        <v>167</v>
      </c>
      <c r="H108" s="11">
        <v>320023021</v>
      </c>
      <c r="I108" s="11" t="s">
        <v>79</v>
      </c>
      <c r="J108" s="11">
        <v>7101</v>
      </c>
      <c r="K108" s="11" t="s">
        <v>19</v>
      </c>
      <c r="L108" s="12">
        <v>8852</v>
      </c>
      <c r="M108" s="12">
        <v>0</v>
      </c>
      <c r="N108" s="12">
        <v>13</v>
      </c>
      <c r="O108" s="12">
        <v>0</v>
      </c>
      <c r="P108" s="12">
        <v>0</v>
      </c>
      <c r="Q108" s="12">
        <v>8852</v>
      </c>
      <c r="R108" s="12">
        <v>8852</v>
      </c>
    </row>
    <row r="109" spans="1:18" x14ac:dyDescent="0.3">
      <c r="A109" s="7" t="str">
        <f>VLOOKUP(MONTH($B109),[232]Parameter!$P:$Q,2,FALSE)</f>
        <v>Mar</v>
      </c>
      <c r="B109" s="8">
        <f>VLOOKUP($G109,[232]Parameter!$V:$W,2,FALSE)</f>
        <v>46083</v>
      </c>
      <c r="C109" s="7" t="str">
        <f>VLOOKUP($I109,[232]Parameter!$A:$M,13,FALSE)</f>
        <v>NCB PET</v>
      </c>
      <c r="D109" s="7" t="str">
        <f>VLOOKUP($I109,[232]Parameter!$A:$M,11,FALSE)</f>
        <v>PET GTR 500 P12</v>
      </c>
      <c r="E109" s="7" t="str">
        <f>VLOOKUP($I109,[232]Parameter!$A:$N,14,FALSE)</f>
        <v>GATORADE</v>
      </c>
      <c r="F109" s="9">
        <f t="shared" si="2"/>
        <v>10515</v>
      </c>
      <c r="G109" s="10" t="s">
        <v>167</v>
      </c>
      <c r="H109" s="11">
        <v>320023021</v>
      </c>
      <c r="I109" s="11" t="s">
        <v>79</v>
      </c>
      <c r="J109" s="11">
        <v>7102</v>
      </c>
      <c r="K109" s="11" t="s">
        <v>20</v>
      </c>
      <c r="L109" s="12">
        <v>10515</v>
      </c>
      <c r="M109" s="12">
        <v>0</v>
      </c>
      <c r="N109" s="12">
        <v>0</v>
      </c>
      <c r="O109" s="12">
        <v>0</v>
      </c>
      <c r="P109" s="12">
        <v>0</v>
      </c>
      <c r="Q109" s="12">
        <v>10515</v>
      </c>
      <c r="R109" s="12">
        <v>10515</v>
      </c>
    </row>
    <row r="110" spans="1:18" x14ac:dyDescent="0.3">
      <c r="A110" s="7" t="str">
        <f>VLOOKUP(MONTH($B110),[232]Parameter!$P:$Q,2,FALSE)</f>
        <v>Mar</v>
      </c>
      <c r="B110" s="8">
        <f>VLOOKUP($G110,[232]Parameter!$V:$W,2,FALSE)</f>
        <v>46083</v>
      </c>
      <c r="C110" s="7" t="str">
        <f>VLOOKUP($I110,[232]Parameter!$A:$M,13,FALSE)</f>
        <v>CSD PET</v>
      </c>
      <c r="D110" s="7" t="str">
        <f>VLOOKUP($I110,[232]Parameter!$A:$M,11,FALSE)</f>
        <v>PET 350 P24</v>
      </c>
      <c r="E110" s="7" t="str">
        <f>VLOOKUP($I110,[232]Parameter!$A:$N,14,FALSE)</f>
        <v>Pepsi Cola</v>
      </c>
      <c r="F110" s="9">
        <f t="shared" si="2"/>
        <v>16</v>
      </c>
      <c r="G110" s="10" t="s">
        <v>167</v>
      </c>
      <c r="H110" s="11">
        <v>320023022</v>
      </c>
      <c r="I110" s="11" t="s">
        <v>80</v>
      </c>
      <c r="J110" s="11">
        <v>7101</v>
      </c>
      <c r="K110" s="11" t="s">
        <v>19</v>
      </c>
      <c r="L110" s="12">
        <v>16</v>
      </c>
      <c r="M110" s="12">
        <v>0</v>
      </c>
      <c r="N110" s="12">
        <v>3</v>
      </c>
      <c r="O110" s="12">
        <v>0</v>
      </c>
      <c r="P110" s="12">
        <v>0</v>
      </c>
      <c r="Q110" s="12">
        <v>16</v>
      </c>
      <c r="R110" s="12">
        <v>16</v>
      </c>
    </row>
    <row r="111" spans="1:18" x14ac:dyDescent="0.3">
      <c r="A111" s="7" t="str">
        <f>VLOOKUP(MONTH($B111),[232]Parameter!$P:$Q,2,FALSE)</f>
        <v>Mar</v>
      </c>
      <c r="B111" s="8">
        <f>VLOOKUP($G111,[232]Parameter!$V:$W,2,FALSE)</f>
        <v>46083</v>
      </c>
      <c r="C111" s="7" t="str">
        <f>VLOOKUP($I111,[232]Parameter!$A:$M,13,FALSE)</f>
        <v>CSD PET</v>
      </c>
      <c r="D111" s="7" t="str">
        <f>VLOOKUP($I111,[232]Parameter!$A:$M,11,FALSE)</f>
        <v>PET 350 P24</v>
      </c>
      <c r="E111" s="7" t="str">
        <f>VLOOKUP($I111,[232]Parameter!$A:$N,14,FALSE)</f>
        <v>Pepsi Cola</v>
      </c>
      <c r="F111" s="9">
        <f t="shared" si="2"/>
        <v>103956</v>
      </c>
      <c r="G111" s="10" t="s">
        <v>167</v>
      </c>
      <c r="H111" s="11">
        <v>320023022</v>
      </c>
      <c r="I111" s="11" t="s">
        <v>80</v>
      </c>
      <c r="J111" s="11">
        <v>7102</v>
      </c>
      <c r="K111" s="11" t="s">
        <v>20</v>
      </c>
      <c r="L111" s="12">
        <v>103956</v>
      </c>
      <c r="M111" s="12">
        <v>0</v>
      </c>
      <c r="N111" s="12">
        <v>5</v>
      </c>
      <c r="O111" s="12">
        <v>0</v>
      </c>
      <c r="P111" s="12">
        <v>0</v>
      </c>
      <c r="Q111" s="12">
        <v>103956</v>
      </c>
      <c r="R111" s="12">
        <v>103956</v>
      </c>
    </row>
    <row r="112" spans="1:18" x14ac:dyDescent="0.3">
      <c r="A112" s="7" t="str">
        <f>VLOOKUP(MONTH($B112),[232]Parameter!$P:$Q,2,FALSE)</f>
        <v>Mar</v>
      </c>
      <c r="B112" s="8">
        <f>VLOOKUP($G112,[232]Parameter!$V:$W,2,FALSE)</f>
        <v>46083</v>
      </c>
      <c r="C112" s="7" t="str">
        <f>VLOOKUP($I112,[232]Parameter!$A:$M,13,FALSE)</f>
        <v>CSD PMX</v>
      </c>
      <c r="D112" s="7" t="str">
        <f>VLOOKUP($I112,[232]Parameter!$A:$M,11,FALSE)</f>
        <v>BIB 20L</v>
      </c>
      <c r="E112" s="7" t="str">
        <f>VLOOKUP($I112,[232]Parameter!$A:$N,14,FALSE)</f>
        <v>Pepsi Cola</v>
      </c>
      <c r="F112" s="9">
        <f t="shared" si="2"/>
        <v>5443</v>
      </c>
      <c r="G112" s="10" t="s">
        <v>167</v>
      </c>
      <c r="H112" s="11">
        <v>320023025</v>
      </c>
      <c r="I112" s="11" t="s">
        <v>81</v>
      </c>
      <c r="J112" s="11">
        <v>7101</v>
      </c>
      <c r="K112" s="11" t="s">
        <v>19</v>
      </c>
      <c r="L112" s="12">
        <v>5443</v>
      </c>
      <c r="M112" s="12">
        <v>0</v>
      </c>
      <c r="N112" s="12">
        <v>0</v>
      </c>
      <c r="O112" s="12">
        <v>0</v>
      </c>
      <c r="P112" s="12">
        <v>0</v>
      </c>
      <c r="Q112" s="12">
        <v>5443</v>
      </c>
      <c r="R112" s="12">
        <v>5443</v>
      </c>
    </row>
    <row r="113" spans="1:18" x14ac:dyDescent="0.3">
      <c r="A113" s="7" t="str">
        <f>VLOOKUP(MONTH($B113),[232]Parameter!$P:$Q,2,FALSE)</f>
        <v>Mar</v>
      </c>
      <c r="B113" s="8">
        <f>VLOOKUP($G113,[232]Parameter!$V:$W,2,FALSE)</f>
        <v>46083</v>
      </c>
      <c r="C113" s="7" t="str">
        <f>VLOOKUP($I113,[232]Parameter!$A:$M,13,FALSE)</f>
        <v>CSD PMX</v>
      </c>
      <c r="D113" s="7" t="str">
        <f>VLOOKUP($I113,[232]Parameter!$A:$M,11,FALSE)</f>
        <v>BIB 20L</v>
      </c>
      <c r="E113" s="7" t="str">
        <f>VLOOKUP($I113,[232]Parameter!$A:$N,14,FALSE)</f>
        <v>Pepsi Cola</v>
      </c>
      <c r="F113" s="9">
        <f t="shared" si="2"/>
        <v>3916</v>
      </c>
      <c r="G113" s="10" t="s">
        <v>167</v>
      </c>
      <c r="H113" s="11">
        <v>320023025</v>
      </c>
      <c r="I113" s="11" t="s">
        <v>81</v>
      </c>
      <c r="J113" s="11">
        <v>7102</v>
      </c>
      <c r="K113" s="11" t="s">
        <v>20</v>
      </c>
      <c r="L113" s="12">
        <v>3916</v>
      </c>
      <c r="M113" s="12">
        <v>0</v>
      </c>
      <c r="N113" s="12">
        <v>3</v>
      </c>
      <c r="O113" s="12">
        <v>0</v>
      </c>
      <c r="P113" s="12">
        <v>0</v>
      </c>
      <c r="Q113" s="12">
        <v>3916</v>
      </c>
      <c r="R113" s="12">
        <v>3916</v>
      </c>
    </row>
    <row r="114" spans="1:18" x14ac:dyDescent="0.3">
      <c r="A114" s="7" t="str">
        <f>VLOOKUP(MONTH($B114),[232]Parameter!$P:$Q,2,FALSE)</f>
        <v>Mar</v>
      </c>
      <c r="B114" s="8">
        <f>VLOOKUP($G114,[232]Parameter!$V:$W,2,FALSE)</f>
        <v>46083</v>
      </c>
      <c r="C114" s="7" t="str">
        <f>VLOOKUP($I114,[232]Parameter!$A:$M,13,FALSE)</f>
        <v>CSD PET</v>
      </c>
      <c r="D114" s="7" t="str">
        <f>VLOOKUP($I114,[232]Parameter!$A:$M,11,FALSE)</f>
        <v>PET 1500</v>
      </c>
      <c r="E114" s="7" t="str">
        <f>VLOOKUP($I114,[232]Parameter!$A:$N,14,FALSE)</f>
        <v>PEPSI NO SUGAR</v>
      </c>
      <c r="F114" s="9">
        <f t="shared" si="2"/>
        <v>22919</v>
      </c>
      <c r="G114" s="10" t="s">
        <v>167</v>
      </c>
      <c r="H114" s="11">
        <v>320023028</v>
      </c>
      <c r="I114" s="11" t="s">
        <v>82</v>
      </c>
      <c r="J114" s="11">
        <v>7101</v>
      </c>
      <c r="K114" s="11" t="s">
        <v>19</v>
      </c>
      <c r="L114" s="12">
        <v>22919</v>
      </c>
      <c r="M114" s="12">
        <v>0</v>
      </c>
      <c r="N114" s="12">
        <v>19</v>
      </c>
      <c r="O114" s="12">
        <v>0</v>
      </c>
      <c r="P114" s="12">
        <v>0</v>
      </c>
      <c r="Q114" s="12">
        <v>22919</v>
      </c>
      <c r="R114" s="12">
        <v>22919</v>
      </c>
    </row>
    <row r="115" spans="1:18" x14ac:dyDescent="0.3">
      <c r="A115" s="7" t="str">
        <f>VLOOKUP(MONTH($B115),[232]Parameter!$P:$Q,2,FALSE)</f>
        <v>Mar</v>
      </c>
      <c r="B115" s="8">
        <f>VLOOKUP($G115,[232]Parameter!$V:$W,2,FALSE)</f>
        <v>46083</v>
      </c>
      <c r="C115" s="7" t="str">
        <f>VLOOKUP($I115,[232]Parameter!$A:$M,13,FALSE)</f>
        <v>CSD PET</v>
      </c>
      <c r="D115" s="7" t="str">
        <f>VLOOKUP($I115,[232]Parameter!$A:$M,11,FALSE)</f>
        <v>PET 1500</v>
      </c>
      <c r="E115" s="7" t="str">
        <f>VLOOKUP($I115,[232]Parameter!$A:$N,14,FALSE)</f>
        <v>PEPSI NO SUGAR</v>
      </c>
      <c r="F115" s="9">
        <f t="shared" si="2"/>
        <v>6658</v>
      </c>
      <c r="G115" s="10" t="s">
        <v>167</v>
      </c>
      <c r="H115" s="11">
        <v>320023028</v>
      </c>
      <c r="I115" s="11" t="s">
        <v>82</v>
      </c>
      <c r="J115" s="11">
        <v>7102</v>
      </c>
      <c r="K115" s="11" t="s">
        <v>20</v>
      </c>
      <c r="L115" s="12">
        <v>6466</v>
      </c>
      <c r="M115" s="12">
        <v>0</v>
      </c>
      <c r="N115" s="12">
        <v>4</v>
      </c>
      <c r="O115" s="12">
        <v>0</v>
      </c>
      <c r="P115" s="12">
        <v>192</v>
      </c>
      <c r="Q115" s="12">
        <v>6658</v>
      </c>
      <c r="R115" s="12">
        <v>6466</v>
      </c>
    </row>
    <row r="116" spans="1:18" x14ac:dyDescent="0.3">
      <c r="A116" s="7" t="str">
        <f>VLOOKUP(MONTH($B116),[232]Parameter!$P:$Q,2,FALSE)</f>
        <v>Mar</v>
      </c>
      <c r="B116" s="8">
        <f>VLOOKUP($G116,[232]Parameter!$V:$W,2,FALSE)</f>
        <v>46083</v>
      </c>
      <c r="C116" s="7" t="str">
        <f>VLOOKUP($I116,[232]Parameter!$A:$M,13,FALSE)</f>
        <v>CSD PET</v>
      </c>
      <c r="D116" s="7" t="str">
        <f>VLOOKUP($I116,[232]Parameter!$A:$M,11,FALSE)</f>
        <v>PET 1500</v>
      </c>
      <c r="E116" s="7" t="str">
        <f>VLOOKUP($I116,[232]Parameter!$A:$N,14,FALSE)</f>
        <v>PEPSI LIME</v>
      </c>
      <c r="F116" s="9">
        <f t="shared" si="2"/>
        <v>2696</v>
      </c>
      <c r="G116" s="10" t="s">
        <v>167</v>
      </c>
      <c r="H116" s="11">
        <v>320023029</v>
      </c>
      <c r="I116" s="11" t="s">
        <v>83</v>
      </c>
      <c r="J116" s="11">
        <v>7101</v>
      </c>
      <c r="K116" s="11" t="s">
        <v>19</v>
      </c>
      <c r="L116" s="12">
        <v>2696</v>
      </c>
      <c r="M116" s="12">
        <v>0</v>
      </c>
      <c r="N116" s="12">
        <v>0</v>
      </c>
      <c r="O116" s="12">
        <v>0</v>
      </c>
      <c r="P116" s="12">
        <v>0</v>
      </c>
      <c r="Q116" s="12">
        <v>2696</v>
      </c>
      <c r="R116" s="12">
        <v>2696</v>
      </c>
    </row>
    <row r="117" spans="1:18" x14ac:dyDescent="0.3">
      <c r="A117" s="7" t="str">
        <f>VLOOKUP(MONTH($B117),[232]Parameter!$P:$Q,2,FALSE)</f>
        <v>Mar</v>
      </c>
      <c r="B117" s="8">
        <f>VLOOKUP($G117,[232]Parameter!$V:$W,2,FALSE)</f>
        <v>46083</v>
      </c>
      <c r="C117" s="7" t="str">
        <f>VLOOKUP($I117,[232]Parameter!$A:$M,13,FALSE)</f>
        <v>CSD PET</v>
      </c>
      <c r="D117" s="7" t="str">
        <f>VLOOKUP($I117,[232]Parameter!$A:$M,11,FALSE)</f>
        <v>PET 1500</v>
      </c>
      <c r="E117" s="7" t="str">
        <f>VLOOKUP($I117,[232]Parameter!$A:$N,14,FALSE)</f>
        <v>PEPSI LIME</v>
      </c>
      <c r="F117" s="9">
        <f t="shared" si="2"/>
        <v>0</v>
      </c>
      <c r="G117" s="10" t="s">
        <v>167</v>
      </c>
      <c r="H117" s="11">
        <v>320023029</v>
      </c>
      <c r="I117" s="11" t="s">
        <v>83</v>
      </c>
      <c r="J117" s="11">
        <v>7102</v>
      </c>
      <c r="K117" s="11" t="s">
        <v>20</v>
      </c>
      <c r="L117" s="12">
        <v>0</v>
      </c>
      <c r="M117" s="12">
        <v>0</v>
      </c>
      <c r="N117" s="12">
        <v>29</v>
      </c>
      <c r="O117" s="12">
        <v>0</v>
      </c>
      <c r="P117" s="12">
        <v>0</v>
      </c>
      <c r="Q117" s="12">
        <v>0</v>
      </c>
      <c r="R117" s="12">
        <v>0</v>
      </c>
    </row>
    <row r="118" spans="1:18" x14ac:dyDescent="0.3">
      <c r="A118" s="7" t="str">
        <f>VLOOKUP(MONTH($B118),[232]Parameter!$P:$Q,2,FALSE)</f>
        <v>Mar</v>
      </c>
      <c r="B118" s="8">
        <f>VLOOKUP($G118,[232]Parameter!$V:$W,2,FALSE)</f>
        <v>46083</v>
      </c>
      <c r="C118" s="7" t="str">
        <f>VLOOKUP($I118,[232]Parameter!$A:$M,13,FALSE)</f>
        <v>CSD PET</v>
      </c>
      <c r="D118" s="7" t="str">
        <f>VLOOKUP($I118,[232]Parameter!$A:$M,11,FALSE)</f>
        <v>PET 1500</v>
      </c>
      <c r="E118" s="7" t="str">
        <f>VLOOKUP($I118,[232]Parameter!$A:$N,14,FALSE)</f>
        <v>Pepsi Cola</v>
      </c>
      <c r="F118" s="9">
        <f t="shared" si="2"/>
        <v>11127</v>
      </c>
      <c r="G118" s="10" t="s">
        <v>167</v>
      </c>
      <c r="H118" s="11">
        <v>320023032</v>
      </c>
      <c r="I118" s="11" t="s">
        <v>84</v>
      </c>
      <c r="J118" s="11">
        <v>7101</v>
      </c>
      <c r="K118" s="11" t="s">
        <v>19</v>
      </c>
      <c r="L118" s="12">
        <v>11126</v>
      </c>
      <c r="M118" s="12">
        <v>1</v>
      </c>
      <c r="N118" s="12">
        <v>18</v>
      </c>
      <c r="O118" s="12">
        <v>0</v>
      </c>
      <c r="P118" s="12">
        <v>0</v>
      </c>
      <c r="Q118" s="12">
        <v>11127</v>
      </c>
      <c r="R118" s="12">
        <v>11127</v>
      </c>
    </row>
    <row r="119" spans="1:18" x14ac:dyDescent="0.3">
      <c r="A119" s="7" t="str">
        <f>VLOOKUP(MONTH($B119),[232]Parameter!$P:$Q,2,FALSE)</f>
        <v>Mar</v>
      </c>
      <c r="B119" s="8">
        <f>VLOOKUP($G119,[232]Parameter!$V:$W,2,FALSE)</f>
        <v>46083</v>
      </c>
      <c r="C119" s="7" t="str">
        <f>VLOOKUP($I119,[232]Parameter!$A:$M,13,FALSE)</f>
        <v>CSD PET</v>
      </c>
      <c r="D119" s="7" t="str">
        <f>VLOOKUP($I119,[232]Parameter!$A:$M,11,FALSE)</f>
        <v>PET 1500</v>
      </c>
      <c r="E119" s="7" t="str">
        <f>VLOOKUP($I119,[232]Parameter!$A:$N,14,FALSE)</f>
        <v>Pepsi Cola</v>
      </c>
      <c r="F119" s="9">
        <f t="shared" si="2"/>
        <v>42720</v>
      </c>
      <c r="G119" s="10" t="s">
        <v>167</v>
      </c>
      <c r="H119" s="11">
        <v>320023032</v>
      </c>
      <c r="I119" s="11" t="s">
        <v>84</v>
      </c>
      <c r="J119" s="11">
        <v>7102</v>
      </c>
      <c r="K119" s="11" t="s">
        <v>20</v>
      </c>
      <c r="L119" s="12">
        <v>42720</v>
      </c>
      <c r="M119" s="12">
        <v>0</v>
      </c>
      <c r="N119" s="12">
        <v>11</v>
      </c>
      <c r="O119" s="12">
        <v>0</v>
      </c>
      <c r="P119" s="12">
        <v>0</v>
      </c>
      <c r="Q119" s="12">
        <v>42720</v>
      </c>
      <c r="R119" s="12">
        <v>42720</v>
      </c>
    </row>
    <row r="120" spans="1:18" x14ac:dyDescent="0.3">
      <c r="A120" s="7" t="str">
        <f>VLOOKUP(MONTH($B120),[232]Parameter!$P:$Q,2,FALSE)</f>
        <v>Mar</v>
      </c>
      <c r="B120" s="8">
        <f>VLOOKUP($G120,[232]Parameter!$V:$W,2,FALSE)</f>
        <v>46083</v>
      </c>
      <c r="C120" s="7" t="str">
        <f>VLOOKUP($I120,[232]Parameter!$A:$M,13,FALSE)</f>
        <v>NCB PET</v>
      </c>
      <c r="D120" s="7" t="str">
        <f>VLOOKUP($I120,[232]Parameter!$A:$M,11,FALSE)</f>
        <v>PET COFF 250</v>
      </c>
      <c r="E120" s="7" t="str">
        <f>VLOOKUP($I120,[232]Parameter!$A:$N,14,FALSE)</f>
        <v>BOSS COFFEE</v>
      </c>
      <c r="F120" s="9">
        <f t="shared" si="2"/>
        <v>7253</v>
      </c>
      <c r="G120" s="10" t="s">
        <v>167</v>
      </c>
      <c r="H120" s="11">
        <v>320023040</v>
      </c>
      <c r="I120" s="11" t="s">
        <v>85</v>
      </c>
      <c r="J120" s="11">
        <v>7102</v>
      </c>
      <c r="K120" s="11" t="s">
        <v>20</v>
      </c>
      <c r="L120" s="12">
        <v>0</v>
      </c>
      <c r="M120" s="12">
        <v>7253</v>
      </c>
      <c r="N120" s="12">
        <v>0</v>
      </c>
      <c r="O120" s="12">
        <v>0</v>
      </c>
      <c r="P120" s="12">
        <v>0</v>
      </c>
      <c r="Q120" s="12">
        <v>7253</v>
      </c>
      <c r="R120" s="12">
        <v>7253</v>
      </c>
    </row>
    <row r="121" spans="1:18" x14ac:dyDescent="0.3">
      <c r="A121" s="7" t="str">
        <f>VLOOKUP(MONTH($B121),[232]Parameter!$P:$Q,2,FALSE)</f>
        <v>Mar</v>
      </c>
      <c r="B121" s="8">
        <f>VLOOKUP($G121,[232]Parameter!$V:$W,2,FALSE)</f>
        <v>46083</v>
      </c>
      <c r="C121" s="7" t="str">
        <f>VLOOKUP($I121,[232]Parameter!$A:$M,13,FALSE)</f>
        <v>NCB PET</v>
      </c>
      <c r="D121" s="7" t="str">
        <f>VLOOKUP($I121,[232]Parameter!$A:$M,11,FALSE)</f>
        <v>PET TEA+ 500</v>
      </c>
      <c r="E121" s="7" t="str">
        <f>VLOOKUP($I121,[232]Parameter!$A:$N,14,FALSE)</f>
        <v>TEA PLUS</v>
      </c>
      <c r="F121" s="9">
        <f t="shared" si="2"/>
        <v>1004</v>
      </c>
      <c r="G121" s="10" t="s">
        <v>167</v>
      </c>
      <c r="H121" s="11">
        <v>320023044</v>
      </c>
      <c r="I121" s="11" t="s">
        <v>86</v>
      </c>
      <c r="J121" s="11">
        <v>7101</v>
      </c>
      <c r="K121" s="11" t="s">
        <v>19</v>
      </c>
      <c r="L121" s="12">
        <v>1004</v>
      </c>
      <c r="M121" s="12">
        <v>0</v>
      </c>
      <c r="N121" s="12">
        <v>0</v>
      </c>
      <c r="O121" s="12">
        <v>0</v>
      </c>
      <c r="P121" s="12">
        <v>0</v>
      </c>
      <c r="Q121" s="12">
        <v>1004</v>
      </c>
      <c r="R121" s="12">
        <v>1004</v>
      </c>
    </row>
    <row r="122" spans="1:18" x14ac:dyDescent="0.3">
      <c r="A122" s="7" t="str">
        <f>VLOOKUP(MONTH($B122),[232]Parameter!$P:$Q,2,FALSE)</f>
        <v>Mar</v>
      </c>
      <c r="B122" s="8">
        <f>VLOOKUP($G122,[232]Parameter!$V:$W,2,FALSE)</f>
        <v>46083</v>
      </c>
      <c r="C122" s="7" t="str">
        <f>VLOOKUP($I122,[232]Parameter!$A:$M,13,FALSE)</f>
        <v>NCB PET</v>
      </c>
      <c r="D122" s="7" t="str">
        <f>VLOOKUP($I122,[232]Parameter!$A:$M,11,FALSE)</f>
        <v>PET TEA+ 500</v>
      </c>
      <c r="E122" s="7" t="str">
        <f>VLOOKUP($I122,[232]Parameter!$A:$N,14,FALSE)</f>
        <v>TEA PLUS</v>
      </c>
      <c r="F122" s="9">
        <f t="shared" si="2"/>
        <v>4394</v>
      </c>
      <c r="G122" s="10" t="s">
        <v>167</v>
      </c>
      <c r="H122" s="11">
        <v>320023044</v>
      </c>
      <c r="I122" s="11" t="s">
        <v>86</v>
      </c>
      <c r="J122" s="11">
        <v>7102</v>
      </c>
      <c r="K122" s="11" t="s">
        <v>20</v>
      </c>
      <c r="L122" s="12">
        <v>4394</v>
      </c>
      <c r="M122" s="12">
        <v>0</v>
      </c>
      <c r="N122" s="12">
        <v>1</v>
      </c>
      <c r="O122" s="12">
        <v>0</v>
      </c>
      <c r="P122" s="12">
        <v>0</v>
      </c>
      <c r="Q122" s="12">
        <v>4394</v>
      </c>
      <c r="R122" s="12">
        <v>4394</v>
      </c>
    </row>
    <row r="123" spans="1:18" x14ac:dyDescent="0.3">
      <c r="A123" s="7" t="str">
        <f>VLOOKUP(MONTH($B123),[232]Parameter!$P:$Q,2,FALSE)</f>
        <v>Mar</v>
      </c>
      <c r="B123" s="8">
        <f>VLOOKUP($G123,[232]Parameter!$V:$W,2,FALSE)</f>
        <v>46083</v>
      </c>
      <c r="C123" s="7" t="str">
        <f>VLOOKUP($I123,[232]Parameter!$A:$M,13,FALSE)</f>
        <v>NCB PET</v>
      </c>
      <c r="D123" s="7" t="str">
        <f>VLOOKUP($I123,[232]Parameter!$A:$M,11,FALSE)</f>
        <v>PET TEA+ 500</v>
      </c>
      <c r="E123" s="7" t="str">
        <f>VLOOKUP($I123,[232]Parameter!$A:$N,14,FALSE)</f>
        <v>TEA PLUS</v>
      </c>
      <c r="F123" s="9">
        <f t="shared" si="2"/>
        <v>1835</v>
      </c>
      <c r="G123" s="10" t="s">
        <v>167</v>
      </c>
      <c r="H123" s="11">
        <v>320023045</v>
      </c>
      <c r="I123" s="11" t="s">
        <v>87</v>
      </c>
      <c r="J123" s="11">
        <v>7101</v>
      </c>
      <c r="K123" s="11" t="s">
        <v>19</v>
      </c>
      <c r="L123" s="12">
        <v>1835</v>
      </c>
      <c r="M123" s="12">
        <v>0</v>
      </c>
      <c r="N123" s="12">
        <v>0</v>
      </c>
      <c r="O123" s="12">
        <v>0</v>
      </c>
      <c r="P123" s="12">
        <v>0</v>
      </c>
      <c r="Q123" s="12">
        <v>1835</v>
      </c>
      <c r="R123" s="12">
        <v>1835</v>
      </c>
    </row>
    <row r="124" spans="1:18" x14ac:dyDescent="0.3">
      <c r="A124" s="7" t="str">
        <f>VLOOKUP(MONTH($B124),[232]Parameter!$P:$Q,2,FALSE)</f>
        <v>Mar</v>
      </c>
      <c r="B124" s="8">
        <f>VLOOKUP($G124,[232]Parameter!$V:$W,2,FALSE)</f>
        <v>46083</v>
      </c>
      <c r="C124" s="7" t="str">
        <f>VLOOKUP($I124,[232]Parameter!$A:$M,13,FALSE)</f>
        <v>NCB PET</v>
      </c>
      <c r="D124" s="7" t="str">
        <f>VLOOKUP($I124,[232]Parameter!$A:$M,11,FALSE)</f>
        <v>PET TEA+ 500</v>
      </c>
      <c r="E124" s="7" t="str">
        <f>VLOOKUP($I124,[232]Parameter!$A:$N,14,FALSE)</f>
        <v>TEA PLUS</v>
      </c>
      <c r="F124" s="9">
        <f t="shared" si="2"/>
        <v>3723</v>
      </c>
      <c r="G124" s="10" t="s">
        <v>167</v>
      </c>
      <c r="H124" s="11">
        <v>320023045</v>
      </c>
      <c r="I124" s="11" t="s">
        <v>87</v>
      </c>
      <c r="J124" s="11">
        <v>7102</v>
      </c>
      <c r="K124" s="11" t="s">
        <v>20</v>
      </c>
      <c r="L124" s="12">
        <v>3723</v>
      </c>
      <c r="M124" s="12">
        <v>0</v>
      </c>
      <c r="N124" s="12">
        <v>980</v>
      </c>
      <c r="O124" s="12">
        <v>0</v>
      </c>
      <c r="P124" s="12">
        <v>0</v>
      </c>
      <c r="Q124" s="12">
        <v>3723</v>
      </c>
      <c r="R124" s="12">
        <v>3723</v>
      </c>
    </row>
    <row r="125" spans="1:18" x14ac:dyDescent="0.3">
      <c r="A125" s="7" t="str">
        <f>VLOOKUP(MONTH($B125),[232]Parameter!$P:$Q,2,FALSE)</f>
        <v>Mar</v>
      </c>
      <c r="B125" s="8">
        <f>VLOOKUP($G125,[232]Parameter!$V:$W,2,FALSE)</f>
        <v>46083</v>
      </c>
      <c r="C125" s="7" t="str">
        <f>VLOOKUP($I125,[232]Parameter!$A:$M,13,FALSE)</f>
        <v>NCB PET</v>
      </c>
      <c r="D125" s="7" t="str">
        <f>VLOOKUP($I125,[232]Parameter!$A:$M,11,FALSE)</f>
        <v>PET TEA+ 500</v>
      </c>
      <c r="E125" s="7" t="str">
        <f>VLOOKUP($I125,[232]Parameter!$A:$N,14,FALSE)</f>
        <v>TEA PLUS</v>
      </c>
      <c r="F125" s="9">
        <f t="shared" si="2"/>
        <v>3620</v>
      </c>
      <c r="G125" s="10" t="s">
        <v>167</v>
      </c>
      <c r="H125" s="11">
        <v>320023046</v>
      </c>
      <c r="I125" s="11" t="s">
        <v>88</v>
      </c>
      <c r="J125" s="11">
        <v>7101</v>
      </c>
      <c r="K125" s="11" t="s">
        <v>19</v>
      </c>
      <c r="L125" s="12">
        <v>3620</v>
      </c>
      <c r="M125" s="12">
        <v>0</v>
      </c>
      <c r="N125" s="12">
        <v>0</v>
      </c>
      <c r="O125" s="12">
        <v>0</v>
      </c>
      <c r="P125" s="12">
        <v>0</v>
      </c>
      <c r="Q125" s="12">
        <v>3620</v>
      </c>
      <c r="R125" s="12">
        <v>3620</v>
      </c>
    </row>
    <row r="126" spans="1:18" x14ac:dyDescent="0.3">
      <c r="A126" s="7" t="str">
        <f>VLOOKUP(MONTH($B126),[232]Parameter!$P:$Q,2,FALSE)</f>
        <v>Mar</v>
      </c>
      <c r="B126" s="8">
        <f>VLOOKUP($G126,[232]Parameter!$V:$W,2,FALSE)</f>
        <v>46083</v>
      </c>
      <c r="C126" s="7" t="str">
        <f>VLOOKUP($I126,[232]Parameter!$A:$M,13,FALSE)</f>
        <v>NCB PET</v>
      </c>
      <c r="D126" s="7" t="str">
        <f>VLOOKUP($I126,[232]Parameter!$A:$M,11,FALSE)</f>
        <v>PET TEA+ 500</v>
      </c>
      <c r="E126" s="7" t="str">
        <f>VLOOKUP($I126,[232]Parameter!$A:$N,14,FALSE)</f>
        <v>TEA PLUS</v>
      </c>
      <c r="F126" s="9">
        <f t="shared" si="2"/>
        <v>1768</v>
      </c>
      <c r="G126" s="10" t="s">
        <v>167</v>
      </c>
      <c r="H126" s="11">
        <v>320023046</v>
      </c>
      <c r="I126" s="11" t="s">
        <v>88</v>
      </c>
      <c r="J126" s="11">
        <v>7102</v>
      </c>
      <c r="K126" s="11" t="s">
        <v>20</v>
      </c>
      <c r="L126" s="12">
        <v>1768</v>
      </c>
      <c r="M126" s="12">
        <v>0</v>
      </c>
      <c r="N126" s="12">
        <v>0</v>
      </c>
      <c r="O126" s="12">
        <v>0</v>
      </c>
      <c r="P126" s="12">
        <v>0</v>
      </c>
      <c r="Q126" s="12">
        <v>1768</v>
      </c>
      <c r="R126" s="12">
        <v>1768</v>
      </c>
    </row>
    <row r="127" spans="1:18" x14ac:dyDescent="0.3">
      <c r="A127" s="7" t="str">
        <f>VLOOKUP(MONTH($B127),[232]Parameter!$P:$Q,2,FALSE)</f>
        <v>Mar</v>
      </c>
      <c r="B127" s="8">
        <f>VLOOKUP($G127,[232]Parameter!$V:$W,2,FALSE)</f>
        <v>46083</v>
      </c>
      <c r="C127" s="7" t="str">
        <f>VLOOKUP($I127,[232]Parameter!$A:$M,13,FALSE)</f>
        <v>NCB PET</v>
      </c>
      <c r="D127" s="7" t="str">
        <f>VLOOKUP($I127,[232]Parameter!$A:$M,11,FALSE)</f>
        <v>PET TEA+ 500</v>
      </c>
      <c r="E127" s="7" t="str">
        <f>VLOOKUP($I127,[232]Parameter!$A:$N,14,FALSE)</f>
        <v>TEA PLUS</v>
      </c>
      <c r="F127" s="9">
        <f t="shared" si="2"/>
        <v>4491</v>
      </c>
      <c r="G127" s="10" t="s">
        <v>167</v>
      </c>
      <c r="H127" s="11">
        <v>320023047</v>
      </c>
      <c r="I127" s="11" t="s">
        <v>89</v>
      </c>
      <c r="J127" s="11">
        <v>7101</v>
      </c>
      <c r="K127" s="11" t="s">
        <v>19</v>
      </c>
      <c r="L127" s="12">
        <v>3531</v>
      </c>
      <c r="M127" s="12">
        <v>0</v>
      </c>
      <c r="N127" s="12">
        <v>0</v>
      </c>
      <c r="O127" s="12">
        <v>0</v>
      </c>
      <c r="P127" s="12">
        <v>960</v>
      </c>
      <c r="Q127" s="12">
        <v>4491</v>
      </c>
      <c r="R127" s="12">
        <v>3531</v>
      </c>
    </row>
    <row r="128" spans="1:18" x14ac:dyDescent="0.3">
      <c r="A128" s="7" t="str">
        <f>VLOOKUP(MONTH($B128),[232]Parameter!$P:$Q,2,FALSE)</f>
        <v>Mar</v>
      </c>
      <c r="B128" s="8">
        <f>VLOOKUP($G128,[232]Parameter!$V:$W,2,FALSE)</f>
        <v>46083</v>
      </c>
      <c r="C128" s="7" t="str">
        <f>VLOOKUP($I128,[232]Parameter!$A:$M,13,FALSE)</f>
        <v>NCB PET</v>
      </c>
      <c r="D128" s="7" t="str">
        <f>VLOOKUP($I128,[232]Parameter!$A:$M,11,FALSE)</f>
        <v>PET TEA+ 500</v>
      </c>
      <c r="E128" s="7" t="str">
        <f>VLOOKUP($I128,[232]Parameter!$A:$N,14,FALSE)</f>
        <v>TEA PLUS</v>
      </c>
      <c r="F128" s="9">
        <f t="shared" si="2"/>
        <v>1047</v>
      </c>
      <c r="G128" s="10" t="s">
        <v>167</v>
      </c>
      <c r="H128" s="11">
        <v>320023047</v>
      </c>
      <c r="I128" s="11" t="s">
        <v>89</v>
      </c>
      <c r="J128" s="11">
        <v>7102</v>
      </c>
      <c r="K128" s="11" t="s">
        <v>20</v>
      </c>
      <c r="L128" s="12">
        <v>1047</v>
      </c>
      <c r="M128" s="12">
        <v>0</v>
      </c>
      <c r="N128" s="12">
        <v>0</v>
      </c>
      <c r="O128" s="12">
        <v>0</v>
      </c>
      <c r="P128" s="12">
        <v>0</v>
      </c>
      <c r="Q128" s="12">
        <v>1047</v>
      </c>
      <c r="R128" s="12">
        <v>1047</v>
      </c>
    </row>
    <row r="129" spans="1:18" x14ac:dyDescent="0.3">
      <c r="A129" s="7" t="str">
        <f>VLOOKUP(MONTH($B129),[232]Parameter!$P:$Q,2,FALSE)</f>
        <v>Mar</v>
      </c>
      <c r="B129" s="8">
        <f>VLOOKUP($G129,[232]Parameter!$V:$W,2,FALSE)</f>
        <v>46083</v>
      </c>
      <c r="C129" s="7" t="str">
        <f>VLOOKUP($I129,[232]Parameter!$A:$M,13,FALSE)</f>
        <v>NCB PET</v>
      </c>
      <c r="D129" s="7" t="str">
        <f>VLOOKUP($I129,[232]Parameter!$A:$M,11,FALSE)</f>
        <v>PET TEA+ 500</v>
      </c>
      <c r="E129" s="7" t="str">
        <f>VLOOKUP($I129,[232]Parameter!$A:$N,14,FALSE)</f>
        <v>TEA PLUS</v>
      </c>
      <c r="F129" s="9">
        <f t="shared" si="2"/>
        <v>1046</v>
      </c>
      <c r="G129" s="10" t="s">
        <v>167</v>
      </c>
      <c r="H129" s="11">
        <v>320023049</v>
      </c>
      <c r="I129" s="11" t="s">
        <v>90</v>
      </c>
      <c r="J129" s="11">
        <v>7101</v>
      </c>
      <c r="K129" s="11" t="s">
        <v>19</v>
      </c>
      <c r="L129" s="12">
        <v>1020</v>
      </c>
      <c r="M129" s="12">
        <v>26</v>
      </c>
      <c r="N129" s="12">
        <v>3</v>
      </c>
      <c r="O129" s="12">
        <v>0</v>
      </c>
      <c r="P129" s="12">
        <v>0</v>
      </c>
      <c r="Q129" s="12">
        <v>1046</v>
      </c>
      <c r="R129" s="12">
        <v>1046</v>
      </c>
    </row>
    <row r="130" spans="1:18" x14ac:dyDescent="0.3">
      <c r="A130" s="7" t="str">
        <f>VLOOKUP(MONTH($B130),[232]Parameter!$P:$Q,2,FALSE)</f>
        <v>Mar</v>
      </c>
      <c r="B130" s="8">
        <f>VLOOKUP($G130,[232]Parameter!$V:$W,2,FALSE)</f>
        <v>46083</v>
      </c>
      <c r="C130" s="7" t="str">
        <f>VLOOKUP($I130,[232]Parameter!$A:$M,13,FALSE)</f>
        <v>NCB PET</v>
      </c>
      <c r="D130" s="7" t="str">
        <f>VLOOKUP($I130,[232]Parameter!$A:$M,11,FALSE)</f>
        <v>PET TEA+ 500</v>
      </c>
      <c r="E130" s="7" t="str">
        <f>VLOOKUP($I130,[232]Parameter!$A:$N,14,FALSE)</f>
        <v>TEA PLUS</v>
      </c>
      <c r="F130" s="9">
        <f t="shared" si="2"/>
        <v>12946</v>
      </c>
      <c r="G130" s="10" t="s">
        <v>167</v>
      </c>
      <c r="H130" s="11">
        <v>320023049</v>
      </c>
      <c r="I130" s="11" t="s">
        <v>90</v>
      </c>
      <c r="J130" s="11">
        <v>7102</v>
      </c>
      <c r="K130" s="11" t="s">
        <v>20</v>
      </c>
      <c r="L130" s="12">
        <v>12946</v>
      </c>
      <c r="M130" s="12">
        <v>0</v>
      </c>
      <c r="N130" s="12">
        <v>0</v>
      </c>
      <c r="O130" s="12">
        <v>0</v>
      </c>
      <c r="P130" s="12">
        <v>0</v>
      </c>
      <c r="Q130" s="12">
        <v>12946</v>
      </c>
      <c r="R130" s="12">
        <v>12946</v>
      </c>
    </row>
    <row r="131" spans="1:18" x14ac:dyDescent="0.3">
      <c r="A131" s="7" t="str">
        <f>VLOOKUP(MONTH($B131),[232]Parameter!$P:$Q,2,FALSE)</f>
        <v>Mar</v>
      </c>
      <c r="B131" s="8">
        <f>VLOOKUP($G131,[232]Parameter!$V:$W,2,FALSE)</f>
        <v>46083</v>
      </c>
      <c r="C131" s="7" t="str">
        <f>VLOOKUP($I131,[232]Parameter!$A:$M,13,FALSE)</f>
        <v>NCB PET</v>
      </c>
      <c r="D131" s="7" t="str">
        <f>VLOOKUP($I131,[232]Parameter!$A:$M,11,FALSE)</f>
        <v>PET COFF 250</v>
      </c>
      <c r="E131" s="7" t="str">
        <f>VLOOKUP($I131,[232]Parameter!$A:$N,14,FALSE)</f>
        <v>BOSS COFFEE</v>
      </c>
      <c r="F131" s="9">
        <f t="shared" si="2"/>
        <v>2252</v>
      </c>
      <c r="G131" s="10" t="s">
        <v>167</v>
      </c>
      <c r="H131" s="11">
        <v>320023051</v>
      </c>
      <c r="I131" s="11" t="s">
        <v>91</v>
      </c>
      <c r="J131" s="11">
        <v>7102</v>
      </c>
      <c r="K131" s="11" t="s">
        <v>20</v>
      </c>
      <c r="L131" s="12">
        <v>0</v>
      </c>
      <c r="M131" s="12">
        <v>2252</v>
      </c>
      <c r="N131" s="12">
        <v>0</v>
      </c>
      <c r="O131" s="12">
        <v>0</v>
      </c>
      <c r="P131" s="12">
        <v>0</v>
      </c>
      <c r="Q131" s="12">
        <v>2252</v>
      </c>
      <c r="R131" s="12">
        <v>2252</v>
      </c>
    </row>
    <row r="132" spans="1:18" x14ac:dyDescent="0.3">
      <c r="A132" s="7" t="str">
        <f>VLOOKUP(MONTH($B132),[232]Parameter!$P:$Q,2,FALSE)</f>
        <v>Mar</v>
      </c>
      <c r="B132" s="8">
        <f>VLOOKUP($G132,[232]Parameter!$V:$W,2,FALSE)</f>
        <v>46083</v>
      </c>
      <c r="C132" s="7" t="str">
        <f>VLOOKUP($I132,[232]Parameter!$A:$M,13,FALSE)</f>
        <v>NCB PET</v>
      </c>
      <c r="D132" s="7" t="str">
        <f>VLOOKUP($I132,[232]Parameter!$A:$M,11,FALSE)</f>
        <v>PET COFF 250</v>
      </c>
      <c r="E132" s="7" t="str">
        <f>VLOOKUP($I132,[232]Parameter!$A:$N,14,FALSE)</f>
        <v>BOSS COFFEE</v>
      </c>
      <c r="F132" s="9">
        <f t="shared" si="2"/>
        <v>4135</v>
      </c>
      <c r="G132" s="10" t="s">
        <v>167</v>
      </c>
      <c r="H132" s="11">
        <v>320023052</v>
      </c>
      <c r="I132" s="11" t="s">
        <v>92</v>
      </c>
      <c r="J132" s="11">
        <v>7102</v>
      </c>
      <c r="K132" s="11" t="s">
        <v>20</v>
      </c>
      <c r="L132" s="12">
        <v>0</v>
      </c>
      <c r="M132" s="12">
        <v>4135</v>
      </c>
      <c r="N132" s="12">
        <v>0</v>
      </c>
      <c r="O132" s="12">
        <v>0</v>
      </c>
      <c r="P132" s="12">
        <v>0</v>
      </c>
      <c r="Q132" s="12">
        <v>4135</v>
      </c>
      <c r="R132" s="12">
        <v>4135</v>
      </c>
    </row>
    <row r="133" spans="1:18" x14ac:dyDescent="0.3">
      <c r="A133" s="7" t="str">
        <f>VLOOKUP(MONTH($B133),[232]Parameter!$P:$Q,2,FALSE)</f>
        <v>Mar</v>
      </c>
      <c r="B133" s="8">
        <f>VLOOKUP($G133,[232]Parameter!$V:$W,2,FALSE)</f>
        <v>46083</v>
      </c>
      <c r="C133" s="7" t="str">
        <f>VLOOKUP($I133,[232]Parameter!$A:$M,13,FALSE)</f>
        <v>CSD PET</v>
      </c>
      <c r="D133" s="7" t="str">
        <f>VLOOKUP($I133,[232]Parameter!$A:$M,11,FALSE)</f>
        <v>PET 1250</v>
      </c>
      <c r="E133" s="7" t="str">
        <f>VLOOKUP($I133,[232]Parameter!$A:$N,14,FALSE)</f>
        <v>Pepsi Cola</v>
      </c>
      <c r="F133" s="9">
        <f t="shared" si="2"/>
        <v>1632</v>
      </c>
      <c r="G133" s="10" t="s">
        <v>167</v>
      </c>
      <c r="H133" s="11">
        <v>320023056</v>
      </c>
      <c r="I133" s="11" t="s">
        <v>93</v>
      </c>
      <c r="J133" s="11">
        <v>7101</v>
      </c>
      <c r="K133" s="11" t="s">
        <v>19</v>
      </c>
      <c r="L133" s="12">
        <v>1631</v>
      </c>
      <c r="M133" s="12">
        <v>1</v>
      </c>
      <c r="N133" s="12">
        <v>0</v>
      </c>
      <c r="O133" s="12">
        <v>0</v>
      </c>
      <c r="P133" s="12">
        <v>0</v>
      </c>
      <c r="Q133" s="12">
        <v>1632</v>
      </c>
      <c r="R133" s="12">
        <v>1632</v>
      </c>
    </row>
    <row r="134" spans="1:18" x14ac:dyDescent="0.3">
      <c r="A134" s="7" t="str">
        <f>VLOOKUP(MONTH($B134),[232]Parameter!$P:$Q,2,FALSE)</f>
        <v>Mar</v>
      </c>
      <c r="B134" s="8">
        <f>VLOOKUP($G134,[232]Parameter!$V:$W,2,FALSE)</f>
        <v>46083</v>
      </c>
      <c r="C134" s="7" t="str">
        <f>VLOOKUP($I134,[232]Parameter!$A:$M,13,FALSE)</f>
        <v>CSD PET</v>
      </c>
      <c r="D134" s="7" t="str">
        <f>VLOOKUP($I134,[232]Parameter!$A:$M,11,FALSE)</f>
        <v>PET 1250</v>
      </c>
      <c r="E134" s="7" t="str">
        <f>VLOOKUP($I134,[232]Parameter!$A:$N,14,FALSE)</f>
        <v>Pepsi Cola</v>
      </c>
      <c r="F134" s="9">
        <f t="shared" si="2"/>
        <v>311</v>
      </c>
      <c r="G134" s="10" t="s">
        <v>167</v>
      </c>
      <c r="H134" s="11">
        <v>320023056</v>
      </c>
      <c r="I134" s="11" t="s">
        <v>93</v>
      </c>
      <c r="J134" s="11">
        <v>7102</v>
      </c>
      <c r="K134" s="11" t="s">
        <v>20</v>
      </c>
      <c r="L134" s="12">
        <v>311</v>
      </c>
      <c r="M134" s="12">
        <v>0</v>
      </c>
      <c r="N134" s="12">
        <v>2</v>
      </c>
      <c r="O134" s="12">
        <v>0</v>
      </c>
      <c r="P134" s="12">
        <v>0</v>
      </c>
      <c r="Q134" s="12">
        <v>311</v>
      </c>
      <c r="R134" s="12">
        <v>311</v>
      </c>
    </row>
    <row r="135" spans="1:18" x14ac:dyDescent="0.3">
      <c r="A135" s="7" t="str">
        <f>VLOOKUP(MONTH($B135),[232]Parameter!$P:$Q,2,FALSE)</f>
        <v>Mar</v>
      </c>
      <c r="B135" s="8">
        <f>VLOOKUP($G135,[232]Parameter!$V:$W,2,FALSE)</f>
        <v>46083</v>
      </c>
      <c r="C135" s="7" t="str">
        <f>VLOOKUP($I135,[232]Parameter!$A:$M,13,FALSE)</f>
        <v>CSD PET</v>
      </c>
      <c r="D135" s="7" t="str">
        <f>VLOOKUP($I135,[232]Parameter!$A:$M,11,FALSE)</f>
        <v>PET 1500</v>
      </c>
      <c r="E135" s="7" t="str">
        <f>VLOOKUP($I135,[232]Parameter!$A:$N,14,FALSE)</f>
        <v>Pepsi Cola</v>
      </c>
      <c r="F135" s="9">
        <f t="shared" si="2"/>
        <v>18011</v>
      </c>
      <c r="G135" s="10" t="s">
        <v>167</v>
      </c>
      <c r="H135" s="11">
        <v>320023059</v>
      </c>
      <c r="I135" s="11" t="s">
        <v>94</v>
      </c>
      <c r="J135" s="11">
        <v>7101</v>
      </c>
      <c r="K135" s="11" t="s">
        <v>19</v>
      </c>
      <c r="L135" s="12">
        <v>12251</v>
      </c>
      <c r="M135" s="12">
        <v>0</v>
      </c>
      <c r="N135" s="12">
        <v>58</v>
      </c>
      <c r="O135" s="12">
        <v>0</v>
      </c>
      <c r="P135" s="12">
        <v>5760</v>
      </c>
      <c r="Q135" s="12">
        <v>18011</v>
      </c>
      <c r="R135" s="12">
        <v>12251</v>
      </c>
    </row>
    <row r="136" spans="1:18" x14ac:dyDescent="0.3">
      <c r="A136" s="7" t="str">
        <f>VLOOKUP(MONTH($B136),[232]Parameter!$P:$Q,2,FALSE)</f>
        <v>Mar</v>
      </c>
      <c r="B136" s="8">
        <f>VLOOKUP($G136,[232]Parameter!$V:$W,2,FALSE)</f>
        <v>46083</v>
      </c>
      <c r="C136" s="7" t="str">
        <f>VLOOKUP($I136,[232]Parameter!$A:$M,13,FALSE)</f>
        <v>CSD PET</v>
      </c>
      <c r="D136" s="7" t="str">
        <f>VLOOKUP($I136,[232]Parameter!$A:$M,11,FALSE)</f>
        <v>PET 1500</v>
      </c>
      <c r="E136" s="7" t="str">
        <f>VLOOKUP($I136,[232]Parameter!$A:$N,14,FALSE)</f>
        <v>Pepsi Cola</v>
      </c>
      <c r="F136" s="9">
        <f t="shared" si="2"/>
        <v>16295</v>
      </c>
      <c r="G136" s="10" t="s">
        <v>167</v>
      </c>
      <c r="H136" s="11">
        <v>320023059</v>
      </c>
      <c r="I136" s="11" t="s">
        <v>94</v>
      </c>
      <c r="J136" s="11">
        <v>7102</v>
      </c>
      <c r="K136" s="11" t="s">
        <v>20</v>
      </c>
      <c r="L136" s="12">
        <v>13463</v>
      </c>
      <c r="M136" s="12">
        <v>2832</v>
      </c>
      <c r="N136" s="12">
        <v>7</v>
      </c>
      <c r="O136" s="12">
        <v>0</v>
      </c>
      <c r="P136" s="12">
        <v>0</v>
      </c>
      <c r="Q136" s="12">
        <v>16295</v>
      </c>
      <c r="R136" s="12">
        <v>16295</v>
      </c>
    </row>
    <row r="137" spans="1:18" x14ac:dyDescent="0.3">
      <c r="A137" s="7" t="str">
        <f>VLOOKUP(MONTH($B137),[232]Parameter!$P:$Q,2,FALSE)</f>
        <v>Mar</v>
      </c>
      <c r="B137" s="8">
        <f>VLOOKUP($G137,[232]Parameter!$V:$W,2,FALSE)</f>
        <v>46083</v>
      </c>
      <c r="C137" s="7" t="str">
        <f>VLOOKUP($I137,[232]Parameter!$A:$M,13,FALSE)</f>
        <v>CSD PET</v>
      </c>
      <c r="D137" s="7" t="str">
        <f>VLOOKUP($I137,[232]Parameter!$A:$M,11,FALSE)</f>
        <v>PET 2000</v>
      </c>
      <c r="E137" s="7" t="str">
        <f>VLOOKUP($I137,[232]Parameter!$A:$N,14,FALSE)</f>
        <v>Pepsi Cola</v>
      </c>
      <c r="F137" s="9">
        <f t="shared" si="2"/>
        <v>121458</v>
      </c>
      <c r="G137" s="10" t="s">
        <v>167</v>
      </c>
      <c r="H137" s="11">
        <v>320023060</v>
      </c>
      <c r="I137" s="11" t="s">
        <v>95</v>
      </c>
      <c r="J137" s="11">
        <v>7101</v>
      </c>
      <c r="K137" s="11" t="s">
        <v>19</v>
      </c>
      <c r="L137" s="12">
        <v>121457</v>
      </c>
      <c r="M137" s="12">
        <v>1</v>
      </c>
      <c r="N137" s="12">
        <v>112</v>
      </c>
      <c r="O137" s="12">
        <v>0</v>
      </c>
      <c r="P137" s="12">
        <v>0</v>
      </c>
      <c r="Q137" s="12">
        <v>121458</v>
      </c>
      <c r="R137" s="12">
        <v>121458</v>
      </c>
    </row>
    <row r="138" spans="1:18" x14ac:dyDescent="0.3">
      <c r="A138" s="7" t="str">
        <f>VLOOKUP(MONTH($B138),[232]Parameter!$P:$Q,2,FALSE)</f>
        <v>Mar</v>
      </c>
      <c r="B138" s="8">
        <f>VLOOKUP($G138,[232]Parameter!$V:$W,2,FALSE)</f>
        <v>46083</v>
      </c>
      <c r="C138" s="7" t="str">
        <f>VLOOKUP($I138,[232]Parameter!$A:$M,13,FALSE)</f>
        <v>CSD PET</v>
      </c>
      <c r="D138" s="7" t="str">
        <f>VLOOKUP($I138,[232]Parameter!$A:$M,11,FALSE)</f>
        <v>PET 2000</v>
      </c>
      <c r="E138" s="7" t="str">
        <f>VLOOKUP($I138,[232]Parameter!$A:$N,14,FALSE)</f>
        <v>Pepsi Cola</v>
      </c>
      <c r="F138" s="9">
        <f t="shared" ref="F138:F201" si="3">$Q138</f>
        <v>1111</v>
      </c>
      <c r="G138" s="10" t="s">
        <v>167</v>
      </c>
      <c r="H138" s="11">
        <v>320023060</v>
      </c>
      <c r="I138" s="11" t="s">
        <v>95</v>
      </c>
      <c r="J138" s="11">
        <v>7102</v>
      </c>
      <c r="K138" s="11" t="s">
        <v>20</v>
      </c>
      <c r="L138" s="12">
        <v>1111</v>
      </c>
      <c r="M138" s="12">
        <v>0</v>
      </c>
      <c r="N138" s="12">
        <v>16</v>
      </c>
      <c r="O138" s="12">
        <v>0</v>
      </c>
      <c r="P138" s="12">
        <v>0</v>
      </c>
      <c r="Q138" s="12">
        <v>1111</v>
      </c>
      <c r="R138" s="12">
        <v>1111</v>
      </c>
    </row>
    <row r="139" spans="1:18" x14ac:dyDescent="0.3">
      <c r="A139" s="7" t="str">
        <f>VLOOKUP(MONTH($B139),[232]Parameter!$P:$Q,2,FALSE)</f>
        <v>Mar</v>
      </c>
      <c r="B139" s="8">
        <f>VLOOKUP($G139,[232]Parameter!$V:$W,2,FALSE)</f>
        <v>46083</v>
      </c>
      <c r="C139" s="7" t="str">
        <f>VLOOKUP($I139,[232]Parameter!$A:$M,13,FALSE)</f>
        <v>NCB PET</v>
      </c>
      <c r="D139" s="7" t="str">
        <f>VLOOKUP($I139,[232]Parameter!$A:$M,11,FALSE)</f>
        <v>PET TEA+ 500</v>
      </c>
      <c r="E139" s="7" t="str">
        <f>VLOOKUP($I139,[232]Parameter!$A:$N,14,FALSE)</f>
        <v>TEA PLUS</v>
      </c>
      <c r="F139" s="9">
        <f t="shared" si="3"/>
        <v>117</v>
      </c>
      <c r="G139" s="10" t="s">
        <v>167</v>
      </c>
      <c r="H139" s="11">
        <v>320023066</v>
      </c>
      <c r="I139" s="11" t="s">
        <v>96</v>
      </c>
      <c r="J139" s="11">
        <v>7101</v>
      </c>
      <c r="K139" s="11" t="s">
        <v>19</v>
      </c>
      <c r="L139" s="12">
        <v>117</v>
      </c>
      <c r="M139" s="12">
        <v>0</v>
      </c>
      <c r="N139" s="12">
        <v>0</v>
      </c>
      <c r="O139" s="12">
        <v>0</v>
      </c>
      <c r="P139" s="12">
        <v>0</v>
      </c>
      <c r="Q139" s="12">
        <v>117</v>
      </c>
      <c r="R139" s="12">
        <v>117</v>
      </c>
    </row>
    <row r="140" spans="1:18" x14ac:dyDescent="0.3">
      <c r="A140" s="7" t="str">
        <f>VLOOKUP(MONTH($B140),[232]Parameter!$P:$Q,2,FALSE)</f>
        <v>Mar</v>
      </c>
      <c r="B140" s="8">
        <f>VLOOKUP($G140,[232]Parameter!$V:$W,2,FALSE)</f>
        <v>46083</v>
      </c>
      <c r="C140" s="7" t="str">
        <f>VLOOKUP($I140,[232]Parameter!$A:$M,13,FALSE)</f>
        <v>NCB PET</v>
      </c>
      <c r="D140" s="7" t="str">
        <f>VLOOKUP($I140,[232]Parameter!$A:$M,11,FALSE)</f>
        <v>PET COFF 250</v>
      </c>
      <c r="E140" s="7" t="str">
        <f>VLOOKUP($I140,[232]Parameter!$A:$N,14,FALSE)</f>
        <v>BOSS COFFEE</v>
      </c>
      <c r="F140" s="9">
        <f t="shared" si="3"/>
        <v>2072</v>
      </c>
      <c r="G140" s="10" t="s">
        <v>167</v>
      </c>
      <c r="H140" s="11">
        <v>320023071</v>
      </c>
      <c r="I140" s="11" t="s">
        <v>97</v>
      </c>
      <c r="J140" s="11">
        <v>7102</v>
      </c>
      <c r="K140" s="11" t="s">
        <v>20</v>
      </c>
      <c r="L140" s="12">
        <v>0</v>
      </c>
      <c r="M140" s="12">
        <v>2072</v>
      </c>
      <c r="N140" s="12">
        <v>0</v>
      </c>
      <c r="O140" s="12">
        <v>0</v>
      </c>
      <c r="P140" s="12">
        <v>0</v>
      </c>
      <c r="Q140" s="12">
        <v>2072</v>
      </c>
      <c r="R140" s="12">
        <v>2072</v>
      </c>
    </row>
    <row r="141" spans="1:18" x14ac:dyDescent="0.3">
      <c r="A141" s="7" t="str">
        <f>VLOOKUP(MONTH($B141),[232]Parameter!$P:$Q,2,FALSE)</f>
        <v>Mar</v>
      </c>
      <c r="B141" s="8">
        <f>VLOOKUP($G141,[232]Parameter!$V:$W,2,FALSE)</f>
        <v>46083</v>
      </c>
      <c r="C141" s="7" t="e">
        <f>VLOOKUP($I141,[232]Parameter!$A:$M,13,FALSE)</f>
        <v>#N/A</v>
      </c>
      <c r="D141" s="7" t="e">
        <f>VLOOKUP($I141,[232]Parameter!$A:$M,11,FALSE)</f>
        <v>#N/A</v>
      </c>
      <c r="E141" s="7" t="e">
        <f>VLOOKUP($I141,[232]Parameter!$A:$N,14,FALSE)</f>
        <v>#N/A</v>
      </c>
      <c r="F141" s="9">
        <f t="shared" si="3"/>
        <v>1267</v>
      </c>
      <c r="G141" s="10" t="s">
        <v>167</v>
      </c>
      <c r="H141" s="11">
        <v>320023072</v>
      </c>
      <c r="I141" s="11" t="s">
        <v>168</v>
      </c>
      <c r="J141" s="11">
        <v>7102</v>
      </c>
      <c r="K141" s="11" t="s">
        <v>20</v>
      </c>
      <c r="L141" s="12">
        <v>0</v>
      </c>
      <c r="M141" s="12">
        <v>1267</v>
      </c>
      <c r="N141" s="12">
        <v>0</v>
      </c>
      <c r="O141" s="12">
        <v>0</v>
      </c>
      <c r="P141" s="12">
        <v>0</v>
      </c>
      <c r="Q141" s="12">
        <v>1267</v>
      </c>
      <c r="R141" s="12">
        <v>1267</v>
      </c>
    </row>
    <row r="142" spans="1:18" x14ac:dyDescent="0.3">
      <c r="A142" s="7" t="str">
        <f>VLOOKUP(MONTH($B142),[232]Parameter!$P:$Q,2,FALSE)</f>
        <v>Mar</v>
      </c>
      <c r="B142" s="8">
        <f>VLOOKUP($G142,[232]Parameter!$V:$W,2,FALSE)</f>
        <v>46083</v>
      </c>
      <c r="C142" s="7" t="str">
        <f>VLOOKUP($I142,[232]Parameter!$A:$M,13,FALSE)</f>
        <v>NCB PET</v>
      </c>
      <c r="D142" s="7" t="str">
        <f>VLOOKUP($I142,[232]Parameter!$A:$M,11,FALSE)</f>
        <v>PET TEA+ 500</v>
      </c>
      <c r="E142" s="7" t="str">
        <f>VLOOKUP($I142,[232]Parameter!$A:$N,14,FALSE)</f>
        <v>TEA PLUS</v>
      </c>
      <c r="F142" s="9">
        <f t="shared" si="3"/>
        <v>5002</v>
      </c>
      <c r="G142" s="10" t="s">
        <v>167</v>
      </c>
      <c r="H142" s="11">
        <v>320023073</v>
      </c>
      <c r="I142" s="11" t="s">
        <v>98</v>
      </c>
      <c r="J142" s="11">
        <v>7101</v>
      </c>
      <c r="K142" s="11" t="s">
        <v>19</v>
      </c>
      <c r="L142" s="12">
        <v>5002</v>
      </c>
      <c r="M142" s="12">
        <v>0</v>
      </c>
      <c r="N142" s="12">
        <v>0</v>
      </c>
      <c r="O142" s="12">
        <v>0</v>
      </c>
      <c r="P142" s="12">
        <v>0</v>
      </c>
      <c r="Q142" s="12">
        <v>5002</v>
      </c>
      <c r="R142" s="12">
        <v>5002</v>
      </c>
    </row>
    <row r="143" spans="1:18" x14ac:dyDescent="0.3">
      <c r="A143" s="7" t="str">
        <f>VLOOKUP(MONTH($B143),[232]Parameter!$P:$Q,2,FALSE)</f>
        <v>Mar</v>
      </c>
      <c r="B143" s="8">
        <f>VLOOKUP($G143,[232]Parameter!$V:$W,2,FALSE)</f>
        <v>46083</v>
      </c>
      <c r="C143" s="7" t="str">
        <f>VLOOKUP($I143,[232]Parameter!$A:$M,13,FALSE)</f>
        <v>NCB PET</v>
      </c>
      <c r="D143" s="7" t="str">
        <f>VLOOKUP($I143,[232]Parameter!$A:$M,11,FALSE)</f>
        <v>PET TEA+ 500</v>
      </c>
      <c r="E143" s="7" t="str">
        <f>VLOOKUP($I143,[232]Parameter!$A:$N,14,FALSE)</f>
        <v>TEA PLUS</v>
      </c>
      <c r="F143" s="9">
        <f t="shared" si="3"/>
        <v>10816</v>
      </c>
      <c r="G143" s="10" t="s">
        <v>167</v>
      </c>
      <c r="H143" s="11">
        <v>320023073</v>
      </c>
      <c r="I143" s="11" t="s">
        <v>98</v>
      </c>
      <c r="J143" s="11">
        <v>7102</v>
      </c>
      <c r="K143" s="11" t="s">
        <v>20</v>
      </c>
      <c r="L143" s="12">
        <v>10816</v>
      </c>
      <c r="M143" s="12">
        <v>0</v>
      </c>
      <c r="N143" s="12">
        <v>0</v>
      </c>
      <c r="O143" s="12">
        <v>0</v>
      </c>
      <c r="P143" s="12">
        <v>0</v>
      </c>
      <c r="Q143" s="12">
        <v>10816</v>
      </c>
      <c r="R143" s="12">
        <v>10816</v>
      </c>
    </row>
    <row r="144" spans="1:18" x14ac:dyDescent="0.3">
      <c r="A144" s="7" t="str">
        <f>VLOOKUP(MONTH($B144),[232]Parameter!$P:$Q,2,FALSE)</f>
        <v>Mar</v>
      </c>
      <c r="B144" s="8">
        <f>VLOOKUP($G144,[232]Parameter!$V:$W,2,FALSE)</f>
        <v>46083</v>
      </c>
      <c r="C144" s="7" t="str">
        <f>VLOOKUP($I144,[232]Parameter!$A:$M,13,FALSE)</f>
        <v>CSD PMX</v>
      </c>
      <c r="D144" s="7" t="str">
        <f>VLOOKUP($I144,[232]Parameter!$A:$M,11,FALSE)</f>
        <v>BIB 5L</v>
      </c>
      <c r="E144" s="7" t="str">
        <f>VLOOKUP($I144,[232]Parameter!$A:$N,14,FALSE)</f>
        <v>PEPSI NO SUGAR</v>
      </c>
      <c r="F144" s="9">
        <f t="shared" si="3"/>
        <v>2472</v>
      </c>
      <c r="G144" s="10" t="s">
        <v>167</v>
      </c>
      <c r="H144" s="11">
        <v>320023074</v>
      </c>
      <c r="I144" s="11" t="s">
        <v>99</v>
      </c>
      <c r="J144" s="11">
        <v>7101</v>
      </c>
      <c r="K144" s="11" t="s">
        <v>19</v>
      </c>
      <c r="L144" s="12">
        <v>2472</v>
      </c>
      <c r="M144" s="12">
        <v>0</v>
      </c>
      <c r="N144" s="12">
        <v>0</v>
      </c>
      <c r="O144" s="12">
        <v>0</v>
      </c>
      <c r="P144" s="12">
        <v>0</v>
      </c>
      <c r="Q144" s="12">
        <v>2472</v>
      </c>
      <c r="R144" s="12">
        <v>2472</v>
      </c>
    </row>
    <row r="145" spans="1:18" x14ac:dyDescent="0.3">
      <c r="A145" s="7" t="str">
        <f>VLOOKUP(MONTH($B145),[232]Parameter!$P:$Q,2,FALSE)</f>
        <v>Mar</v>
      </c>
      <c r="B145" s="8">
        <f>VLOOKUP($G145,[232]Parameter!$V:$W,2,FALSE)</f>
        <v>46083</v>
      </c>
      <c r="C145" s="7" t="str">
        <f>VLOOKUP($I145,[232]Parameter!$A:$M,13,FALSE)</f>
        <v>CSD CAN</v>
      </c>
      <c r="D145" s="7" t="str">
        <f>VLOOKUP($I145,[232]Parameter!$A:$M,11,FALSE)</f>
        <v>CAN 330</v>
      </c>
      <c r="E145" s="7" t="str">
        <f>VLOOKUP($I145,[232]Parameter!$A:$N,14,FALSE)</f>
        <v>Lipton</v>
      </c>
      <c r="F145" s="9">
        <f t="shared" si="3"/>
        <v>3247</v>
      </c>
      <c r="G145" s="10" t="s">
        <v>167</v>
      </c>
      <c r="H145" s="11">
        <v>320023081</v>
      </c>
      <c r="I145" s="11" t="s">
        <v>100</v>
      </c>
      <c r="J145" s="11">
        <v>7101</v>
      </c>
      <c r="K145" s="11" t="s">
        <v>19</v>
      </c>
      <c r="L145" s="12">
        <v>3247</v>
      </c>
      <c r="M145" s="12">
        <v>0</v>
      </c>
      <c r="N145" s="12">
        <v>1</v>
      </c>
      <c r="O145" s="12">
        <v>0</v>
      </c>
      <c r="P145" s="12">
        <v>0</v>
      </c>
      <c r="Q145" s="12">
        <v>3247</v>
      </c>
      <c r="R145" s="12">
        <v>3247</v>
      </c>
    </row>
    <row r="146" spans="1:18" x14ac:dyDescent="0.3">
      <c r="A146" s="7" t="str">
        <f>VLOOKUP(MONTH($B146),[232]Parameter!$P:$Q,2,FALSE)</f>
        <v>Mar</v>
      </c>
      <c r="B146" s="8">
        <f>VLOOKUP($G146,[232]Parameter!$V:$W,2,FALSE)</f>
        <v>46083</v>
      </c>
      <c r="C146" s="7" t="str">
        <f>VLOOKUP($I146,[232]Parameter!$A:$M,13,FALSE)</f>
        <v>CSD CAN</v>
      </c>
      <c r="D146" s="7" t="str">
        <f>VLOOKUP($I146,[232]Parameter!$A:$M,11,FALSE)</f>
        <v>CAN 330</v>
      </c>
      <c r="E146" s="7" t="str">
        <f>VLOOKUP($I146,[232]Parameter!$A:$N,14,FALSE)</f>
        <v>Lipton</v>
      </c>
      <c r="F146" s="9">
        <f t="shared" si="3"/>
        <v>5131</v>
      </c>
      <c r="G146" s="10" t="s">
        <v>167</v>
      </c>
      <c r="H146" s="11">
        <v>320023081</v>
      </c>
      <c r="I146" s="11" t="s">
        <v>100</v>
      </c>
      <c r="J146" s="11">
        <v>7102</v>
      </c>
      <c r="K146" s="11" t="s">
        <v>20</v>
      </c>
      <c r="L146" s="12">
        <v>5131</v>
      </c>
      <c r="M146" s="12">
        <v>0</v>
      </c>
      <c r="N146" s="12">
        <v>6</v>
      </c>
      <c r="O146" s="12">
        <v>0</v>
      </c>
      <c r="P146" s="12">
        <v>0</v>
      </c>
      <c r="Q146" s="12">
        <v>5131</v>
      </c>
      <c r="R146" s="12">
        <v>5131</v>
      </c>
    </row>
    <row r="147" spans="1:18" x14ac:dyDescent="0.3">
      <c r="A147" s="7" t="str">
        <f>VLOOKUP(MONTH($B147),[232]Parameter!$P:$Q,2,FALSE)</f>
        <v>Mar</v>
      </c>
      <c r="B147" s="8">
        <f>VLOOKUP($G147,[232]Parameter!$V:$W,2,FALSE)</f>
        <v>46083</v>
      </c>
      <c r="C147" s="7" t="str">
        <f>VLOOKUP($I147,[232]Parameter!$A:$M,13,FALSE)</f>
        <v>CSD PET</v>
      </c>
      <c r="D147" s="7" t="str">
        <f>VLOOKUP($I147,[232]Parameter!$A:$M,11,FALSE)</f>
        <v>PET AQ 450</v>
      </c>
      <c r="E147" s="7" t="str">
        <f>VLOOKUP($I147,[232]Parameter!$A:$N,14,FALSE)</f>
        <v>Lipton</v>
      </c>
      <c r="F147" s="9">
        <f t="shared" si="3"/>
        <v>521</v>
      </c>
      <c r="G147" s="10" t="s">
        <v>167</v>
      </c>
      <c r="H147" s="11">
        <v>320023084</v>
      </c>
      <c r="I147" s="11" t="s">
        <v>101</v>
      </c>
      <c r="J147" s="11">
        <v>7101</v>
      </c>
      <c r="K147" s="11" t="s">
        <v>19</v>
      </c>
      <c r="L147" s="12">
        <v>521</v>
      </c>
      <c r="M147" s="12">
        <v>0</v>
      </c>
      <c r="N147" s="12">
        <v>828</v>
      </c>
      <c r="O147" s="12">
        <v>0</v>
      </c>
      <c r="P147" s="12">
        <v>0</v>
      </c>
      <c r="Q147" s="12">
        <v>521</v>
      </c>
      <c r="R147" s="12">
        <v>521</v>
      </c>
    </row>
    <row r="148" spans="1:18" x14ac:dyDescent="0.3">
      <c r="A148" s="7" t="str">
        <f>VLOOKUP(MONTH($B148),[232]Parameter!$P:$Q,2,FALSE)</f>
        <v>Mar</v>
      </c>
      <c r="B148" s="8">
        <f>VLOOKUP($G148,[232]Parameter!$V:$W,2,FALSE)</f>
        <v>46083</v>
      </c>
      <c r="C148" s="7" t="str">
        <f>VLOOKUP($I148,[232]Parameter!$A:$M,13,FALSE)</f>
        <v>CSD PET</v>
      </c>
      <c r="D148" s="7" t="str">
        <f>VLOOKUP($I148,[232]Parameter!$A:$M,11,FALSE)</f>
        <v>PET AQ 450</v>
      </c>
      <c r="E148" s="7" t="str">
        <f>VLOOKUP($I148,[232]Parameter!$A:$N,14,FALSE)</f>
        <v>Lipton</v>
      </c>
      <c r="F148" s="9">
        <f t="shared" si="3"/>
        <v>15</v>
      </c>
      <c r="G148" s="10" t="s">
        <v>167</v>
      </c>
      <c r="H148" s="11">
        <v>320023084</v>
      </c>
      <c r="I148" s="11" t="s">
        <v>101</v>
      </c>
      <c r="J148" s="11">
        <v>7102</v>
      </c>
      <c r="K148" s="11" t="s">
        <v>20</v>
      </c>
      <c r="L148" s="12">
        <v>15</v>
      </c>
      <c r="M148" s="12">
        <v>0</v>
      </c>
      <c r="N148" s="12">
        <v>308</v>
      </c>
      <c r="O148" s="12">
        <v>0</v>
      </c>
      <c r="P148" s="12">
        <v>0</v>
      </c>
      <c r="Q148" s="12">
        <v>15</v>
      </c>
      <c r="R148" s="12">
        <v>15</v>
      </c>
    </row>
    <row r="149" spans="1:18" x14ac:dyDescent="0.3">
      <c r="A149" s="7" t="str">
        <f>VLOOKUP(MONTH($B149),[232]Parameter!$P:$Q,2,FALSE)</f>
        <v>Mar</v>
      </c>
      <c r="B149" s="8">
        <f>VLOOKUP($G149,[232]Parameter!$V:$W,2,FALSE)</f>
        <v>46083</v>
      </c>
      <c r="C149" s="7" t="str">
        <f>VLOOKUP($I149,[232]Parameter!$A:$M,13,FALSE)</f>
        <v>CSD PET</v>
      </c>
      <c r="D149" s="7" t="str">
        <f>VLOOKUP($I149,[232]Parameter!$A:$M,11,FALSE)</f>
        <v>PET 1500</v>
      </c>
      <c r="E149" s="7" t="str">
        <f>VLOOKUP($I149,[232]Parameter!$A:$N,14,FALSE)</f>
        <v>Pepsi Cola</v>
      </c>
      <c r="F149" s="9">
        <f t="shared" si="3"/>
        <v>8</v>
      </c>
      <c r="G149" s="10" t="s">
        <v>167</v>
      </c>
      <c r="H149" s="11">
        <v>320023095</v>
      </c>
      <c r="I149" s="11" t="s">
        <v>102</v>
      </c>
      <c r="J149" s="11">
        <v>7101</v>
      </c>
      <c r="K149" s="11" t="s">
        <v>19</v>
      </c>
      <c r="L149" s="12">
        <v>8</v>
      </c>
      <c r="M149" s="12">
        <v>0</v>
      </c>
      <c r="N149" s="12">
        <v>15</v>
      </c>
      <c r="O149" s="12">
        <v>0</v>
      </c>
      <c r="P149" s="12">
        <v>0</v>
      </c>
      <c r="Q149" s="12">
        <v>8</v>
      </c>
      <c r="R149" s="12">
        <v>8</v>
      </c>
    </row>
    <row r="150" spans="1:18" x14ac:dyDescent="0.3">
      <c r="A150" s="7" t="str">
        <f>VLOOKUP(MONTH($B150),[232]Parameter!$P:$Q,2,FALSE)</f>
        <v>Mar</v>
      </c>
      <c r="B150" s="8">
        <f>VLOOKUP($G150,[232]Parameter!$V:$W,2,FALSE)</f>
        <v>46083</v>
      </c>
      <c r="C150" s="7" t="str">
        <f>VLOOKUP($I150,[232]Parameter!$A:$M,13,FALSE)</f>
        <v>CSD PET</v>
      </c>
      <c r="D150" s="7" t="str">
        <f>VLOOKUP($I150,[232]Parameter!$A:$M,11,FALSE)</f>
        <v>PET 1500</v>
      </c>
      <c r="E150" s="7" t="str">
        <f>VLOOKUP($I150,[232]Parameter!$A:$N,14,FALSE)</f>
        <v>Pepsi Cola</v>
      </c>
      <c r="F150" s="9">
        <f t="shared" si="3"/>
        <v>0</v>
      </c>
      <c r="G150" s="10" t="s">
        <v>167</v>
      </c>
      <c r="H150" s="11">
        <v>320023095</v>
      </c>
      <c r="I150" s="11" t="s">
        <v>102</v>
      </c>
      <c r="J150" s="11">
        <v>7102</v>
      </c>
      <c r="K150" s="11" t="s">
        <v>20</v>
      </c>
      <c r="L150" s="12">
        <v>0</v>
      </c>
      <c r="M150" s="12">
        <v>0</v>
      </c>
      <c r="N150" s="12">
        <v>28</v>
      </c>
      <c r="O150" s="12">
        <v>0</v>
      </c>
      <c r="P150" s="12">
        <v>0</v>
      </c>
      <c r="Q150" s="12">
        <v>0</v>
      </c>
      <c r="R150" s="12">
        <v>0</v>
      </c>
    </row>
    <row r="151" spans="1:18" x14ac:dyDescent="0.3">
      <c r="A151" s="7" t="str">
        <f>VLOOKUP(MONTH($B151),[232]Parameter!$P:$Q,2,FALSE)</f>
        <v>Mar</v>
      </c>
      <c r="B151" s="8">
        <f>VLOOKUP($G151,[232]Parameter!$V:$W,2,FALSE)</f>
        <v>46083</v>
      </c>
      <c r="C151" s="7" t="str">
        <f>VLOOKUP($I151,[232]Parameter!$A:$M,13,FALSE)</f>
        <v>NCB PET</v>
      </c>
      <c r="D151" s="7" t="str">
        <f>VLOOKUP($I151,[232]Parameter!$A:$M,11,FALSE)</f>
        <v>PET TEA+ 500</v>
      </c>
      <c r="E151" s="7" t="str">
        <f>VLOOKUP($I151,[232]Parameter!$A:$N,14,FALSE)</f>
        <v>TEA PLUS</v>
      </c>
      <c r="F151" s="9">
        <f t="shared" si="3"/>
        <v>9460</v>
      </c>
      <c r="G151" s="10" t="s">
        <v>167</v>
      </c>
      <c r="H151" s="11">
        <v>320023111</v>
      </c>
      <c r="I151" s="11" t="s">
        <v>103</v>
      </c>
      <c r="J151" s="11">
        <v>7102</v>
      </c>
      <c r="K151" s="11" t="s">
        <v>20</v>
      </c>
      <c r="L151" s="12">
        <v>9460</v>
      </c>
      <c r="M151" s="12">
        <v>0</v>
      </c>
      <c r="N151" s="12">
        <v>0</v>
      </c>
      <c r="O151" s="12">
        <v>0</v>
      </c>
      <c r="P151" s="12">
        <v>0</v>
      </c>
      <c r="Q151" s="12">
        <v>9460</v>
      </c>
      <c r="R151" s="12">
        <v>9460</v>
      </c>
    </row>
    <row r="152" spans="1:18" x14ac:dyDescent="0.3">
      <c r="A152" s="7" t="str">
        <f>VLOOKUP(MONTH($B152),[232]Parameter!$P:$Q,2,FALSE)</f>
        <v>Mar</v>
      </c>
      <c r="B152" s="8">
        <f>VLOOKUP($G152,[232]Parameter!$V:$W,2,FALSE)</f>
        <v>46083</v>
      </c>
      <c r="C152" s="7" t="str">
        <f>VLOOKUP($I152,[232]Parameter!$A:$M,13,FALSE)</f>
        <v>NCB PMX</v>
      </c>
      <c r="D152" s="7" t="str">
        <f>VLOOKUP($I152,[232]Parameter!$A:$M,11,FALSE)</f>
        <v>BIB NCB 10L</v>
      </c>
      <c r="E152" s="7" t="str">
        <f>VLOOKUP($I152,[232]Parameter!$A:$N,14,FALSE)</f>
        <v>Lipton</v>
      </c>
      <c r="F152" s="9">
        <f t="shared" si="3"/>
        <v>1520</v>
      </c>
      <c r="G152" s="10" t="s">
        <v>167</v>
      </c>
      <c r="H152" s="11">
        <v>320023130</v>
      </c>
      <c r="I152" s="11" t="s">
        <v>104</v>
      </c>
      <c r="J152" s="11">
        <v>7101</v>
      </c>
      <c r="K152" s="11" t="s">
        <v>19</v>
      </c>
      <c r="L152" s="12">
        <v>1520</v>
      </c>
      <c r="M152" s="12">
        <v>0</v>
      </c>
      <c r="N152" s="12">
        <v>1</v>
      </c>
      <c r="O152" s="12">
        <v>0</v>
      </c>
      <c r="P152" s="12">
        <v>0</v>
      </c>
      <c r="Q152" s="12">
        <v>1520</v>
      </c>
      <c r="R152" s="12">
        <v>1520</v>
      </c>
    </row>
    <row r="153" spans="1:18" x14ac:dyDescent="0.3">
      <c r="A153" s="7" t="str">
        <f>VLOOKUP(MONTH($B153),[232]Parameter!$P:$Q,2,FALSE)</f>
        <v>Mar</v>
      </c>
      <c r="B153" s="8">
        <f>VLOOKUP($G153,[232]Parameter!$V:$W,2,FALSE)</f>
        <v>46083</v>
      </c>
      <c r="C153" s="7" t="str">
        <f>VLOOKUP($I153,[232]Parameter!$A:$M,13,FALSE)</f>
        <v>NCB PMX</v>
      </c>
      <c r="D153" s="7" t="str">
        <f>VLOOKUP($I153,[232]Parameter!$A:$M,11,FALSE)</f>
        <v>BIB NCB 10L</v>
      </c>
      <c r="E153" s="7" t="str">
        <f>VLOOKUP($I153,[232]Parameter!$A:$N,14,FALSE)</f>
        <v>Lipton</v>
      </c>
      <c r="F153" s="9">
        <f t="shared" si="3"/>
        <v>769</v>
      </c>
      <c r="G153" s="10" t="s">
        <v>167</v>
      </c>
      <c r="H153" s="11">
        <v>320023130</v>
      </c>
      <c r="I153" s="11" t="s">
        <v>104</v>
      </c>
      <c r="J153" s="11">
        <v>7102</v>
      </c>
      <c r="K153" s="11" t="s">
        <v>20</v>
      </c>
      <c r="L153" s="12">
        <v>769</v>
      </c>
      <c r="M153" s="12">
        <v>0</v>
      </c>
      <c r="N153" s="12">
        <v>0</v>
      </c>
      <c r="O153" s="12">
        <v>0</v>
      </c>
      <c r="P153" s="12">
        <v>0</v>
      </c>
      <c r="Q153" s="12">
        <v>769</v>
      </c>
      <c r="R153" s="12">
        <v>769</v>
      </c>
    </row>
    <row r="154" spans="1:18" x14ac:dyDescent="0.3">
      <c r="A154" s="7" t="str">
        <f>VLOOKUP(MONTH($B154),[232]Parameter!$P:$Q,2,FALSE)</f>
        <v>Mar</v>
      </c>
      <c r="B154" s="8">
        <f>VLOOKUP($G154,[232]Parameter!$V:$W,2,FALSE)</f>
        <v>46083</v>
      </c>
      <c r="C154" s="7" t="str">
        <f>VLOOKUP($I154,[232]Parameter!$A:$M,13,FALSE)</f>
        <v>CSD PET</v>
      </c>
      <c r="D154" s="7" t="str">
        <f>VLOOKUP($I154,[232]Parameter!$A:$M,11,FALSE)</f>
        <v>PET 350 P24</v>
      </c>
      <c r="E154" s="7" t="str">
        <f>VLOOKUP($I154,[232]Parameter!$A:$N,14,FALSE)</f>
        <v>Pepsi Cola</v>
      </c>
      <c r="F154" s="9">
        <f t="shared" si="3"/>
        <v>2453</v>
      </c>
      <c r="G154" s="10" t="s">
        <v>167</v>
      </c>
      <c r="H154" s="11">
        <v>320023131</v>
      </c>
      <c r="I154" s="11" t="s">
        <v>105</v>
      </c>
      <c r="J154" s="11">
        <v>7101</v>
      </c>
      <c r="K154" s="11" t="s">
        <v>19</v>
      </c>
      <c r="L154" s="12">
        <v>2453</v>
      </c>
      <c r="M154" s="12">
        <v>0</v>
      </c>
      <c r="N154" s="12">
        <v>209</v>
      </c>
      <c r="O154" s="12">
        <v>0</v>
      </c>
      <c r="P154" s="12">
        <v>0</v>
      </c>
      <c r="Q154" s="12">
        <v>2453</v>
      </c>
      <c r="R154" s="12">
        <v>2453</v>
      </c>
    </row>
    <row r="155" spans="1:18" x14ac:dyDescent="0.3">
      <c r="A155" s="7" t="str">
        <f>VLOOKUP(MONTH($B155),[232]Parameter!$P:$Q,2,FALSE)</f>
        <v>Mar</v>
      </c>
      <c r="B155" s="8">
        <f>VLOOKUP($G155,[232]Parameter!$V:$W,2,FALSE)</f>
        <v>46083</v>
      </c>
      <c r="C155" s="7" t="str">
        <f>VLOOKUP($I155,[232]Parameter!$A:$M,13,FALSE)</f>
        <v>CSD PMX</v>
      </c>
      <c r="D155" s="7" t="str">
        <f>VLOOKUP($I155,[232]Parameter!$A:$M,11,FALSE)</f>
        <v>BIB 10L</v>
      </c>
      <c r="E155" s="7" t="str">
        <f>VLOOKUP($I155,[232]Parameter!$A:$N,14,FALSE)</f>
        <v>MRD Lemonade</v>
      </c>
      <c r="F155" s="9">
        <f t="shared" si="3"/>
        <v>0</v>
      </c>
      <c r="G155" s="10" t="s">
        <v>167</v>
      </c>
      <c r="H155" s="11">
        <v>320023132</v>
      </c>
      <c r="I155" s="11" t="s">
        <v>106</v>
      </c>
      <c r="J155" s="11">
        <v>7101</v>
      </c>
      <c r="K155" s="11" t="s">
        <v>19</v>
      </c>
      <c r="L155" s="12">
        <v>0</v>
      </c>
      <c r="M155" s="12">
        <v>0</v>
      </c>
      <c r="N155" s="12">
        <v>269</v>
      </c>
      <c r="O155" s="12">
        <v>0</v>
      </c>
      <c r="P155" s="12">
        <v>0</v>
      </c>
      <c r="Q155" s="12">
        <v>0</v>
      </c>
      <c r="R155" s="12">
        <v>0</v>
      </c>
    </row>
    <row r="156" spans="1:18" x14ac:dyDescent="0.3">
      <c r="A156" s="7" t="str">
        <f>VLOOKUP(MONTH($B156),[232]Parameter!$P:$Q,2,FALSE)</f>
        <v>Mar</v>
      </c>
      <c r="B156" s="8">
        <f>VLOOKUP($G156,[232]Parameter!$V:$W,2,FALSE)</f>
        <v>46083</v>
      </c>
      <c r="C156" s="7" t="str">
        <f>VLOOKUP($I156,[232]Parameter!$A:$M,13,FALSE)</f>
        <v>CSD PMX</v>
      </c>
      <c r="D156" s="7" t="str">
        <f>VLOOKUP($I156,[232]Parameter!$A:$M,11,FALSE)</f>
        <v>BIB 10L</v>
      </c>
      <c r="E156" s="7" t="str">
        <f>VLOOKUP($I156,[232]Parameter!$A:$N,14,FALSE)</f>
        <v>MRD Lemonade</v>
      </c>
      <c r="F156" s="9">
        <f t="shared" si="3"/>
        <v>0</v>
      </c>
      <c r="G156" s="10" t="s">
        <v>167</v>
      </c>
      <c r="H156" s="11">
        <v>320023132</v>
      </c>
      <c r="I156" s="11" t="s">
        <v>106</v>
      </c>
      <c r="J156" s="11">
        <v>7102</v>
      </c>
      <c r="K156" s="11" t="s">
        <v>20</v>
      </c>
      <c r="L156" s="12">
        <v>0</v>
      </c>
      <c r="M156" s="12">
        <v>0</v>
      </c>
      <c r="N156" s="12">
        <v>184</v>
      </c>
      <c r="O156" s="12">
        <v>0</v>
      </c>
      <c r="P156" s="12">
        <v>0</v>
      </c>
      <c r="Q156" s="12">
        <v>0</v>
      </c>
      <c r="R156" s="12">
        <v>0</v>
      </c>
    </row>
    <row r="157" spans="1:18" x14ac:dyDescent="0.3">
      <c r="A157" s="7" t="str">
        <f>VLOOKUP(MONTH($B157),[232]Parameter!$P:$Q,2,FALSE)</f>
        <v>Mar</v>
      </c>
      <c r="B157" s="8">
        <f>VLOOKUP($G157,[232]Parameter!$V:$W,2,FALSE)</f>
        <v>46083</v>
      </c>
      <c r="C157" s="7" t="str">
        <f>VLOOKUP($I157,[232]Parameter!$A:$M,13,FALSE)</f>
        <v>NCB PET</v>
      </c>
      <c r="D157" s="7" t="str">
        <f>VLOOKUP($I157,[232]Parameter!$A:$M,11,FALSE)</f>
        <v>PET TEA+ 500</v>
      </c>
      <c r="E157" s="7" t="str">
        <f>VLOOKUP($I157,[232]Parameter!$A:$N,14,FALSE)</f>
        <v>TEA PLUS</v>
      </c>
      <c r="F157" s="9">
        <f t="shared" si="3"/>
        <v>0</v>
      </c>
      <c r="G157" s="10" t="s">
        <v>167</v>
      </c>
      <c r="H157" s="11">
        <v>320023141</v>
      </c>
      <c r="I157" s="11" t="s">
        <v>107</v>
      </c>
      <c r="J157" s="11">
        <v>7101</v>
      </c>
      <c r="K157" s="11" t="s">
        <v>19</v>
      </c>
      <c r="L157" s="12">
        <v>0</v>
      </c>
      <c r="M157" s="12">
        <v>0</v>
      </c>
      <c r="N157" s="12">
        <v>2</v>
      </c>
      <c r="O157" s="12">
        <v>0</v>
      </c>
      <c r="P157" s="12">
        <v>0</v>
      </c>
      <c r="Q157" s="12">
        <v>0</v>
      </c>
      <c r="R157" s="12">
        <v>0</v>
      </c>
    </row>
    <row r="158" spans="1:18" x14ac:dyDescent="0.3">
      <c r="A158" s="7" t="str">
        <f>VLOOKUP(MONTH($B158),[232]Parameter!$P:$Q,2,FALSE)</f>
        <v>Mar</v>
      </c>
      <c r="B158" s="8">
        <f>VLOOKUP($G158,[232]Parameter!$V:$W,2,FALSE)</f>
        <v>46083</v>
      </c>
      <c r="C158" s="7" t="str">
        <f>VLOOKUP($I158,[232]Parameter!$A:$M,13,FALSE)</f>
        <v>NCB PET</v>
      </c>
      <c r="D158" s="7" t="str">
        <f>VLOOKUP($I158,[232]Parameter!$A:$M,11,FALSE)</f>
        <v>PET TEA+ 500</v>
      </c>
      <c r="E158" s="7" t="str">
        <f>VLOOKUP($I158,[232]Parameter!$A:$N,14,FALSE)</f>
        <v>TEA PLUS</v>
      </c>
      <c r="F158" s="9">
        <f t="shared" si="3"/>
        <v>0</v>
      </c>
      <c r="G158" s="10" t="s">
        <v>167</v>
      </c>
      <c r="H158" s="11">
        <v>320023145</v>
      </c>
      <c r="I158" s="11" t="s">
        <v>108</v>
      </c>
      <c r="J158" s="11">
        <v>7101</v>
      </c>
      <c r="K158" s="11" t="s">
        <v>19</v>
      </c>
      <c r="L158" s="12">
        <v>0</v>
      </c>
      <c r="M158" s="12">
        <v>0</v>
      </c>
      <c r="N158" s="12">
        <v>4</v>
      </c>
      <c r="O158" s="12">
        <v>0</v>
      </c>
      <c r="P158" s="12">
        <v>0</v>
      </c>
      <c r="Q158" s="12">
        <v>0</v>
      </c>
      <c r="R158" s="12">
        <v>0</v>
      </c>
    </row>
    <row r="159" spans="1:18" x14ac:dyDescent="0.3">
      <c r="A159" s="7" t="str">
        <f>VLOOKUP(MONTH($B159),[232]Parameter!$P:$Q,2,FALSE)</f>
        <v>Mar</v>
      </c>
      <c r="B159" s="8">
        <f>VLOOKUP($G159,[232]Parameter!$V:$W,2,FALSE)</f>
        <v>46083</v>
      </c>
      <c r="C159" s="7" t="str">
        <f>VLOOKUP($I159,[232]Parameter!$A:$M,13,FALSE)</f>
        <v>CSD PET</v>
      </c>
      <c r="D159" s="7" t="str">
        <f>VLOOKUP($I159,[232]Parameter!$A:$M,11,FALSE)</f>
        <v>PET 350 P24</v>
      </c>
      <c r="E159" s="7" t="str">
        <f>VLOOKUP($I159,[232]Parameter!$A:$N,14,FALSE)</f>
        <v>Pepsi Cola</v>
      </c>
      <c r="F159" s="9">
        <f t="shared" si="3"/>
        <v>20327</v>
      </c>
      <c r="G159" s="10" t="s">
        <v>167</v>
      </c>
      <c r="H159" s="11">
        <v>320023152</v>
      </c>
      <c r="I159" s="11" t="s">
        <v>109</v>
      </c>
      <c r="J159" s="11">
        <v>7101</v>
      </c>
      <c r="K159" s="11" t="s">
        <v>19</v>
      </c>
      <c r="L159" s="12">
        <v>20327</v>
      </c>
      <c r="M159" s="12">
        <v>0</v>
      </c>
      <c r="N159" s="12">
        <v>219</v>
      </c>
      <c r="O159" s="12">
        <v>0</v>
      </c>
      <c r="P159" s="12">
        <v>0</v>
      </c>
      <c r="Q159" s="12">
        <v>20327</v>
      </c>
      <c r="R159" s="12">
        <v>20327</v>
      </c>
    </row>
    <row r="160" spans="1:18" x14ac:dyDescent="0.3">
      <c r="A160" s="7" t="str">
        <f>VLOOKUP(MONTH($B160),[232]Parameter!$P:$Q,2,FALSE)</f>
        <v>Mar</v>
      </c>
      <c r="B160" s="8">
        <f>VLOOKUP($G160,[232]Parameter!$V:$W,2,FALSE)</f>
        <v>46083</v>
      </c>
      <c r="C160" s="7" t="str">
        <f>VLOOKUP($I160,[232]Parameter!$A:$M,13,FALSE)</f>
        <v>CSD PET</v>
      </c>
      <c r="D160" s="7" t="str">
        <f>VLOOKUP($I160,[232]Parameter!$A:$M,11,FALSE)</f>
        <v>PET 350 P24</v>
      </c>
      <c r="E160" s="7" t="str">
        <f>VLOOKUP($I160,[232]Parameter!$A:$N,14,FALSE)</f>
        <v>Pepsi Cola</v>
      </c>
      <c r="F160" s="9">
        <f t="shared" si="3"/>
        <v>0</v>
      </c>
      <c r="G160" s="10" t="s">
        <v>167</v>
      </c>
      <c r="H160" s="11">
        <v>320023152</v>
      </c>
      <c r="I160" s="11" t="s">
        <v>109</v>
      </c>
      <c r="J160" s="11">
        <v>7102</v>
      </c>
      <c r="K160" s="11" t="s">
        <v>20</v>
      </c>
      <c r="L160" s="12">
        <v>0</v>
      </c>
      <c r="M160" s="12">
        <v>0</v>
      </c>
      <c r="N160" s="12">
        <v>108</v>
      </c>
      <c r="O160" s="12">
        <v>0</v>
      </c>
      <c r="P160" s="12">
        <v>0</v>
      </c>
      <c r="Q160" s="12">
        <v>0</v>
      </c>
      <c r="R160" s="12">
        <v>0</v>
      </c>
    </row>
    <row r="161" spans="1:18" x14ac:dyDescent="0.3">
      <c r="A161" s="7" t="str">
        <f>VLOOKUP(MONTH($B161),[232]Parameter!$P:$Q,2,FALSE)</f>
        <v>Mar</v>
      </c>
      <c r="B161" s="8">
        <f>VLOOKUP($G161,[232]Parameter!$V:$W,2,FALSE)</f>
        <v>46083</v>
      </c>
      <c r="C161" s="7" t="str">
        <f>VLOOKUP($I161,[232]Parameter!$A:$M,13,FALSE)</f>
        <v>CSD PET</v>
      </c>
      <c r="D161" s="7" t="str">
        <f>VLOOKUP($I161,[232]Parameter!$A:$M,11,FALSE)</f>
        <v>PET 350 P24</v>
      </c>
      <c r="E161" s="7" t="str">
        <f>VLOOKUP($I161,[232]Parameter!$A:$N,14,FALSE)</f>
        <v>PEPSI NO SUGAR</v>
      </c>
      <c r="F161" s="9">
        <f t="shared" si="3"/>
        <v>10105</v>
      </c>
      <c r="G161" s="10" t="s">
        <v>167</v>
      </c>
      <c r="H161" s="11">
        <v>320023153</v>
      </c>
      <c r="I161" s="11" t="s">
        <v>110</v>
      </c>
      <c r="J161" s="11">
        <v>7101</v>
      </c>
      <c r="K161" s="11" t="s">
        <v>19</v>
      </c>
      <c r="L161" s="12">
        <v>10105</v>
      </c>
      <c r="M161" s="12">
        <v>0</v>
      </c>
      <c r="N161" s="12">
        <v>6</v>
      </c>
      <c r="O161" s="12">
        <v>0</v>
      </c>
      <c r="P161" s="12">
        <v>0</v>
      </c>
      <c r="Q161" s="12">
        <v>10105</v>
      </c>
      <c r="R161" s="12">
        <v>10105</v>
      </c>
    </row>
    <row r="162" spans="1:18" x14ac:dyDescent="0.3">
      <c r="A162" s="7" t="str">
        <f>VLOOKUP(MONTH($B162),[232]Parameter!$P:$Q,2,FALSE)</f>
        <v>Mar</v>
      </c>
      <c r="B162" s="8">
        <f>VLOOKUP($G162,[232]Parameter!$V:$W,2,FALSE)</f>
        <v>46083</v>
      </c>
      <c r="C162" s="7" t="str">
        <f>VLOOKUP($I162,[232]Parameter!$A:$M,13,FALSE)</f>
        <v>NCB PET</v>
      </c>
      <c r="D162" s="7" t="str">
        <f>VLOOKUP($I162,[232]Parameter!$A:$M,11,FALSE)</f>
        <v>PET COFF 250</v>
      </c>
      <c r="E162" s="7" t="str">
        <f>VLOOKUP($I162,[232]Parameter!$A:$N,14,FALSE)</f>
        <v>BOSS COFFEE</v>
      </c>
      <c r="F162" s="9">
        <f t="shared" si="3"/>
        <v>2451</v>
      </c>
      <c r="G162" s="10" t="s">
        <v>167</v>
      </c>
      <c r="H162" s="11">
        <v>320023163</v>
      </c>
      <c r="I162" s="11" t="s">
        <v>111</v>
      </c>
      <c r="J162" s="11">
        <v>7101</v>
      </c>
      <c r="K162" s="11" t="s">
        <v>19</v>
      </c>
      <c r="L162" s="12">
        <v>2451</v>
      </c>
      <c r="M162" s="12">
        <v>0</v>
      </c>
      <c r="N162" s="12">
        <v>0</v>
      </c>
      <c r="O162" s="12">
        <v>0</v>
      </c>
      <c r="P162" s="12">
        <v>0</v>
      </c>
      <c r="Q162" s="12">
        <v>2451</v>
      </c>
      <c r="R162" s="12">
        <v>2451</v>
      </c>
    </row>
    <row r="163" spans="1:18" x14ac:dyDescent="0.3">
      <c r="A163" s="7" t="str">
        <f>VLOOKUP(MONTH($B163),[232]Parameter!$P:$Q,2,FALSE)</f>
        <v>Mar</v>
      </c>
      <c r="B163" s="8">
        <f>VLOOKUP($G163,[232]Parameter!$V:$W,2,FALSE)</f>
        <v>46083</v>
      </c>
      <c r="C163" s="7" t="str">
        <f>VLOOKUP($I163,[232]Parameter!$A:$M,13,FALSE)</f>
        <v>NCB PET</v>
      </c>
      <c r="D163" s="7" t="str">
        <f>VLOOKUP($I163,[232]Parameter!$A:$M,11,FALSE)</f>
        <v>PET COFF 250</v>
      </c>
      <c r="E163" s="7" t="str">
        <f>VLOOKUP($I163,[232]Parameter!$A:$N,14,FALSE)</f>
        <v>BOSS COFFEE</v>
      </c>
      <c r="F163" s="9">
        <f t="shared" si="3"/>
        <v>187</v>
      </c>
      <c r="G163" s="10" t="s">
        <v>167</v>
      </c>
      <c r="H163" s="11">
        <v>320023171</v>
      </c>
      <c r="I163" s="11" t="s">
        <v>112</v>
      </c>
      <c r="J163" s="11">
        <v>7101</v>
      </c>
      <c r="K163" s="11" t="s">
        <v>19</v>
      </c>
      <c r="L163" s="12">
        <v>187</v>
      </c>
      <c r="M163" s="12">
        <v>0</v>
      </c>
      <c r="N163" s="12">
        <v>0</v>
      </c>
      <c r="O163" s="12">
        <v>0</v>
      </c>
      <c r="P163" s="12">
        <v>0</v>
      </c>
      <c r="Q163" s="12">
        <v>187</v>
      </c>
      <c r="R163" s="12">
        <v>187</v>
      </c>
    </row>
    <row r="164" spans="1:18" x14ac:dyDescent="0.3">
      <c r="A164" s="7" t="str">
        <f>VLOOKUP(MONTH($B164),[232]Parameter!$P:$Q,2,FALSE)</f>
        <v>Mar</v>
      </c>
      <c r="B164" s="8">
        <f>VLOOKUP($G164,[232]Parameter!$V:$W,2,FALSE)</f>
        <v>46083</v>
      </c>
      <c r="C164" s="7" t="str">
        <f>VLOOKUP($I164,[232]Parameter!$A:$M,13,FALSE)</f>
        <v>NCB PET</v>
      </c>
      <c r="D164" s="7" t="str">
        <f>VLOOKUP($I164,[232]Parameter!$A:$M,11,FALSE)</f>
        <v>PET COFF 250</v>
      </c>
      <c r="E164" s="7" t="str">
        <f>VLOOKUP($I164,[232]Parameter!$A:$N,14,FALSE)</f>
        <v>BOSS COFFEE</v>
      </c>
      <c r="F164" s="9">
        <f t="shared" si="3"/>
        <v>588</v>
      </c>
      <c r="G164" s="10" t="s">
        <v>167</v>
      </c>
      <c r="H164" s="11">
        <v>320023171</v>
      </c>
      <c r="I164" s="11" t="s">
        <v>112</v>
      </c>
      <c r="J164" s="11">
        <v>7102</v>
      </c>
      <c r="K164" s="11" t="s">
        <v>20</v>
      </c>
      <c r="L164" s="12">
        <v>588</v>
      </c>
      <c r="M164" s="12">
        <v>0</v>
      </c>
      <c r="N164" s="12">
        <v>0</v>
      </c>
      <c r="O164" s="12">
        <v>0</v>
      </c>
      <c r="P164" s="12">
        <v>0</v>
      </c>
      <c r="Q164" s="12">
        <v>588</v>
      </c>
      <c r="R164" s="12">
        <v>588</v>
      </c>
    </row>
    <row r="165" spans="1:18" x14ac:dyDescent="0.3">
      <c r="A165" s="7" t="str">
        <f>VLOOKUP(MONTH($B165),[232]Parameter!$P:$Q,2,FALSE)</f>
        <v>Mar</v>
      </c>
      <c r="B165" s="8">
        <f>VLOOKUP($G165,[232]Parameter!$V:$W,2,FALSE)</f>
        <v>46083</v>
      </c>
      <c r="C165" s="7" t="str">
        <f>VLOOKUP($I165,[232]Parameter!$A:$M,13,FALSE)</f>
        <v>CSD PET</v>
      </c>
      <c r="D165" s="7" t="str">
        <f>VLOOKUP($I165,[232]Parameter!$A:$M,11,FALSE)</f>
        <v>PET 1000</v>
      </c>
      <c r="E165" s="7" t="str">
        <f>VLOOKUP($I165,[232]Parameter!$A:$N,14,FALSE)</f>
        <v>PEPSI NO SUGAR</v>
      </c>
      <c r="F165" s="9">
        <f t="shared" si="3"/>
        <v>6415</v>
      </c>
      <c r="G165" s="10" t="s">
        <v>167</v>
      </c>
      <c r="H165" s="11">
        <v>320023184</v>
      </c>
      <c r="I165" s="11" t="s">
        <v>113</v>
      </c>
      <c r="J165" s="11">
        <v>7101</v>
      </c>
      <c r="K165" s="11" t="s">
        <v>19</v>
      </c>
      <c r="L165" s="12">
        <v>6415</v>
      </c>
      <c r="M165" s="12">
        <v>0</v>
      </c>
      <c r="N165" s="12">
        <v>13</v>
      </c>
      <c r="O165" s="12">
        <v>0</v>
      </c>
      <c r="P165" s="12">
        <v>0</v>
      </c>
      <c r="Q165" s="12">
        <v>6415</v>
      </c>
      <c r="R165" s="12">
        <v>6415</v>
      </c>
    </row>
    <row r="166" spans="1:18" x14ac:dyDescent="0.3">
      <c r="A166" s="7" t="str">
        <f>VLOOKUP(MONTH($B166),[232]Parameter!$P:$Q,2,FALSE)</f>
        <v>Mar</v>
      </c>
      <c r="B166" s="8">
        <f>VLOOKUP($G166,[232]Parameter!$V:$W,2,FALSE)</f>
        <v>46083</v>
      </c>
      <c r="C166" s="7" t="str">
        <f>VLOOKUP($I166,[232]Parameter!$A:$M,13,FALSE)</f>
        <v>CSD PET</v>
      </c>
      <c r="D166" s="7" t="str">
        <f>VLOOKUP($I166,[232]Parameter!$A:$M,11,FALSE)</f>
        <v>PET 1000</v>
      </c>
      <c r="E166" s="7" t="str">
        <f>VLOOKUP($I166,[232]Parameter!$A:$N,14,FALSE)</f>
        <v>PEPSI NO SUGAR</v>
      </c>
      <c r="F166" s="9">
        <f t="shared" si="3"/>
        <v>3</v>
      </c>
      <c r="G166" s="10" t="s">
        <v>167</v>
      </c>
      <c r="H166" s="11">
        <v>320023184</v>
      </c>
      <c r="I166" s="11" t="s">
        <v>113</v>
      </c>
      <c r="J166" s="11">
        <v>7102</v>
      </c>
      <c r="K166" s="11" t="s">
        <v>20</v>
      </c>
      <c r="L166" s="12">
        <v>3</v>
      </c>
      <c r="M166" s="12">
        <v>0</v>
      </c>
      <c r="N166" s="12">
        <v>1</v>
      </c>
      <c r="O166" s="12">
        <v>0</v>
      </c>
      <c r="P166" s="12">
        <v>0</v>
      </c>
      <c r="Q166" s="12">
        <v>3</v>
      </c>
      <c r="R166" s="12">
        <v>3</v>
      </c>
    </row>
    <row r="167" spans="1:18" x14ac:dyDescent="0.3">
      <c r="A167" s="7" t="str">
        <f>VLOOKUP(MONTH($B167),[232]Parameter!$P:$Q,2,FALSE)</f>
        <v>Mar</v>
      </c>
      <c r="B167" s="8">
        <f>VLOOKUP($G167,[232]Parameter!$V:$W,2,FALSE)</f>
        <v>46083</v>
      </c>
      <c r="C167" s="7" t="str">
        <f>VLOOKUP($I167,[232]Parameter!$A:$M,13,FALSE)</f>
        <v>CSD PET</v>
      </c>
      <c r="D167" s="7" t="str">
        <f>VLOOKUP($I167,[232]Parameter!$A:$M,11,FALSE)</f>
        <v>PET AQ 450</v>
      </c>
      <c r="E167" s="7" t="str">
        <f>VLOOKUP($I167,[232]Parameter!$A:$N,14,FALSE)</f>
        <v>Lipton</v>
      </c>
      <c r="F167" s="9">
        <f t="shared" si="3"/>
        <v>0</v>
      </c>
      <c r="G167" s="10" t="s">
        <v>167</v>
      </c>
      <c r="H167" s="11">
        <v>320023190</v>
      </c>
      <c r="I167" s="11" t="s">
        <v>114</v>
      </c>
      <c r="J167" s="11">
        <v>7101</v>
      </c>
      <c r="K167" s="11" t="s">
        <v>19</v>
      </c>
      <c r="L167" s="12">
        <v>0</v>
      </c>
      <c r="M167" s="12">
        <v>0</v>
      </c>
      <c r="N167" s="12">
        <v>1216</v>
      </c>
      <c r="O167" s="12">
        <v>0</v>
      </c>
      <c r="P167" s="12">
        <v>0</v>
      </c>
      <c r="Q167" s="12">
        <v>0</v>
      </c>
      <c r="R167" s="12">
        <v>0</v>
      </c>
    </row>
    <row r="168" spans="1:18" x14ac:dyDescent="0.3">
      <c r="A168" s="7" t="str">
        <f>VLOOKUP(MONTH($B168),[232]Parameter!$P:$Q,2,FALSE)</f>
        <v>Mar</v>
      </c>
      <c r="B168" s="8">
        <f>VLOOKUP($G168,[232]Parameter!$V:$W,2,FALSE)</f>
        <v>46083</v>
      </c>
      <c r="C168" s="7" t="str">
        <f>VLOOKUP($I168,[232]Parameter!$A:$M,13,FALSE)</f>
        <v>NCB PET</v>
      </c>
      <c r="D168" s="7" t="str">
        <f>VLOOKUP($I168,[232]Parameter!$A:$M,11,FALSE)</f>
        <v>PET GTR 500 P12</v>
      </c>
      <c r="E168" s="7" t="str">
        <f>VLOOKUP($I168,[232]Parameter!$A:$N,14,FALSE)</f>
        <v>GATORADE</v>
      </c>
      <c r="F168" s="9">
        <f t="shared" si="3"/>
        <v>643</v>
      </c>
      <c r="G168" s="10" t="s">
        <v>167</v>
      </c>
      <c r="H168" s="11">
        <v>320023191</v>
      </c>
      <c r="I168" s="11" t="s">
        <v>115</v>
      </c>
      <c r="J168" s="11">
        <v>7101</v>
      </c>
      <c r="K168" s="11" t="s">
        <v>19</v>
      </c>
      <c r="L168" s="12">
        <v>643</v>
      </c>
      <c r="M168" s="12">
        <v>0</v>
      </c>
      <c r="N168" s="12">
        <v>0</v>
      </c>
      <c r="O168" s="12">
        <v>0</v>
      </c>
      <c r="P168" s="12">
        <v>0</v>
      </c>
      <c r="Q168" s="12">
        <v>643</v>
      </c>
      <c r="R168" s="12">
        <v>643</v>
      </c>
    </row>
    <row r="169" spans="1:18" x14ac:dyDescent="0.3">
      <c r="A169" s="7" t="str">
        <f>VLOOKUP(MONTH($B169),[232]Parameter!$P:$Q,2,FALSE)</f>
        <v>Mar</v>
      </c>
      <c r="B169" s="8">
        <f>VLOOKUP($G169,[232]Parameter!$V:$W,2,FALSE)</f>
        <v>46083</v>
      </c>
      <c r="C169" s="7" t="str">
        <f>VLOOKUP($I169,[232]Parameter!$A:$M,13,FALSE)</f>
        <v>NCB PET</v>
      </c>
      <c r="D169" s="7" t="str">
        <f>VLOOKUP($I169,[232]Parameter!$A:$M,11,FALSE)</f>
        <v>PET GTR 500 P12</v>
      </c>
      <c r="E169" s="7" t="str">
        <f>VLOOKUP($I169,[232]Parameter!$A:$N,14,FALSE)</f>
        <v>GATORADE</v>
      </c>
      <c r="F169" s="9">
        <f t="shared" si="3"/>
        <v>854</v>
      </c>
      <c r="G169" s="10" t="s">
        <v>167</v>
      </c>
      <c r="H169" s="11">
        <v>320023191</v>
      </c>
      <c r="I169" s="11" t="s">
        <v>115</v>
      </c>
      <c r="J169" s="11">
        <v>7102</v>
      </c>
      <c r="K169" s="11" t="s">
        <v>20</v>
      </c>
      <c r="L169" s="12">
        <v>854</v>
      </c>
      <c r="M169" s="12">
        <v>0</v>
      </c>
      <c r="N169" s="12">
        <v>1</v>
      </c>
      <c r="O169" s="12">
        <v>0</v>
      </c>
      <c r="P169" s="12">
        <v>0</v>
      </c>
      <c r="Q169" s="12">
        <v>854</v>
      </c>
      <c r="R169" s="12">
        <v>854</v>
      </c>
    </row>
    <row r="170" spans="1:18" x14ac:dyDescent="0.3">
      <c r="A170" s="7" t="str">
        <f>VLOOKUP(MONTH($B170),[232]Parameter!$P:$Q,2,FALSE)</f>
        <v>Mar</v>
      </c>
      <c r="B170" s="8">
        <f>VLOOKUP($G170,[232]Parameter!$V:$W,2,FALSE)</f>
        <v>46083</v>
      </c>
      <c r="C170" s="7" t="str">
        <f>VLOOKUP($I170,[232]Parameter!$A:$M,13,FALSE)</f>
        <v>NCB PET</v>
      </c>
      <c r="D170" s="7" t="str">
        <f>VLOOKUP($I170,[232]Parameter!$A:$M,11,FALSE)</f>
        <v>PET COFF 250</v>
      </c>
      <c r="E170" s="7" t="str">
        <f>VLOOKUP($I170,[232]Parameter!$A:$N,14,FALSE)</f>
        <v>BOSS COFFEE</v>
      </c>
      <c r="F170" s="9">
        <f t="shared" si="3"/>
        <v>8154</v>
      </c>
      <c r="G170" s="10" t="s">
        <v>167</v>
      </c>
      <c r="H170" s="11">
        <v>320023197</v>
      </c>
      <c r="I170" s="11" t="s">
        <v>116</v>
      </c>
      <c r="J170" s="11">
        <v>7102</v>
      </c>
      <c r="K170" s="11" t="s">
        <v>20</v>
      </c>
      <c r="L170" s="12">
        <v>288</v>
      </c>
      <c r="M170" s="12">
        <v>7866</v>
      </c>
      <c r="N170" s="12">
        <v>0</v>
      </c>
      <c r="O170" s="12">
        <v>0</v>
      </c>
      <c r="P170" s="12">
        <v>0</v>
      </c>
      <c r="Q170" s="12">
        <v>8154</v>
      </c>
      <c r="R170" s="12">
        <v>8154</v>
      </c>
    </row>
    <row r="171" spans="1:18" x14ac:dyDescent="0.3">
      <c r="A171" s="7" t="str">
        <f>VLOOKUP(MONTH($B171),[232]Parameter!$P:$Q,2,FALSE)</f>
        <v>Mar</v>
      </c>
      <c r="B171" s="8">
        <f>VLOOKUP($G171,[232]Parameter!$V:$W,2,FALSE)</f>
        <v>46083</v>
      </c>
      <c r="C171" s="7" t="str">
        <f>VLOOKUP($I171,[232]Parameter!$A:$M,13,FALSE)</f>
        <v>NCB PET</v>
      </c>
      <c r="D171" s="7" t="str">
        <f>VLOOKUP($I171,[232]Parameter!$A:$M,11,FALSE)</f>
        <v>PET TEA+ 500</v>
      </c>
      <c r="E171" s="7" t="str">
        <f>VLOOKUP($I171,[232]Parameter!$A:$N,14,FALSE)</f>
        <v>TEA PLUS</v>
      </c>
      <c r="F171" s="9">
        <f t="shared" si="3"/>
        <v>1829</v>
      </c>
      <c r="G171" s="10" t="s">
        <v>167</v>
      </c>
      <c r="H171" s="11">
        <v>320023208</v>
      </c>
      <c r="I171" s="11" t="s">
        <v>117</v>
      </c>
      <c r="J171" s="11">
        <v>7101</v>
      </c>
      <c r="K171" s="11" t="s">
        <v>19</v>
      </c>
      <c r="L171" s="12">
        <v>1829</v>
      </c>
      <c r="M171" s="12">
        <v>0</v>
      </c>
      <c r="N171" s="12">
        <v>0</v>
      </c>
      <c r="O171" s="12">
        <v>0</v>
      </c>
      <c r="P171" s="12">
        <v>0</v>
      </c>
      <c r="Q171" s="12">
        <v>1829</v>
      </c>
      <c r="R171" s="12">
        <v>1829</v>
      </c>
    </row>
    <row r="172" spans="1:18" x14ac:dyDescent="0.3">
      <c r="A172" s="7" t="str">
        <f>VLOOKUP(MONTH($B172),[232]Parameter!$P:$Q,2,FALSE)</f>
        <v>Mar</v>
      </c>
      <c r="B172" s="8">
        <f>VLOOKUP($G172,[232]Parameter!$V:$W,2,FALSE)</f>
        <v>46083</v>
      </c>
      <c r="C172" s="7" t="str">
        <f>VLOOKUP($I172,[232]Parameter!$A:$M,13,FALSE)</f>
        <v>NCB PET</v>
      </c>
      <c r="D172" s="7" t="str">
        <f>VLOOKUP($I172,[232]Parameter!$A:$M,11,FALSE)</f>
        <v>PET TEA+ 500</v>
      </c>
      <c r="E172" s="7" t="str">
        <f>VLOOKUP($I172,[232]Parameter!$A:$N,14,FALSE)</f>
        <v>TEA PLUS</v>
      </c>
      <c r="F172" s="9">
        <f t="shared" si="3"/>
        <v>23655</v>
      </c>
      <c r="G172" s="10" t="s">
        <v>167</v>
      </c>
      <c r="H172" s="11">
        <v>320023208</v>
      </c>
      <c r="I172" s="11" t="s">
        <v>117</v>
      </c>
      <c r="J172" s="11">
        <v>7102</v>
      </c>
      <c r="K172" s="11" t="s">
        <v>20</v>
      </c>
      <c r="L172" s="12">
        <v>23655</v>
      </c>
      <c r="M172" s="12">
        <v>0</v>
      </c>
      <c r="N172" s="12">
        <v>0</v>
      </c>
      <c r="O172" s="12">
        <v>0</v>
      </c>
      <c r="P172" s="12">
        <v>0</v>
      </c>
      <c r="Q172" s="12">
        <v>23655</v>
      </c>
      <c r="R172" s="12">
        <v>23655</v>
      </c>
    </row>
    <row r="173" spans="1:18" x14ac:dyDescent="0.3">
      <c r="A173" s="7" t="str">
        <f>VLOOKUP(MONTH($B173),[232]Parameter!$P:$Q,2,FALSE)</f>
        <v>Mar</v>
      </c>
      <c r="B173" s="8">
        <f>VLOOKUP($G173,[232]Parameter!$V:$W,2,FALSE)</f>
        <v>46083</v>
      </c>
      <c r="C173" s="7" t="str">
        <f>VLOOKUP($I173,[232]Parameter!$A:$M,13,FALSE)</f>
        <v>NCB PET</v>
      </c>
      <c r="D173" s="7" t="str">
        <f>VLOOKUP($I173,[232]Parameter!$A:$M,11,FALSE)</f>
        <v>PET TEA+ 500</v>
      </c>
      <c r="E173" s="7" t="str">
        <f>VLOOKUP($I173,[232]Parameter!$A:$N,14,FALSE)</f>
        <v>TEA PLUS</v>
      </c>
      <c r="F173" s="9">
        <f t="shared" si="3"/>
        <v>465</v>
      </c>
      <c r="G173" s="10" t="s">
        <v>167</v>
      </c>
      <c r="H173" s="11">
        <v>320023209</v>
      </c>
      <c r="I173" s="11" t="s">
        <v>118</v>
      </c>
      <c r="J173" s="11">
        <v>7101</v>
      </c>
      <c r="K173" s="11" t="s">
        <v>19</v>
      </c>
      <c r="L173" s="12">
        <v>427</v>
      </c>
      <c r="M173" s="12">
        <v>38</v>
      </c>
      <c r="N173" s="12">
        <v>0</v>
      </c>
      <c r="O173" s="12">
        <v>0</v>
      </c>
      <c r="P173" s="12">
        <v>0</v>
      </c>
      <c r="Q173" s="12">
        <v>465</v>
      </c>
      <c r="R173" s="12">
        <v>465</v>
      </c>
    </row>
    <row r="174" spans="1:18" x14ac:dyDescent="0.3">
      <c r="A174" s="7" t="str">
        <f>VLOOKUP(MONTH($B174),[232]Parameter!$P:$Q,2,FALSE)</f>
        <v>Mar</v>
      </c>
      <c r="B174" s="8">
        <f>VLOOKUP($G174,[232]Parameter!$V:$W,2,FALSE)</f>
        <v>46083</v>
      </c>
      <c r="C174" s="7" t="str">
        <f>VLOOKUP($I174,[232]Parameter!$A:$M,13,FALSE)</f>
        <v>NCB PET</v>
      </c>
      <c r="D174" s="7" t="str">
        <f>VLOOKUP($I174,[232]Parameter!$A:$M,11,FALSE)</f>
        <v>PET TEA+ 500</v>
      </c>
      <c r="E174" s="7" t="str">
        <f>VLOOKUP($I174,[232]Parameter!$A:$N,14,FALSE)</f>
        <v>TEA PLUS</v>
      </c>
      <c r="F174" s="9">
        <f t="shared" si="3"/>
        <v>841</v>
      </c>
      <c r="G174" s="10" t="s">
        <v>167</v>
      </c>
      <c r="H174" s="11">
        <v>320023209</v>
      </c>
      <c r="I174" s="11" t="s">
        <v>118</v>
      </c>
      <c r="J174" s="11">
        <v>7102</v>
      </c>
      <c r="K174" s="11" t="s">
        <v>20</v>
      </c>
      <c r="L174" s="12">
        <v>841</v>
      </c>
      <c r="M174" s="12">
        <v>0</v>
      </c>
      <c r="N174" s="12">
        <v>0</v>
      </c>
      <c r="O174" s="12">
        <v>0</v>
      </c>
      <c r="P174" s="12">
        <v>0</v>
      </c>
      <c r="Q174" s="12">
        <v>841</v>
      </c>
      <c r="R174" s="12">
        <v>841</v>
      </c>
    </row>
    <row r="175" spans="1:18" x14ac:dyDescent="0.3">
      <c r="A175" s="7" t="str">
        <f>VLOOKUP(MONTH($B175),[232]Parameter!$P:$Q,2,FALSE)</f>
        <v>Mar</v>
      </c>
      <c r="B175" s="8">
        <f>VLOOKUP($G175,[232]Parameter!$V:$W,2,FALSE)</f>
        <v>46083</v>
      </c>
      <c r="C175" s="7" t="str">
        <f>VLOOKUP($I175,[232]Parameter!$A:$M,13,FALSE)</f>
        <v>NCB PET</v>
      </c>
      <c r="D175" s="7" t="str">
        <f>VLOOKUP($I175,[232]Parameter!$A:$M,11,FALSE)</f>
        <v>PET TEA+ 500</v>
      </c>
      <c r="E175" s="7" t="str">
        <f>VLOOKUP($I175,[232]Parameter!$A:$N,14,FALSE)</f>
        <v>TEA PLUS</v>
      </c>
      <c r="F175" s="9">
        <f t="shared" si="3"/>
        <v>1686</v>
      </c>
      <c r="G175" s="10" t="s">
        <v>167</v>
      </c>
      <c r="H175" s="11">
        <v>320023212</v>
      </c>
      <c r="I175" s="11" t="s">
        <v>119</v>
      </c>
      <c r="J175" s="11">
        <v>7101</v>
      </c>
      <c r="K175" s="11" t="s">
        <v>19</v>
      </c>
      <c r="L175" s="12">
        <v>1686</v>
      </c>
      <c r="M175" s="12">
        <v>0</v>
      </c>
      <c r="N175" s="12">
        <v>0</v>
      </c>
      <c r="O175" s="12">
        <v>0</v>
      </c>
      <c r="P175" s="12">
        <v>0</v>
      </c>
      <c r="Q175" s="12">
        <v>1686</v>
      </c>
      <c r="R175" s="12">
        <v>1686</v>
      </c>
    </row>
    <row r="176" spans="1:18" x14ac:dyDescent="0.3">
      <c r="A176" s="7" t="str">
        <f>VLOOKUP(MONTH($B176),[232]Parameter!$P:$Q,2,FALSE)</f>
        <v>Mar</v>
      </c>
      <c r="B176" s="8">
        <f>VLOOKUP($G176,[232]Parameter!$V:$W,2,FALSE)</f>
        <v>46083</v>
      </c>
      <c r="C176" s="7" t="str">
        <f>VLOOKUP($I176,[232]Parameter!$A:$M,13,FALSE)</f>
        <v>CSD PET</v>
      </c>
      <c r="D176" s="7" t="str">
        <f>VLOOKUP($I176,[232]Parameter!$A:$M,11,FALSE)</f>
        <v>PET 550</v>
      </c>
      <c r="E176" s="7" t="str">
        <f>VLOOKUP($I176,[232]Parameter!$A:$N,14,FALSE)</f>
        <v>Pepsi Cola</v>
      </c>
      <c r="F176" s="9">
        <f t="shared" si="3"/>
        <v>4630</v>
      </c>
      <c r="G176" s="10" t="s">
        <v>167</v>
      </c>
      <c r="H176" s="11">
        <v>320023221</v>
      </c>
      <c r="I176" s="11" t="s">
        <v>120</v>
      </c>
      <c r="J176" s="11">
        <v>7101</v>
      </c>
      <c r="K176" s="11" t="s">
        <v>19</v>
      </c>
      <c r="L176" s="12">
        <v>4630</v>
      </c>
      <c r="M176" s="12">
        <v>0</v>
      </c>
      <c r="N176" s="12">
        <v>2</v>
      </c>
      <c r="O176" s="12">
        <v>0</v>
      </c>
      <c r="P176" s="12">
        <v>0</v>
      </c>
      <c r="Q176" s="12">
        <v>4630</v>
      </c>
      <c r="R176" s="12">
        <v>4630</v>
      </c>
    </row>
    <row r="177" spans="1:18" x14ac:dyDescent="0.3">
      <c r="A177" s="7" t="str">
        <f>VLOOKUP(MONTH($B177),[232]Parameter!$P:$Q,2,FALSE)</f>
        <v>Mar</v>
      </c>
      <c r="B177" s="8">
        <f>VLOOKUP($G177,[232]Parameter!$V:$W,2,FALSE)</f>
        <v>46083</v>
      </c>
      <c r="C177" s="7" t="str">
        <f>VLOOKUP($I177,[232]Parameter!$A:$M,13,FALSE)</f>
        <v>CSD PET</v>
      </c>
      <c r="D177" s="7" t="str">
        <f>VLOOKUP($I177,[232]Parameter!$A:$M,11,FALSE)</f>
        <v>PET 550</v>
      </c>
      <c r="E177" s="7" t="str">
        <f>VLOOKUP($I177,[232]Parameter!$A:$N,14,FALSE)</f>
        <v>Pepsi Cola</v>
      </c>
      <c r="F177" s="9">
        <f t="shared" si="3"/>
        <v>17824</v>
      </c>
      <c r="G177" s="10" t="s">
        <v>167</v>
      </c>
      <c r="H177" s="11">
        <v>320023221</v>
      </c>
      <c r="I177" s="11" t="s">
        <v>120</v>
      </c>
      <c r="J177" s="11">
        <v>7102</v>
      </c>
      <c r="K177" s="11" t="s">
        <v>20</v>
      </c>
      <c r="L177" s="12">
        <v>17758</v>
      </c>
      <c r="M177" s="12">
        <v>0</v>
      </c>
      <c r="N177" s="12">
        <v>10</v>
      </c>
      <c r="O177" s="12">
        <v>0</v>
      </c>
      <c r="P177" s="12">
        <v>66</v>
      </c>
      <c r="Q177" s="12">
        <v>17824</v>
      </c>
      <c r="R177" s="12">
        <v>17758</v>
      </c>
    </row>
    <row r="178" spans="1:18" x14ac:dyDescent="0.3">
      <c r="A178" s="7" t="str">
        <f>VLOOKUP(MONTH($B178),[232]Parameter!$P:$Q,2,FALSE)</f>
        <v>Mar</v>
      </c>
      <c r="B178" s="8">
        <f>VLOOKUP($G178,[232]Parameter!$V:$W,2,FALSE)</f>
        <v>46083</v>
      </c>
      <c r="C178" s="7" t="str">
        <f>VLOOKUP($I178,[232]Parameter!$A:$M,13,FALSE)</f>
        <v>CSD PET</v>
      </c>
      <c r="D178" s="7" t="str">
        <f>VLOOKUP($I178,[232]Parameter!$A:$M,11,FALSE)</f>
        <v>PET 550</v>
      </c>
      <c r="E178" s="7" t="str">
        <f>VLOOKUP($I178,[232]Parameter!$A:$N,14,FALSE)</f>
        <v>Pepsi Cola</v>
      </c>
      <c r="F178" s="9">
        <f t="shared" si="3"/>
        <v>42725</v>
      </c>
      <c r="G178" s="10" t="s">
        <v>167</v>
      </c>
      <c r="H178" s="11">
        <v>320023222</v>
      </c>
      <c r="I178" s="11" t="s">
        <v>121</v>
      </c>
      <c r="J178" s="11">
        <v>7101</v>
      </c>
      <c r="K178" s="11" t="s">
        <v>19</v>
      </c>
      <c r="L178" s="12">
        <v>42725</v>
      </c>
      <c r="M178" s="12">
        <v>0</v>
      </c>
      <c r="N178" s="12">
        <v>9</v>
      </c>
      <c r="O178" s="12">
        <v>0</v>
      </c>
      <c r="P178" s="12">
        <v>0</v>
      </c>
      <c r="Q178" s="12">
        <v>42725</v>
      </c>
      <c r="R178" s="12">
        <v>42725</v>
      </c>
    </row>
    <row r="179" spans="1:18" x14ac:dyDescent="0.3">
      <c r="A179" s="7" t="str">
        <f>VLOOKUP(MONTH($B179),[232]Parameter!$P:$Q,2,FALSE)</f>
        <v>Mar</v>
      </c>
      <c r="B179" s="8">
        <f>VLOOKUP($G179,[232]Parameter!$V:$W,2,FALSE)</f>
        <v>46083</v>
      </c>
      <c r="C179" s="7" t="str">
        <f>VLOOKUP($I179,[232]Parameter!$A:$M,13,FALSE)</f>
        <v>CSD PET</v>
      </c>
      <c r="D179" s="7" t="str">
        <f>VLOOKUP($I179,[232]Parameter!$A:$M,11,FALSE)</f>
        <v>PET 550</v>
      </c>
      <c r="E179" s="7" t="str">
        <f>VLOOKUP($I179,[232]Parameter!$A:$N,14,FALSE)</f>
        <v>Pepsi Cola</v>
      </c>
      <c r="F179" s="9">
        <f t="shared" si="3"/>
        <v>11547</v>
      </c>
      <c r="G179" s="10" t="s">
        <v>167</v>
      </c>
      <c r="H179" s="11">
        <v>320023222</v>
      </c>
      <c r="I179" s="11" t="s">
        <v>121</v>
      </c>
      <c r="J179" s="11">
        <v>7102</v>
      </c>
      <c r="K179" s="11" t="s">
        <v>20</v>
      </c>
      <c r="L179" s="12">
        <v>11547</v>
      </c>
      <c r="M179" s="12">
        <v>0</v>
      </c>
      <c r="N179" s="12">
        <v>20</v>
      </c>
      <c r="O179" s="12">
        <v>0</v>
      </c>
      <c r="P179" s="12">
        <v>0</v>
      </c>
      <c r="Q179" s="12">
        <v>11547</v>
      </c>
      <c r="R179" s="12">
        <v>11547</v>
      </c>
    </row>
    <row r="180" spans="1:18" x14ac:dyDescent="0.3">
      <c r="A180" s="7" t="str">
        <f>VLOOKUP(MONTH($B180),[232]Parameter!$P:$Q,2,FALSE)</f>
        <v>Mar</v>
      </c>
      <c r="B180" s="8">
        <f>VLOOKUP($G180,[232]Parameter!$V:$W,2,FALSE)</f>
        <v>46083</v>
      </c>
      <c r="C180" s="7" t="str">
        <f>VLOOKUP($I180,[232]Parameter!$A:$M,13,FALSE)</f>
        <v>CSD PET</v>
      </c>
      <c r="D180" s="7" t="str">
        <f>VLOOKUP($I180,[232]Parameter!$A:$M,11,FALSE)</f>
        <v>PET 2000</v>
      </c>
      <c r="E180" s="7" t="str">
        <f>VLOOKUP($I180,[232]Parameter!$A:$N,14,FALSE)</f>
        <v>Pepsi Cola</v>
      </c>
      <c r="F180" s="9">
        <f t="shared" si="3"/>
        <v>36260</v>
      </c>
      <c r="G180" s="10" t="s">
        <v>167</v>
      </c>
      <c r="H180" s="11">
        <v>320023225</v>
      </c>
      <c r="I180" s="11" t="s">
        <v>122</v>
      </c>
      <c r="J180" s="11">
        <v>7101</v>
      </c>
      <c r="K180" s="11" t="s">
        <v>19</v>
      </c>
      <c r="L180" s="12">
        <v>36054</v>
      </c>
      <c r="M180" s="12">
        <v>206</v>
      </c>
      <c r="N180" s="12">
        <v>7943</v>
      </c>
      <c r="O180" s="12">
        <v>0</v>
      </c>
      <c r="P180" s="12">
        <v>0</v>
      </c>
      <c r="Q180" s="12">
        <v>36260</v>
      </c>
      <c r="R180" s="12">
        <v>36260</v>
      </c>
    </row>
    <row r="181" spans="1:18" x14ac:dyDescent="0.3">
      <c r="A181" s="7" t="str">
        <f>VLOOKUP(MONTH($B181),[232]Parameter!$P:$Q,2,FALSE)</f>
        <v>Mar</v>
      </c>
      <c r="B181" s="8">
        <f>VLOOKUP($G181,[232]Parameter!$V:$W,2,FALSE)</f>
        <v>46083</v>
      </c>
      <c r="C181" s="7" t="str">
        <f>VLOOKUP($I181,[232]Parameter!$A:$M,13,FALSE)</f>
        <v>CSD PET</v>
      </c>
      <c r="D181" s="7" t="str">
        <f>VLOOKUP($I181,[232]Parameter!$A:$M,11,FALSE)</f>
        <v>PET 2000</v>
      </c>
      <c r="E181" s="7" t="str">
        <f>VLOOKUP($I181,[232]Parameter!$A:$N,14,FALSE)</f>
        <v>Pepsi Cola</v>
      </c>
      <c r="F181" s="9">
        <f t="shared" si="3"/>
        <v>97639</v>
      </c>
      <c r="G181" s="10" t="s">
        <v>167</v>
      </c>
      <c r="H181" s="11">
        <v>320023225</v>
      </c>
      <c r="I181" s="11" t="s">
        <v>122</v>
      </c>
      <c r="J181" s="11">
        <v>7102</v>
      </c>
      <c r="K181" s="11" t="s">
        <v>20</v>
      </c>
      <c r="L181" s="12">
        <v>89063</v>
      </c>
      <c r="M181" s="12">
        <v>0</v>
      </c>
      <c r="N181" s="12">
        <v>89</v>
      </c>
      <c r="O181" s="12">
        <v>0</v>
      </c>
      <c r="P181" s="12">
        <v>8576</v>
      </c>
      <c r="Q181" s="12">
        <v>97639</v>
      </c>
      <c r="R181" s="12">
        <v>89063</v>
      </c>
    </row>
    <row r="182" spans="1:18" x14ac:dyDescent="0.3">
      <c r="A182" s="7" t="str">
        <f>VLOOKUP(MONTH($B182),[232]Parameter!$P:$Q,2,FALSE)</f>
        <v>Mar</v>
      </c>
      <c r="B182" s="8">
        <f>VLOOKUP($G182,[232]Parameter!$V:$W,2,FALSE)</f>
        <v>46083</v>
      </c>
      <c r="C182" s="7" t="str">
        <f>VLOOKUP($I182,[232]Parameter!$A:$M,13,FALSE)</f>
        <v>CSD CAN</v>
      </c>
      <c r="D182" s="7" t="str">
        <f>VLOOKUP($I182,[232]Parameter!$A:$M,11,FALSE)</f>
        <v>CAN 330</v>
      </c>
      <c r="E182" s="7" t="str">
        <f>VLOOKUP($I182,[232]Parameter!$A:$N,14,FALSE)</f>
        <v>7-Up</v>
      </c>
      <c r="F182" s="9">
        <f t="shared" si="3"/>
        <v>5957</v>
      </c>
      <c r="G182" s="10" t="s">
        <v>167</v>
      </c>
      <c r="H182" s="11">
        <v>320023230</v>
      </c>
      <c r="I182" s="11" t="s">
        <v>123</v>
      </c>
      <c r="J182" s="11">
        <v>7101</v>
      </c>
      <c r="K182" s="11" t="s">
        <v>19</v>
      </c>
      <c r="L182" s="12">
        <v>5956</v>
      </c>
      <c r="M182" s="12">
        <v>1</v>
      </c>
      <c r="N182" s="12">
        <v>7</v>
      </c>
      <c r="O182" s="12">
        <v>0</v>
      </c>
      <c r="P182" s="12">
        <v>0</v>
      </c>
      <c r="Q182" s="12">
        <v>5957</v>
      </c>
      <c r="R182" s="12">
        <v>5957</v>
      </c>
    </row>
    <row r="183" spans="1:18" x14ac:dyDescent="0.3">
      <c r="A183" s="7" t="str">
        <f>VLOOKUP(MONTH($B183),[232]Parameter!$P:$Q,2,FALSE)</f>
        <v>Mar</v>
      </c>
      <c r="B183" s="8">
        <f>VLOOKUP($G183,[232]Parameter!$V:$W,2,FALSE)</f>
        <v>46083</v>
      </c>
      <c r="C183" s="7" t="str">
        <f>VLOOKUP($I183,[232]Parameter!$A:$M,13,FALSE)</f>
        <v>CSD CAN</v>
      </c>
      <c r="D183" s="7" t="str">
        <f>VLOOKUP($I183,[232]Parameter!$A:$M,11,FALSE)</f>
        <v>CAN 330</v>
      </c>
      <c r="E183" s="7" t="str">
        <f>VLOOKUP($I183,[232]Parameter!$A:$N,14,FALSE)</f>
        <v>7-Up</v>
      </c>
      <c r="F183" s="9">
        <f t="shared" si="3"/>
        <v>1694</v>
      </c>
      <c r="G183" s="10" t="s">
        <v>167</v>
      </c>
      <c r="H183" s="11">
        <v>320023230</v>
      </c>
      <c r="I183" s="11" t="s">
        <v>123</v>
      </c>
      <c r="J183" s="11">
        <v>7102</v>
      </c>
      <c r="K183" s="11" t="s">
        <v>20</v>
      </c>
      <c r="L183" s="12">
        <v>1694</v>
      </c>
      <c r="M183" s="12">
        <v>0</v>
      </c>
      <c r="N183" s="12">
        <v>6</v>
      </c>
      <c r="O183" s="12">
        <v>0</v>
      </c>
      <c r="P183" s="12">
        <v>0</v>
      </c>
      <c r="Q183" s="12">
        <v>1694</v>
      </c>
      <c r="R183" s="12">
        <v>1694</v>
      </c>
    </row>
    <row r="184" spans="1:18" x14ac:dyDescent="0.3">
      <c r="A184" s="7" t="str">
        <f>VLOOKUP(MONTH($B184),[232]Parameter!$P:$Q,2,FALSE)</f>
        <v>Mar</v>
      </c>
      <c r="B184" s="8">
        <f>VLOOKUP($G184,[232]Parameter!$V:$W,2,FALSE)</f>
        <v>46083</v>
      </c>
      <c r="C184" s="7" t="str">
        <f>VLOOKUP($I184,[232]Parameter!$A:$M,13,FALSE)</f>
        <v>CSD PET</v>
      </c>
      <c r="D184" s="7" t="str">
        <f>VLOOKUP($I184,[232]Parameter!$A:$M,11,FALSE)</f>
        <v>PET 350 P12</v>
      </c>
      <c r="E184" s="7" t="str">
        <f>VLOOKUP($I184,[232]Parameter!$A:$N,14,FALSE)</f>
        <v>MRD BB Orange</v>
      </c>
      <c r="F184" s="9">
        <f t="shared" si="3"/>
        <v>4</v>
      </c>
      <c r="G184" s="10" t="s">
        <v>167</v>
      </c>
      <c r="H184" s="11">
        <v>320023233</v>
      </c>
      <c r="I184" s="11" t="s">
        <v>124</v>
      </c>
      <c r="J184" s="11">
        <v>7101</v>
      </c>
      <c r="K184" s="11" t="s">
        <v>19</v>
      </c>
      <c r="L184" s="12">
        <v>4</v>
      </c>
      <c r="M184" s="12">
        <v>0</v>
      </c>
      <c r="N184" s="12">
        <v>0</v>
      </c>
      <c r="O184" s="12">
        <v>0</v>
      </c>
      <c r="P184" s="12">
        <v>0</v>
      </c>
      <c r="Q184" s="12">
        <v>4</v>
      </c>
      <c r="R184" s="12">
        <v>4</v>
      </c>
    </row>
    <row r="185" spans="1:18" x14ac:dyDescent="0.3">
      <c r="A185" s="7" t="str">
        <f>VLOOKUP(MONTH($B185),[232]Parameter!$P:$Q,2,FALSE)</f>
        <v>Mar</v>
      </c>
      <c r="B185" s="8">
        <f>VLOOKUP($G185,[232]Parameter!$V:$W,2,FALSE)</f>
        <v>46083</v>
      </c>
      <c r="C185" s="7" t="str">
        <f>VLOOKUP($I185,[232]Parameter!$A:$M,13,FALSE)</f>
        <v>CSD PET</v>
      </c>
      <c r="D185" s="7" t="str">
        <f>VLOOKUP($I185,[232]Parameter!$A:$M,11,FALSE)</f>
        <v>PET 350 P12</v>
      </c>
      <c r="E185" s="7" t="str">
        <f>VLOOKUP($I185,[232]Parameter!$A:$N,14,FALSE)</f>
        <v>MRD BB Orange</v>
      </c>
      <c r="F185" s="9">
        <f t="shared" si="3"/>
        <v>2196</v>
      </c>
      <c r="G185" s="10" t="s">
        <v>167</v>
      </c>
      <c r="H185" s="11">
        <v>320023233</v>
      </c>
      <c r="I185" s="11" t="s">
        <v>124</v>
      </c>
      <c r="J185" s="11">
        <v>7102</v>
      </c>
      <c r="K185" s="11" t="s">
        <v>20</v>
      </c>
      <c r="L185" s="12">
        <v>2196</v>
      </c>
      <c r="M185" s="12">
        <v>0</v>
      </c>
      <c r="N185" s="12">
        <v>0</v>
      </c>
      <c r="O185" s="12">
        <v>0</v>
      </c>
      <c r="P185" s="12">
        <v>0</v>
      </c>
      <c r="Q185" s="12">
        <v>2196</v>
      </c>
      <c r="R185" s="12">
        <v>2196</v>
      </c>
    </row>
    <row r="186" spans="1:18" x14ac:dyDescent="0.3">
      <c r="A186" s="7" t="str">
        <f>VLOOKUP(MONTH($B186),[232]Parameter!$P:$Q,2,FALSE)</f>
        <v>Mar</v>
      </c>
      <c r="B186" s="8">
        <f>VLOOKUP($G186,[232]Parameter!$V:$W,2,FALSE)</f>
        <v>46083</v>
      </c>
      <c r="C186" s="7" t="str">
        <f>VLOOKUP($I186,[232]Parameter!$A:$M,13,FALSE)</f>
        <v>CSD PET</v>
      </c>
      <c r="D186" s="7" t="str">
        <f>VLOOKUP($I186,[232]Parameter!$A:$M,11,FALSE)</f>
        <v>PET AQ 450</v>
      </c>
      <c r="E186" s="7" t="str">
        <f>VLOOKUP($I186,[232]Parameter!$A:$N,14,FALSE)</f>
        <v>MRD BB Orange</v>
      </c>
      <c r="F186" s="9">
        <f t="shared" si="3"/>
        <v>1562</v>
      </c>
      <c r="G186" s="10" t="s">
        <v>167</v>
      </c>
      <c r="H186" s="11">
        <v>320023235</v>
      </c>
      <c r="I186" s="11" t="s">
        <v>125</v>
      </c>
      <c r="J186" s="11">
        <v>7101</v>
      </c>
      <c r="K186" s="11" t="s">
        <v>19</v>
      </c>
      <c r="L186" s="12">
        <v>1562</v>
      </c>
      <c r="M186" s="12">
        <v>0</v>
      </c>
      <c r="N186" s="12">
        <v>74</v>
      </c>
      <c r="O186" s="12">
        <v>0</v>
      </c>
      <c r="P186" s="12">
        <v>0</v>
      </c>
      <c r="Q186" s="12">
        <v>1562</v>
      </c>
      <c r="R186" s="12">
        <v>1562</v>
      </c>
    </row>
    <row r="187" spans="1:18" x14ac:dyDescent="0.3">
      <c r="A187" s="7" t="str">
        <f>VLOOKUP(MONTH($B187),[232]Parameter!$P:$Q,2,FALSE)</f>
        <v>Mar</v>
      </c>
      <c r="B187" s="8">
        <f>VLOOKUP($G187,[232]Parameter!$V:$W,2,FALSE)</f>
        <v>46083</v>
      </c>
      <c r="C187" s="7" t="str">
        <f>VLOOKUP($I187,[232]Parameter!$A:$M,13,FALSE)</f>
        <v>CSD PET</v>
      </c>
      <c r="D187" s="7" t="str">
        <f>VLOOKUP($I187,[232]Parameter!$A:$M,11,FALSE)</f>
        <v>PET AQ 450</v>
      </c>
      <c r="E187" s="7" t="str">
        <f>VLOOKUP($I187,[232]Parameter!$A:$N,14,FALSE)</f>
        <v>MRD APPLE KIWI</v>
      </c>
      <c r="F187" s="9">
        <f t="shared" si="3"/>
        <v>0</v>
      </c>
      <c r="G187" s="10" t="s">
        <v>167</v>
      </c>
      <c r="H187" s="11">
        <v>320023237</v>
      </c>
      <c r="I187" s="11" t="s">
        <v>126</v>
      </c>
      <c r="J187" s="11">
        <v>7101</v>
      </c>
      <c r="K187" s="11" t="s">
        <v>19</v>
      </c>
      <c r="L187" s="12">
        <v>0</v>
      </c>
      <c r="M187" s="12">
        <v>0</v>
      </c>
      <c r="N187" s="12">
        <v>286</v>
      </c>
      <c r="O187" s="12">
        <v>0</v>
      </c>
      <c r="P187" s="12">
        <v>0</v>
      </c>
      <c r="Q187" s="12">
        <v>0</v>
      </c>
      <c r="R187" s="12">
        <v>0</v>
      </c>
    </row>
    <row r="188" spans="1:18" x14ac:dyDescent="0.3">
      <c r="A188" s="7" t="str">
        <f>VLOOKUP(MONTH($B188),[232]Parameter!$P:$Q,2,FALSE)</f>
        <v>Mar</v>
      </c>
      <c r="B188" s="8">
        <f>VLOOKUP($G188,[232]Parameter!$V:$W,2,FALSE)</f>
        <v>46083</v>
      </c>
      <c r="C188" s="7" t="str">
        <f>VLOOKUP($I188,[232]Parameter!$A:$M,13,FALSE)</f>
        <v>CSD PET</v>
      </c>
      <c r="D188" s="7" t="str">
        <f>VLOOKUP($I188,[232]Parameter!$A:$M,11,FALSE)</f>
        <v>PET 1500</v>
      </c>
      <c r="E188" s="7" t="str">
        <f>VLOOKUP($I188,[232]Parameter!$A:$N,14,FALSE)</f>
        <v>Pepsi Cola</v>
      </c>
      <c r="F188" s="9">
        <f t="shared" si="3"/>
        <v>9</v>
      </c>
      <c r="G188" s="10" t="s">
        <v>167</v>
      </c>
      <c r="H188" s="11">
        <v>320023270</v>
      </c>
      <c r="I188" s="11" t="s">
        <v>127</v>
      </c>
      <c r="J188" s="11">
        <v>7101</v>
      </c>
      <c r="K188" s="11" t="s">
        <v>19</v>
      </c>
      <c r="L188" s="12">
        <v>9</v>
      </c>
      <c r="M188" s="12">
        <v>0</v>
      </c>
      <c r="N188" s="12">
        <v>1</v>
      </c>
      <c r="O188" s="12">
        <v>0</v>
      </c>
      <c r="P188" s="12">
        <v>0</v>
      </c>
      <c r="Q188" s="12">
        <v>9</v>
      </c>
      <c r="R188" s="12">
        <v>9</v>
      </c>
    </row>
    <row r="189" spans="1:18" x14ac:dyDescent="0.3">
      <c r="A189" s="7" t="str">
        <f>VLOOKUP(MONTH($B189),[232]Parameter!$P:$Q,2,FALSE)</f>
        <v>Mar</v>
      </c>
      <c r="B189" s="8">
        <f>VLOOKUP($G189,[232]Parameter!$V:$W,2,FALSE)</f>
        <v>46083</v>
      </c>
      <c r="C189" s="7" t="str">
        <f>VLOOKUP($I189,[232]Parameter!$A:$M,13,FALSE)</f>
        <v>CSD PET</v>
      </c>
      <c r="D189" s="7" t="str">
        <f>VLOOKUP($I189,[232]Parameter!$A:$M,11,FALSE)</f>
        <v>PET 1500</v>
      </c>
      <c r="E189" s="7" t="str">
        <f>VLOOKUP($I189,[232]Parameter!$A:$N,14,FALSE)</f>
        <v>Pepsi Cola</v>
      </c>
      <c r="F189" s="9">
        <f t="shared" si="3"/>
        <v>674</v>
      </c>
      <c r="G189" s="10" t="s">
        <v>167</v>
      </c>
      <c r="H189" s="11">
        <v>320023270</v>
      </c>
      <c r="I189" s="11" t="s">
        <v>127</v>
      </c>
      <c r="J189" s="11">
        <v>7102</v>
      </c>
      <c r="K189" s="11" t="s">
        <v>20</v>
      </c>
      <c r="L189" s="12">
        <v>674</v>
      </c>
      <c r="M189" s="12">
        <v>0</v>
      </c>
      <c r="N189" s="12">
        <v>2</v>
      </c>
      <c r="O189" s="12">
        <v>0</v>
      </c>
      <c r="P189" s="12">
        <v>0</v>
      </c>
      <c r="Q189" s="12">
        <v>674</v>
      </c>
      <c r="R189" s="12">
        <v>674</v>
      </c>
    </row>
    <row r="190" spans="1:18" x14ac:dyDescent="0.3">
      <c r="A190" s="7" t="str">
        <f>VLOOKUP(MONTH($B190),[232]Parameter!$P:$Q,2,FALSE)</f>
        <v>Mar</v>
      </c>
      <c r="B190" s="8">
        <f>VLOOKUP($G190,[232]Parameter!$V:$W,2,FALSE)</f>
        <v>46083</v>
      </c>
      <c r="C190" s="7" t="str">
        <f>VLOOKUP($I190,[232]Parameter!$A:$M,13,FALSE)</f>
        <v>CSD PET</v>
      </c>
      <c r="D190" s="7" t="str">
        <f>VLOOKUP($I190,[232]Parameter!$A:$M,11,FALSE)</f>
        <v>PET LN 250 P12</v>
      </c>
      <c r="E190" s="7" t="str">
        <f>VLOOKUP($I190,[232]Parameter!$A:$N,14,FALSE)</f>
        <v>STING</v>
      </c>
      <c r="F190" s="9">
        <f t="shared" si="3"/>
        <v>55143</v>
      </c>
      <c r="G190" s="10" t="s">
        <v>167</v>
      </c>
      <c r="H190" s="11">
        <v>320023280</v>
      </c>
      <c r="I190" s="11" t="s">
        <v>128</v>
      </c>
      <c r="J190" s="11">
        <v>7101</v>
      </c>
      <c r="K190" s="11" t="s">
        <v>19</v>
      </c>
      <c r="L190" s="12">
        <v>55140</v>
      </c>
      <c r="M190" s="12">
        <v>3</v>
      </c>
      <c r="N190" s="12">
        <v>2</v>
      </c>
      <c r="O190" s="12">
        <v>0</v>
      </c>
      <c r="P190" s="12">
        <v>0</v>
      </c>
      <c r="Q190" s="12">
        <v>55143</v>
      </c>
      <c r="R190" s="12">
        <v>55143</v>
      </c>
    </row>
    <row r="191" spans="1:18" x14ac:dyDescent="0.3">
      <c r="A191" s="7" t="str">
        <f>VLOOKUP(MONTH($B191),[232]Parameter!$P:$Q,2,FALSE)</f>
        <v>Mar</v>
      </c>
      <c r="B191" s="8">
        <f>VLOOKUP($G191,[232]Parameter!$V:$W,2,FALSE)</f>
        <v>46083</v>
      </c>
      <c r="C191" s="7" t="str">
        <f>VLOOKUP($I191,[232]Parameter!$A:$M,13,FALSE)</f>
        <v>CSD PET</v>
      </c>
      <c r="D191" s="7" t="str">
        <f>VLOOKUP($I191,[232]Parameter!$A:$M,11,FALSE)</f>
        <v>PET LN 250 P12</v>
      </c>
      <c r="E191" s="7" t="str">
        <f>VLOOKUP($I191,[232]Parameter!$A:$N,14,FALSE)</f>
        <v>STING</v>
      </c>
      <c r="F191" s="9">
        <f t="shared" si="3"/>
        <v>33460</v>
      </c>
      <c r="G191" s="10" t="s">
        <v>167</v>
      </c>
      <c r="H191" s="11">
        <v>320023280</v>
      </c>
      <c r="I191" s="11" t="s">
        <v>128</v>
      </c>
      <c r="J191" s="11">
        <v>7102</v>
      </c>
      <c r="K191" s="11" t="s">
        <v>20</v>
      </c>
      <c r="L191" s="12">
        <v>33460</v>
      </c>
      <c r="M191" s="12">
        <v>0</v>
      </c>
      <c r="N191" s="12">
        <v>1</v>
      </c>
      <c r="O191" s="12">
        <v>0</v>
      </c>
      <c r="P191" s="12">
        <v>0</v>
      </c>
      <c r="Q191" s="12">
        <v>33460</v>
      </c>
      <c r="R191" s="12">
        <v>33460</v>
      </c>
    </row>
    <row r="192" spans="1:18" x14ac:dyDescent="0.3">
      <c r="A192" s="7" t="str">
        <f>VLOOKUP(MONTH($B192),[232]Parameter!$P:$Q,2,FALSE)</f>
        <v>Mar</v>
      </c>
      <c r="B192" s="8">
        <f>VLOOKUP($G192,[232]Parameter!$V:$W,2,FALSE)</f>
        <v>46083</v>
      </c>
      <c r="C192" s="7" t="str">
        <f>VLOOKUP($I192,[232]Parameter!$A:$M,13,FALSE)</f>
        <v>CSD PET</v>
      </c>
      <c r="D192" s="7" t="str">
        <f>VLOOKUP($I192,[232]Parameter!$A:$M,11,FALSE)</f>
        <v>PET LN 250 P24</v>
      </c>
      <c r="E192" s="7" t="str">
        <f>VLOOKUP($I192,[232]Parameter!$A:$N,14,FALSE)</f>
        <v>STING</v>
      </c>
      <c r="F192" s="9">
        <f t="shared" si="3"/>
        <v>12185</v>
      </c>
      <c r="G192" s="10" t="s">
        <v>167</v>
      </c>
      <c r="H192" s="11">
        <v>320023290</v>
      </c>
      <c r="I192" s="11" t="s">
        <v>129</v>
      </c>
      <c r="J192" s="11">
        <v>7101</v>
      </c>
      <c r="K192" s="11" t="s">
        <v>19</v>
      </c>
      <c r="L192" s="12">
        <v>12185</v>
      </c>
      <c r="M192" s="12">
        <v>0</v>
      </c>
      <c r="N192" s="12">
        <v>2</v>
      </c>
      <c r="O192" s="12">
        <v>0</v>
      </c>
      <c r="P192" s="12">
        <v>0</v>
      </c>
      <c r="Q192" s="12">
        <v>12185</v>
      </c>
      <c r="R192" s="12">
        <v>12185</v>
      </c>
    </row>
    <row r="193" spans="1:18" x14ac:dyDescent="0.3">
      <c r="A193" s="7" t="str">
        <f>VLOOKUP(MONTH($B193),[232]Parameter!$P:$Q,2,FALSE)</f>
        <v>Mar</v>
      </c>
      <c r="B193" s="8">
        <f>VLOOKUP($G193,[232]Parameter!$V:$W,2,FALSE)</f>
        <v>46083</v>
      </c>
      <c r="C193" s="7" t="str">
        <f>VLOOKUP($I193,[232]Parameter!$A:$M,13,FALSE)</f>
        <v>CSD PET</v>
      </c>
      <c r="D193" s="7" t="str">
        <f>VLOOKUP($I193,[232]Parameter!$A:$M,11,FALSE)</f>
        <v>PET LN 250 P24</v>
      </c>
      <c r="E193" s="7" t="str">
        <f>VLOOKUP($I193,[232]Parameter!$A:$N,14,FALSE)</f>
        <v>STING</v>
      </c>
      <c r="F193" s="9">
        <f t="shared" si="3"/>
        <v>163</v>
      </c>
      <c r="G193" s="10" t="s">
        <v>167</v>
      </c>
      <c r="H193" s="11">
        <v>320023290</v>
      </c>
      <c r="I193" s="11" t="s">
        <v>129</v>
      </c>
      <c r="J193" s="11">
        <v>7102</v>
      </c>
      <c r="K193" s="11" t="s">
        <v>20</v>
      </c>
      <c r="L193" s="12">
        <v>163</v>
      </c>
      <c r="M193" s="12">
        <v>0</v>
      </c>
      <c r="N193" s="12">
        <v>0</v>
      </c>
      <c r="O193" s="12">
        <v>0</v>
      </c>
      <c r="P193" s="12">
        <v>0</v>
      </c>
      <c r="Q193" s="12">
        <v>163</v>
      </c>
      <c r="R193" s="12">
        <v>163</v>
      </c>
    </row>
    <row r="194" spans="1:18" x14ac:dyDescent="0.3">
      <c r="A194" s="7" t="str">
        <f>VLOOKUP(MONTH($B194),[232]Parameter!$P:$Q,2,FALSE)</f>
        <v>Mar</v>
      </c>
      <c r="B194" s="8">
        <f>VLOOKUP($G194,[232]Parameter!$V:$W,2,FALSE)</f>
        <v>46083</v>
      </c>
      <c r="C194" s="7" t="str">
        <f>VLOOKUP($I194,[232]Parameter!$A:$M,13,FALSE)</f>
        <v>CSD CAN</v>
      </c>
      <c r="D194" s="7" t="str">
        <f>VLOOKUP($I194,[232]Parameter!$A:$M,11,FALSE)</f>
        <v>CAN 330</v>
      </c>
      <c r="E194" s="7" t="str">
        <f>VLOOKUP($I194,[232]Parameter!$A:$N,14,FALSE)</f>
        <v>7-Up</v>
      </c>
      <c r="F194" s="9">
        <f t="shared" si="3"/>
        <v>299</v>
      </c>
      <c r="G194" s="10" t="s">
        <v>167</v>
      </c>
      <c r="H194" s="11">
        <v>320023295</v>
      </c>
      <c r="I194" s="11" t="s">
        <v>130</v>
      </c>
      <c r="J194" s="11">
        <v>7101</v>
      </c>
      <c r="K194" s="11" t="s">
        <v>19</v>
      </c>
      <c r="L194" s="12">
        <v>299</v>
      </c>
      <c r="M194" s="12">
        <v>0</v>
      </c>
      <c r="N194" s="12">
        <v>0</v>
      </c>
      <c r="O194" s="12">
        <v>0</v>
      </c>
      <c r="P194" s="12">
        <v>0</v>
      </c>
      <c r="Q194" s="12">
        <v>299</v>
      </c>
      <c r="R194" s="12">
        <v>299</v>
      </c>
    </row>
    <row r="195" spans="1:18" x14ac:dyDescent="0.3">
      <c r="A195" s="7" t="str">
        <f>VLOOKUP(MONTH($B195),[232]Parameter!$P:$Q,2,FALSE)</f>
        <v>Mar</v>
      </c>
      <c r="B195" s="8">
        <f>VLOOKUP($G195,[232]Parameter!$V:$W,2,FALSE)</f>
        <v>46083</v>
      </c>
      <c r="C195" s="7" t="str">
        <f>VLOOKUP($I195,[232]Parameter!$A:$M,13,FALSE)</f>
        <v>CSD PET</v>
      </c>
      <c r="D195" s="7" t="str">
        <f>VLOOKUP($I195,[232]Parameter!$A:$M,11,FALSE)</f>
        <v>PET LN 250 P24</v>
      </c>
      <c r="E195" s="7" t="str">
        <f>VLOOKUP($I195,[232]Parameter!$A:$N,14,FALSE)</f>
        <v>STING</v>
      </c>
      <c r="F195" s="9">
        <f t="shared" si="3"/>
        <v>225</v>
      </c>
      <c r="G195" s="10" t="s">
        <v>167</v>
      </c>
      <c r="H195" s="11">
        <v>320023302</v>
      </c>
      <c r="I195" s="11" t="s">
        <v>131</v>
      </c>
      <c r="J195" s="11">
        <v>7101</v>
      </c>
      <c r="K195" s="11" t="s">
        <v>19</v>
      </c>
      <c r="L195" s="12">
        <v>225</v>
      </c>
      <c r="M195" s="12">
        <v>0</v>
      </c>
      <c r="N195" s="12">
        <v>0</v>
      </c>
      <c r="O195" s="12">
        <v>0</v>
      </c>
      <c r="P195" s="12">
        <v>0</v>
      </c>
      <c r="Q195" s="12">
        <v>225</v>
      </c>
      <c r="R195" s="12">
        <v>225</v>
      </c>
    </row>
    <row r="196" spans="1:18" x14ac:dyDescent="0.3">
      <c r="A196" s="7" t="str">
        <f>VLOOKUP(MONTH($B196),[232]Parameter!$P:$Q,2,FALSE)</f>
        <v>Mar</v>
      </c>
      <c r="B196" s="8">
        <f>VLOOKUP($G196,[232]Parameter!$V:$W,2,FALSE)</f>
        <v>46083</v>
      </c>
      <c r="C196" s="7" t="str">
        <f>VLOOKUP($I196,[232]Parameter!$A:$M,13,FALSE)</f>
        <v>CSD PET</v>
      </c>
      <c r="D196" s="7" t="str">
        <f>VLOOKUP($I196,[232]Parameter!$A:$M,11,FALSE)</f>
        <v>PET LN 250 P24</v>
      </c>
      <c r="E196" s="7" t="str">
        <f>VLOOKUP($I196,[232]Parameter!$A:$N,14,FALSE)</f>
        <v>STING</v>
      </c>
      <c r="F196" s="9">
        <f t="shared" si="3"/>
        <v>5242</v>
      </c>
      <c r="G196" s="10" t="s">
        <v>167</v>
      </c>
      <c r="H196" s="11">
        <v>320023302</v>
      </c>
      <c r="I196" s="11" t="s">
        <v>131</v>
      </c>
      <c r="J196" s="11">
        <v>7102</v>
      </c>
      <c r="K196" s="11" t="s">
        <v>20</v>
      </c>
      <c r="L196" s="12">
        <v>5242</v>
      </c>
      <c r="M196" s="12">
        <v>0</v>
      </c>
      <c r="N196" s="12">
        <v>0</v>
      </c>
      <c r="O196" s="12">
        <v>0</v>
      </c>
      <c r="P196" s="12">
        <v>0</v>
      </c>
      <c r="Q196" s="12">
        <v>5242</v>
      </c>
      <c r="R196" s="12">
        <v>5242</v>
      </c>
    </row>
    <row r="197" spans="1:18" x14ac:dyDescent="0.3">
      <c r="A197" s="7" t="str">
        <f>VLOOKUP(MONTH($B197),[232]Parameter!$P:$Q,2,FALSE)</f>
        <v>Mar</v>
      </c>
      <c r="B197" s="8">
        <f>VLOOKUP($G197,[232]Parameter!$V:$W,2,FALSE)</f>
        <v>46083</v>
      </c>
      <c r="C197" s="7" t="str">
        <f>VLOOKUP($I197,[232]Parameter!$A:$M,13,FALSE)</f>
        <v>CSD PET</v>
      </c>
      <c r="D197" s="7" t="str">
        <f>VLOOKUP($I197,[232]Parameter!$A:$M,11,FALSE)</f>
        <v>PET 1000</v>
      </c>
      <c r="E197" s="7" t="str">
        <f>VLOOKUP($I197,[232]Parameter!$A:$N,14,FALSE)</f>
        <v>Pepsi Cola</v>
      </c>
      <c r="F197" s="9">
        <f t="shared" si="3"/>
        <v>29737</v>
      </c>
      <c r="G197" s="10" t="s">
        <v>167</v>
      </c>
      <c r="H197" s="11">
        <v>320023306</v>
      </c>
      <c r="I197" s="11" t="s">
        <v>132</v>
      </c>
      <c r="J197" s="11">
        <v>7101</v>
      </c>
      <c r="K197" s="11" t="s">
        <v>19</v>
      </c>
      <c r="L197" s="12">
        <v>29737</v>
      </c>
      <c r="M197" s="12">
        <v>0</v>
      </c>
      <c r="N197" s="12">
        <v>50</v>
      </c>
      <c r="O197" s="12">
        <v>0</v>
      </c>
      <c r="P197" s="12">
        <v>0</v>
      </c>
      <c r="Q197" s="12">
        <v>29737</v>
      </c>
      <c r="R197" s="12">
        <v>29737</v>
      </c>
    </row>
    <row r="198" spans="1:18" x14ac:dyDescent="0.3">
      <c r="A198" s="7" t="str">
        <f>VLOOKUP(MONTH($B198),[232]Parameter!$P:$Q,2,FALSE)</f>
        <v>Mar</v>
      </c>
      <c r="B198" s="8">
        <f>VLOOKUP($G198,[232]Parameter!$V:$W,2,FALSE)</f>
        <v>46083</v>
      </c>
      <c r="C198" s="7" t="str">
        <f>VLOOKUP($I198,[232]Parameter!$A:$M,13,FALSE)</f>
        <v>CSD PET</v>
      </c>
      <c r="D198" s="7" t="str">
        <f>VLOOKUP($I198,[232]Parameter!$A:$M,11,FALSE)</f>
        <v>PET 1000</v>
      </c>
      <c r="E198" s="7" t="str">
        <f>VLOOKUP($I198,[232]Parameter!$A:$N,14,FALSE)</f>
        <v>Pepsi Cola</v>
      </c>
      <c r="F198" s="9">
        <f t="shared" si="3"/>
        <v>23193</v>
      </c>
      <c r="G198" s="10" t="s">
        <v>167</v>
      </c>
      <c r="H198" s="11">
        <v>320023306</v>
      </c>
      <c r="I198" s="11" t="s">
        <v>132</v>
      </c>
      <c r="J198" s="11">
        <v>7102</v>
      </c>
      <c r="K198" s="11" t="s">
        <v>20</v>
      </c>
      <c r="L198" s="12">
        <v>23193</v>
      </c>
      <c r="M198" s="12">
        <v>0</v>
      </c>
      <c r="N198" s="12">
        <v>16</v>
      </c>
      <c r="O198" s="12">
        <v>0</v>
      </c>
      <c r="P198" s="12">
        <v>0</v>
      </c>
      <c r="Q198" s="12">
        <v>23193</v>
      </c>
      <c r="R198" s="12">
        <v>23193</v>
      </c>
    </row>
    <row r="199" spans="1:18" x14ac:dyDescent="0.3">
      <c r="A199" s="7" t="str">
        <f>VLOOKUP(MONTH($B199),[232]Parameter!$P:$Q,2,FALSE)</f>
        <v>Mar</v>
      </c>
      <c r="B199" s="8">
        <f>VLOOKUP($G199,[232]Parameter!$V:$W,2,FALSE)</f>
        <v>46083</v>
      </c>
      <c r="C199" s="7" t="str">
        <f>VLOOKUP($I199,[232]Parameter!$A:$M,13,FALSE)</f>
        <v>CSD PET</v>
      </c>
      <c r="D199" s="7" t="str">
        <f>VLOOKUP($I199,[232]Parameter!$A:$M,11,FALSE)</f>
        <v>PET 350 P12</v>
      </c>
      <c r="E199" s="7" t="str">
        <f>VLOOKUP($I199,[232]Parameter!$A:$N,14,FALSE)</f>
        <v>PEPSI NO SUGAR CLEAR</v>
      </c>
      <c r="F199" s="9">
        <f t="shared" si="3"/>
        <v>0</v>
      </c>
      <c r="G199" s="10" t="s">
        <v>167</v>
      </c>
      <c r="H199" s="11">
        <v>320023312</v>
      </c>
      <c r="I199" s="11" t="s">
        <v>133</v>
      </c>
      <c r="J199" s="11">
        <v>7102</v>
      </c>
      <c r="K199" s="11" t="s">
        <v>20</v>
      </c>
      <c r="L199" s="12">
        <v>0</v>
      </c>
      <c r="M199" s="12">
        <v>0</v>
      </c>
      <c r="N199" s="12">
        <v>1</v>
      </c>
      <c r="O199" s="12">
        <v>0</v>
      </c>
      <c r="P199" s="12">
        <v>0</v>
      </c>
      <c r="Q199" s="12">
        <v>0</v>
      </c>
      <c r="R199" s="12">
        <v>0</v>
      </c>
    </row>
    <row r="200" spans="1:18" x14ac:dyDescent="0.3">
      <c r="A200" s="7" t="str">
        <f>VLOOKUP(MONTH($B200),[232]Parameter!$P:$Q,2,FALSE)</f>
        <v>Mar</v>
      </c>
      <c r="B200" s="8">
        <f>VLOOKUP($G200,[232]Parameter!$V:$W,2,FALSE)</f>
        <v>46083</v>
      </c>
      <c r="C200" s="7" t="str">
        <f>VLOOKUP($I200,[232]Parameter!$A:$M,13,FALSE)</f>
        <v>CSD PET</v>
      </c>
      <c r="D200" s="7" t="str">
        <f>VLOOKUP($I200,[232]Parameter!$A:$M,11,FALSE)</f>
        <v>PET 1500</v>
      </c>
      <c r="E200" s="7" t="str">
        <f>VLOOKUP($I200,[232]Parameter!$A:$N,14,FALSE)</f>
        <v>PEPSI NO SUGAR CLEAR</v>
      </c>
      <c r="F200" s="9">
        <f t="shared" si="3"/>
        <v>0</v>
      </c>
      <c r="G200" s="10" t="s">
        <v>167</v>
      </c>
      <c r="H200" s="11">
        <v>320023313</v>
      </c>
      <c r="I200" s="11" t="s">
        <v>134</v>
      </c>
      <c r="J200" s="11">
        <v>7101</v>
      </c>
      <c r="K200" s="11" t="s">
        <v>19</v>
      </c>
      <c r="L200" s="12">
        <v>0</v>
      </c>
      <c r="M200" s="12">
        <v>0</v>
      </c>
      <c r="N200" s="12">
        <v>13</v>
      </c>
      <c r="O200" s="12">
        <v>0</v>
      </c>
      <c r="P200" s="12">
        <v>0</v>
      </c>
      <c r="Q200" s="12">
        <v>0</v>
      </c>
      <c r="R200" s="12">
        <v>0</v>
      </c>
    </row>
    <row r="201" spans="1:18" x14ac:dyDescent="0.3">
      <c r="A201" s="7" t="str">
        <f>VLOOKUP(MONTH($B201),[232]Parameter!$P:$Q,2,FALSE)</f>
        <v>Mar</v>
      </c>
      <c r="B201" s="8">
        <f>VLOOKUP($G201,[232]Parameter!$V:$W,2,FALSE)</f>
        <v>46083</v>
      </c>
      <c r="C201" s="7" t="str">
        <f>VLOOKUP($I201,[232]Parameter!$A:$M,13,FALSE)</f>
        <v>CSD PET</v>
      </c>
      <c r="D201" s="7" t="str">
        <f>VLOOKUP($I201,[232]Parameter!$A:$M,11,FALSE)</f>
        <v>PET 300 EMN P24</v>
      </c>
      <c r="E201" s="7" t="str">
        <f>VLOOKUP($I201,[232]Parameter!$A:$N,14,FALSE)</f>
        <v>Pepsi Cola</v>
      </c>
      <c r="F201" s="9">
        <f t="shared" si="3"/>
        <v>72</v>
      </c>
      <c r="G201" s="10" t="s">
        <v>167</v>
      </c>
      <c r="H201" s="11">
        <v>320023315</v>
      </c>
      <c r="I201" s="11" t="s">
        <v>135</v>
      </c>
      <c r="J201" s="11">
        <v>7101</v>
      </c>
      <c r="K201" s="11" t="s">
        <v>19</v>
      </c>
      <c r="L201" s="12">
        <v>71</v>
      </c>
      <c r="M201" s="12">
        <v>1</v>
      </c>
      <c r="N201" s="12">
        <v>48</v>
      </c>
      <c r="O201" s="12">
        <v>0</v>
      </c>
      <c r="P201" s="12">
        <v>0</v>
      </c>
      <c r="Q201" s="12">
        <v>72</v>
      </c>
      <c r="R201" s="12">
        <v>72</v>
      </c>
    </row>
    <row r="202" spans="1:18" x14ac:dyDescent="0.3">
      <c r="A202" s="7" t="str">
        <f>VLOOKUP(MONTH($B202),[232]Parameter!$P:$Q,2,FALSE)</f>
        <v>Mar</v>
      </c>
      <c r="B202" s="8">
        <f>VLOOKUP($G202,[232]Parameter!$V:$W,2,FALSE)</f>
        <v>46083</v>
      </c>
      <c r="C202" s="7" t="str">
        <f>VLOOKUP($I202,[232]Parameter!$A:$M,13,FALSE)</f>
        <v>CSD PET</v>
      </c>
      <c r="D202" s="7" t="str">
        <f>VLOOKUP($I202,[232]Parameter!$A:$M,11,FALSE)</f>
        <v>PET 300 EMN P24</v>
      </c>
      <c r="E202" s="7" t="str">
        <f>VLOOKUP($I202,[232]Parameter!$A:$N,14,FALSE)</f>
        <v>Pepsi Cola</v>
      </c>
      <c r="F202" s="9">
        <f t="shared" ref="F202:F250" si="4">$Q202</f>
        <v>0</v>
      </c>
      <c r="G202" s="10" t="s">
        <v>167</v>
      </c>
      <c r="H202" s="11">
        <v>320023316</v>
      </c>
      <c r="I202" s="11" t="s">
        <v>136</v>
      </c>
      <c r="J202" s="11">
        <v>7101</v>
      </c>
      <c r="K202" s="11" t="s">
        <v>19</v>
      </c>
      <c r="L202" s="12">
        <v>0</v>
      </c>
      <c r="M202" s="12">
        <v>0</v>
      </c>
      <c r="N202" s="12">
        <v>48</v>
      </c>
      <c r="O202" s="12">
        <v>0</v>
      </c>
      <c r="P202" s="12">
        <v>0</v>
      </c>
      <c r="Q202" s="12">
        <v>0</v>
      </c>
      <c r="R202" s="12">
        <v>0</v>
      </c>
    </row>
    <row r="203" spans="1:18" x14ac:dyDescent="0.3">
      <c r="A203" s="7" t="str">
        <f>VLOOKUP(MONTH($B203),[232]Parameter!$P:$Q,2,FALSE)</f>
        <v>Mar</v>
      </c>
      <c r="B203" s="8">
        <f>VLOOKUP($G203,[232]Parameter!$V:$W,2,FALSE)</f>
        <v>46083</v>
      </c>
      <c r="C203" s="7" t="str">
        <f>VLOOKUP($I203,[232]Parameter!$A:$M,13,FALSE)</f>
        <v>CSD PET</v>
      </c>
      <c r="D203" s="7" t="str">
        <f>VLOOKUP($I203,[232]Parameter!$A:$M,11,FALSE)</f>
        <v>PET 1250</v>
      </c>
      <c r="E203" s="7" t="str">
        <f>VLOOKUP($I203,[232]Parameter!$A:$N,14,FALSE)</f>
        <v>Pepsi Cola</v>
      </c>
      <c r="F203" s="9">
        <f t="shared" si="4"/>
        <v>12695</v>
      </c>
      <c r="G203" s="10" t="s">
        <v>167</v>
      </c>
      <c r="H203" s="11">
        <v>320023317</v>
      </c>
      <c r="I203" s="11" t="s">
        <v>137</v>
      </c>
      <c r="J203" s="11">
        <v>7101</v>
      </c>
      <c r="K203" s="11" t="s">
        <v>19</v>
      </c>
      <c r="L203" s="12">
        <v>12695</v>
      </c>
      <c r="M203" s="12">
        <v>0</v>
      </c>
      <c r="N203" s="12">
        <v>15</v>
      </c>
      <c r="O203" s="12">
        <v>0</v>
      </c>
      <c r="P203" s="12">
        <v>0</v>
      </c>
      <c r="Q203" s="12">
        <v>12695</v>
      </c>
      <c r="R203" s="12">
        <v>12695</v>
      </c>
    </row>
    <row r="204" spans="1:18" x14ac:dyDescent="0.3">
      <c r="A204" s="7" t="str">
        <f>VLOOKUP(MONTH($B204),[232]Parameter!$P:$Q,2,FALSE)</f>
        <v>Mar</v>
      </c>
      <c r="B204" s="8">
        <f>VLOOKUP($G204,[232]Parameter!$V:$W,2,FALSE)</f>
        <v>46083</v>
      </c>
      <c r="C204" s="7" t="str">
        <f>VLOOKUP($I204,[232]Parameter!$A:$M,13,FALSE)</f>
        <v>CSD PET</v>
      </c>
      <c r="D204" s="7" t="str">
        <f>VLOOKUP($I204,[232]Parameter!$A:$M,11,FALSE)</f>
        <v>PET 1250</v>
      </c>
      <c r="E204" s="7" t="str">
        <f>VLOOKUP($I204,[232]Parameter!$A:$N,14,FALSE)</f>
        <v>Pepsi Cola</v>
      </c>
      <c r="F204" s="9">
        <f t="shared" si="4"/>
        <v>395</v>
      </c>
      <c r="G204" s="10" t="s">
        <v>167</v>
      </c>
      <c r="H204" s="11">
        <v>320023317</v>
      </c>
      <c r="I204" s="11" t="s">
        <v>137</v>
      </c>
      <c r="J204" s="11">
        <v>7102</v>
      </c>
      <c r="K204" s="11" t="s">
        <v>20</v>
      </c>
      <c r="L204" s="12">
        <v>395</v>
      </c>
      <c r="M204" s="12">
        <v>0</v>
      </c>
      <c r="N204" s="12">
        <v>2</v>
      </c>
      <c r="O204" s="12">
        <v>0</v>
      </c>
      <c r="P204" s="12">
        <v>0</v>
      </c>
      <c r="Q204" s="12">
        <v>395</v>
      </c>
      <c r="R204" s="12">
        <v>395</v>
      </c>
    </row>
    <row r="205" spans="1:18" x14ac:dyDescent="0.3">
      <c r="A205" s="7" t="str">
        <f>VLOOKUP(MONTH($B205),[232]Parameter!$P:$Q,2,FALSE)</f>
        <v>Mar</v>
      </c>
      <c r="B205" s="8">
        <f>VLOOKUP($G205,[232]Parameter!$V:$W,2,FALSE)</f>
        <v>46083</v>
      </c>
      <c r="C205" s="7" t="str">
        <f>VLOOKUP($I205,[232]Parameter!$A:$M,13,FALSE)</f>
        <v>CSD PET</v>
      </c>
      <c r="D205" s="7" t="str">
        <f>VLOOKUP($I205,[232]Parameter!$A:$M,11,FALSE)</f>
        <v>PET 1000</v>
      </c>
      <c r="E205" s="7" t="str">
        <f>VLOOKUP($I205,[232]Parameter!$A:$N,14,FALSE)</f>
        <v>Pepsi Cola</v>
      </c>
      <c r="F205" s="9">
        <f t="shared" si="4"/>
        <v>1274</v>
      </c>
      <c r="G205" s="10" t="s">
        <v>167</v>
      </c>
      <c r="H205" s="11">
        <v>320023321</v>
      </c>
      <c r="I205" s="11" t="s">
        <v>138</v>
      </c>
      <c r="J205" s="11">
        <v>7101</v>
      </c>
      <c r="K205" s="11" t="s">
        <v>19</v>
      </c>
      <c r="L205" s="12">
        <v>1272</v>
      </c>
      <c r="M205" s="12">
        <v>2</v>
      </c>
      <c r="N205" s="12">
        <v>3</v>
      </c>
      <c r="O205" s="12">
        <v>0</v>
      </c>
      <c r="P205" s="12">
        <v>0</v>
      </c>
      <c r="Q205" s="12">
        <v>1274</v>
      </c>
      <c r="R205" s="12">
        <v>1274</v>
      </c>
    </row>
    <row r="206" spans="1:18" x14ac:dyDescent="0.3">
      <c r="A206" s="7" t="str">
        <f>VLOOKUP(MONTH($B206),[232]Parameter!$P:$Q,2,FALSE)</f>
        <v>Mar</v>
      </c>
      <c r="B206" s="8">
        <f>VLOOKUP($G206,[232]Parameter!$V:$W,2,FALSE)</f>
        <v>46083</v>
      </c>
      <c r="C206" s="7" t="str">
        <f>VLOOKUP($I206,[232]Parameter!$A:$M,13,FALSE)</f>
        <v>CSD PET</v>
      </c>
      <c r="D206" s="7" t="str">
        <f>VLOOKUP($I206,[232]Parameter!$A:$M,11,FALSE)</f>
        <v>PET 1000</v>
      </c>
      <c r="E206" s="7" t="str">
        <f>VLOOKUP($I206,[232]Parameter!$A:$N,14,FALSE)</f>
        <v>Pepsi Cola</v>
      </c>
      <c r="F206" s="9">
        <f t="shared" si="4"/>
        <v>26386</v>
      </c>
      <c r="G206" s="10" t="s">
        <v>167</v>
      </c>
      <c r="H206" s="11">
        <v>320023321</v>
      </c>
      <c r="I206" s="11" t="s">
        <v>138</v>
      </c>
      <c r="J206" s="11">
        <v>7102</v>
      </c>
      <c r="K206" s="11" t="s">
        <v>20</v>
      </c>
      <c r="L206" s="12">
        <v>25826</v>
      </c>
      <c r="M206" s="12">
        <v>0</v>
      </c>
      <c r="N206" s="12">
        <v>31</v>
      </c>
      <c r="O206" s="12">
        <v>0</v>
      </c>
      <c r="P206" s="12">
        <v>560</v>
      </c>
      <c r="Q206" s="12">
        <v>26386</v>
      </c>
      <c r="R206" s="12">
        <v>25826</v>
      </c>
    </row>
    <row r="207" spans="1:18" x14ac:dyDescent="0.3">
      <c r="A207" s="7" t="str">
        <f>VLOOKUP(MONTH($B207),[232]Parameter!$P:$Q,2,FALSE)</f>
        <v>Mar</v>
      </c>
      <c r="B207" s="8">
        <f>VLOOKUP($G207,[232]Parameter!$V:$W,2,FALSE)</f>
        <v>46083</v>
      </c>
      <c r="C207" s="7" t="str">
        <f>VLOOKUP($I207,[232]Parameter!$A:$M,13,FALSE)</f>
        <v>CSD PET</v>
      </c>
      <c r="D207" s="7" t="str">
        <f>VLOOKUP($I207,[232]Parameter!$A:$M,11,FALSE)</f>
        <v>PET 350 P24</v>
      </c>
      <c r="E207" s="7" t="str">
        <f>VLOOKUP($I207,[232]Parameter!$A:$N,14,FALSE)</f>
        <v>MRD Strawberry</v>
      </c>
      <c r="F207" s="9">
        <f t="shared" si="4"/>
        <v>5791</v>
      </c>
      <c r="G207" s="10" t="s">
        <v>167</v>
      </c>
      <c r="H207" s="11">
        <v>320023333</v>
      </c>
      <c r="I207" s="11" t="s">
        <v>139</v>
      </c>
      <c r="J207" s="11">
        <v>7101</v>
      </c>
      <c r="K207" s="11" t="s">
        <v>19</v>
      </c>
      <c r="L207" s="12">
        <v>5791</v>
      </c>
      <c r="M207" s="12">
        <v>0</v>
      </c>
      <c r="N207" s="12">
        <v>522</v>
      </c>
      <c r="O207" s="12">
        <v>0</v>
      </c>
      <c r="P207" s="12">
        <v>0</v>
      </c>
      <c r="Q207" s="12">
        <v>5791</v>
      </c>
      <c r="R207" s="12">
        <v>5791</v>
      </c>
    </row>
    <row r="208" spans="1:18" x14ac:dyDescent="0.3">
      <c r="A208" s="7" t="str">
        <f>VLOOKUP(MONTH($B208),[232]Parameter!$P:$Q,2,FALSE)</f>
        <v>Mar</v>
      </c>
      <c r="B208" s="8">
        <f>VLOOKUP($G208,[232]Parameter!$V:$W,2,FALSE)</f>
        <v>46083</v>
      </c>
      <c r="C208" s="7" t="str">
        <f>VLOOKUP($I208,[232]Parameter!$A:$M,13,FALSE)</f>
        <v>CSD PET</v>
      </c>
      <c r="D208" s="7" t="str">
        <f>VLOOKUP($I208,[232]Parameter!$A:$M,11,FALSE)</f>
        <v>PET 350 P12</v>
      </c>
      <c r="E208" s="7" t="str">
        <f>VLOOKUP($I208,[232]Parameter!$A:$N,14,FALSE)</f>
        <v>MRD Strawberry</v>
      </c>
      <c r="F208" s="9">
        <f t="shared" si="4"/>
        <v>41013</v>
      </c>
      <c r="G208" s="10" t="s">
        <v>167</v>
      </c>
      <c r="H208" s="11">
        <v>320023334</v>
      </c>
      <c r="I208" s="11" t="s">
        <v>140</v>
      </c>
      <c r="J208" s="11">
        <v>7101</v>
      </c>
      <c r="K208" s="11" t="s">
        <v>19</v>
      </c>
      <c r="L208" s="12">
        <v>41012</v>
      </c>
      <c r="M208" s="12">
        <v>1</v>
      </c>
      <c r="N208" s="12">
        <v>3</v>
      </c>
      <c r="O208" s="12">
        <v>0</v>
      </c>
      <c r="P208" s="12">
        <v>0</v>
      </c>
      <c r="Q208" s="12">
        <v>41013</v>
      </c>
      <c r="R208" s="12">
        <v>41013</v>
      </c>
    </row>
    <row r="209" spans="1:18" x14ac:dyDescent="0.3">
      <c r="A209" s="7" t="str">
        <f>VLOOKUP(MONTH($B209),[232]Parameter!$P:$Q,2,FALSE)</f>
        <v>Mar</v>
      </c>
      <c r="B209" s="8">
        <f>VLOOKUP($G209,[232]Parameter!$V:$W,2,FALSE)</f>
        <v>46083</v>
      </c>
      <c r="C209" s="7" t="str">
        <f>VLOOKUP($I209,[232]Parameter!$A:$M,13,FALSE)</f>
        <v>CSD PET</v>
      </c>
      <c r="D209" s="7" t="str">
        <f>VLOOKUP($I209,[232]Parameter!$A:$M,11,FALSE)</f>
        <v>PET 350 P12</v>
      </c>
      <c r="E209" s="7" t="str">
        <f>VLOOKUP($I209,[232]Parameter!$A:$N,14,FALSE)</f>
        <v>MRD Strawberry</v>
      </c>
      <c r="F209" s="9">
        <f t="shared" si="4"/>
        <v>19200</v>
      </c>
      <c r="G209" s="10" t="s">
        <v>167</v>
      </c>
      <c r="H209" s="11">
        <v>320023334</v>
      </c>
      <c r="I209" s="11" t="s">
        <v>140</v>
      </c>
      <c r="J209" s="11">
        <v>7102</v>
      </c>
      <c r="K209" s="11" t="s">
        <v>20</v>
      </c>
      <c r="L209" s="12">
        <v>9600</v>
      </c>
      <c r="M209" s="12">
        <v>0</v>
      </c>
      <c r="N209" s="12">
        <v>2</v>
      </c>
      <c r="O209" s="12">
        <v>0</v>
      </c>
      <c r="P209" s="12">
        <v>9600</v>
      </c>
      <c r="Q209" s="12">
        <v>19200</v>
      </c>
      <c r="R209" s="12">
        <v>9600</v>
      </c>
    </row>
    <row r="210" spans="1:18" x14ac:dyDescent="0.3">
      <c r="A210" s="7" t="str">
        <f>VLOOKUP(MONTH($B210),[232]Parameter!$P:$Q,2,FALSE)</f>
        <v>Mar</v>
      </c>
      <c r="B210" s="8">
        <f>VLOOKUP($G210,[232]Parameter!$V:$W,2,FALSE)</f>
        <v>46083</v>
      </c>
      <c r="C210" s="7" t="str">
        <f>VLOOKUP($I210,[232]Parameter!$A:$M,13,FALSE)</f>
        <v>CSD PET</v>
      </c>
      <c r="D210" s="7" t="str">
        <f>VLOOKUP($I210,[232]Parameter!$A:$M,11,FALSE)</f>
        <v>PET 1500</v>
      </c>
      <c r="E210" s="7" t="str">
        <f>VLOOKUP($I210,[232]Parameter!$A:$N,14,FALSE)</f>
        <v>MRD Strawberry</v>
      </c>
      <c r="F210" s="9">
        <f t="shared" si="4"/>
        <v>1041</v>
      </c>
      <c r="G210" s="10" t="s">
        <v>167</v>
      </c>
      <c r="H210" s="11">
        <v>320023335</v>
      </c>
      <c r="I210" s="11" t="s">
        <v>141</v>
      </c>
      <c r="J210" s="11">
        <v>7101</v>
      </c>
      <c r="K210" s="11" t="s">
        <v>19</v>
      </c>
      <c r="L210" s="12">
        <v>1041</v>
      </c>
      <c r="M210" s="12">
        <v>0</v>
      </c>
      <c r="N210" s="12">
        <v>0</v>
      </c>
      <c r="O210" s="12">
        <v>0</v>
      </c>
      <c r="P210" s="12">
        <v>0</v>
      </c>
      <c r="Q210" s="12">
        <v>1041</v>
      </c>
      <c r="R210" s="12">
        <v>1041</v>
      </c>
    </row>
    <row r="211" spans="1:18" x14ac:dyDescent="0.3">
      <c r="A211" s="7" t="str">
        <f>VLOOKUP(MONTH($B211),[232]Parameter!$P:$Q,2,FALSE)</f>
        <v>Mar</v>
      </c>
      <c r="B211" s="8">
        <f>VLOOKUP($G211,[232]Parameter!$V:$W,2,FALSE)</f>
        <v>46083</v>
      </c>
      <c r="C211" s="7" t="str">
        <f>VLOOKUP($I211,[232]Parameter!$A:$M,13,FALSE)</f>
        <v>CSD PET</v>
      </c>
      <c r="D211" s="7" t="str">
        <f>VLOOKUP($I211,[232]Parameter!$A:$M,11,FALSE)</f>
        <v>PET 1500</v>
      </c>
      <c r="E211" s="7" t="str">
        <f>VLOOKUP($I211,[232]Parameter!$A:$N,14,FALSE)</f>
        <v>MRD Strawberry</v>
      </c>
      <c r="F211" s="9">
        <f t="shared" si="4"/>
        <v>4135</v>
      </c>
      <c r="G211" s="10" t="s">
        <v>167</v>
      </c>
      <c r="H211" s="11">
        <v>320023335</v>
      </c>
      <c r="I211" s="11" t="s">
        <v>141</v>
      </c>
      <c r="J211" s="11">
        <v>7102</v>
      </c>
      <c r="K211" s="11" t="s">
        <v>20</v>
      </c>
      <c r="L211" s="12">
        <v>4135</v>
      </c>
      <c r="M211" s="12">
        <v>0</v>
      </c>
      <c r="N211" s="12">
        <v>0</v>
      </c>
      <c r="O211" s="12">
        <v>0</v>
      </c>
      <c r="P211" s="12">
        <v>0</v>
      </c>
      <c r="Q211" s="12">
        <v>4135</v>
      </c>
      <c r="R211" s="12">
        <v>4135</v>
      </c>
    </row>
    <row r="212" spans="1:18" x14ac:dyDescent="0.3">
      <c r="A212" s="7" t="str">
        <f>VLOOKUP(MONTH($B212),[232]Parameter!$P:$Q,2,FALSE)</f>
        <v>Mar</v>
      </c>
      <c r="B212" s="8">
        <f>VLOOKUP($G212,[232]Parameter!$V:$W,2,FALSE)</f>
        <v>46083</v>
      </c>
      <c r="C212" s="7" t="str">
        <f>VLOOKUP($I212,[232]Parameter!$A:$M,13,FALSE)</f>
        <v>CSD PET</v>
      </c>
      <c r="D212" s="7" t="str">
        <f>VLOOKUP($I212,[232]Parameter!$A:$M,11,FALSE)</f>
        <v>PET 350 P24</v>
      </c>
      <c r="E212" s="7" t="str">
        <f>VLOOKUP($I212,[232]Parameter!$A:$N,14,FALSE)</f>
        <v>PEPSI NO SUGAR</v>
      </c>
      <c r="F212" s="9">
        <f t="shared" si="4"/>
        <v>0</v>
      </c>
      <c r="G212" s="10" t="s">
        <v>167</v>
      </c>
      <c r="H212" s="11">
        <v>320023339</v>
      </c>
      <c r="I212" s="11" t="s">
        <v>142</v>
      </c>
      <c r="J212" s="11">
        <v>7101</v>
      </c>
      <c r="K212" s="11" t="s">
        <v>19</v>
      </c>
      <c r="L212" s="12">
        <v>0</v>
      </c>
      <c r="M212" s="12">
        <v>0</v>
      </c>
      <c r="N212" s="12">
        <v>46</v>
      </c>
      <c r="O212" s="12">
        <v>0</v>
      </c>
      <c r="P212" s="12">
        <v>0</v>
      </c>
      <c r="Q212" s="12">
        <v>0</v>
      </c>
      <c r="R212" s="12">
        <v>0</v>
      </c>
    </row>
    <row r="213" spans="1:18" x14ac:dyDescent="0.3">
      <c r="A213" s="7" t="str">
        <f>VLOOKUP(MONTH($B213),[232]Parameter!$P:$Q,2,FALSE)</f>
        <v>Mar</v>
      </c>
      <c r="B213" s="8">
        <f>VLOOKUP($G213,[232]Parameter!$V:$W,2,FALSE)</f>
        <v>46083</v>
      </c>
      <c r="C213" s="7" t="str">
        <f>VLOOKUP($I213,[232]Parameter!$A:$M,13,FALSE)</f>
        <v>NCB PET</v>
      </c>
      <c r="D213" s="7" t="str">
        <f>VLOOKUP($I213,[232]Parameter!$A:$M,11,FALSE)</f>
        <v>PET TEA+ 500</v>
      </c>
      <c r="E213" s="7" t="str">
        <f>VLOOKUP($I213,[232]Parameter!$A:$N,14,FALSE)</f>
        <v>TEA PLUS</v>
      </c>
      <c r="F213" s="9">
        <f t="shared" si="4"/>
        <v>1469</v>
      </c>
      <c r="G213" s="10" t="s">
        <v>167</v>
      </c>
      <c r="H213" s="11">
        <v>320023342</v>
      </c>
      <c r="I213" s="11" t="s">
        <v>143</v>
      </c>
      <c r="J213" s="11">
        <v>7101</v>
      </c>
      <c r="K213" s="11" t="s">
        <v>19</v>
      </c>
      <c r="L213" s="12">
        <v>1469</v>
      </c>
      <c r="M213" s="12">
        <v>0</v>
      </c>
      <c r="N213" s="12">
        <v>0</v>
      </c>
      <c r="O213" s="12">
        <v>0</v>
      </c>
      <c r="P213" s="12">
        <v>0</v>
      </c>
      <c r="Q213" s="12">
        <v>1469</v>
      </c>
      <c r="R213" s="12">
        <v>1469</v>
      </c>
    </row>
    <row r="214" spans="1:18" x14ac:dyDescent="0.3">
      <c r="A214" s="7" t="str">
        <f>VLOOKUP(MONTH($B214),[232]Parameter!$P:$Q,2,FALSE)</f>
        <v>Mar</v>
      </c>
      <c r="B214" s="8">
        <f>VLOOKUP($G214,[232]Parameter!$V:$W,2,FALSE)</f>
        <v>46083</v>
      </c>
      <c r="C214" s="7" t="str">
        <f>VLOOKUP($I214,[232]Parameter!$A:$M,13,FALSE)</f>
        <v>NCB PET</v>
      </c>
      <c r="D214" s="7" t="str">
        <f>VLOOKUP($I214,[232]Parameter!$A:$M,11,FALSE)</f>
        <v>PET TEA+ 500</v>
      </c>
      <c r="E214" s="7" t="str">
        <f>VLOOKUP($I214,[232]Parameter!$A:$N,14,FALSE)</f>
        <v>TEA PLUS</v>
      </c>
      <c r="F214" s="9">
        <f t="shared" si="4"/>
        <v>1081</v>
      </c>
      <c r="G214" s="10" t="s">
        <v>167</v>
      </c>
      <c r="H214" s="11">
        <v>320023342</v>
      </c>
      <c r="I214" s="11" t="s">
        <v>143</v>
      </c>
      <c r="J214" s="11">
        <v>7102</v>
      </c>
      <c r="K214" s="11" t="s">
        <v>20</v>
      </c>
      <c r="L214" s="12">
        <v>1081</v>
      </c>
      <c r="M214" s="12">
        <v>0</v>
      </c>
      <c r="N214" s="12">
        <v>0</v>
      </c>
      <c r="O214" s="12">
        <v>0</v>
      </c>
      <c r="P214" s="12">
        <v>0</v>
      </c>
      <c r="Q214" s="12">
        <v>1081</v>
      </c>
      <c r="R214" s="12">
        <v>1081</v>
      </c>
    </row>
    <row r="215" spans="1:18" x14ac:dyDescent="0.3">
      <c r="A215" s="7" t="str">
        <f>VLOOKUP(MONTH($B215),[232]Parameter!$P:$Q,2,FALSE)</f>
        <v>Mar</v>
      </c>
      <c r="B215" s="8">
        <f>VLOOKUP($G215,[232]Parameter!$V:$W,2,FALSE)</f>
        <v>46083</v>
      </c>
      <c r="C215" s="7" t="str">
        <f>VLOOKUP($I215,[232]Parameter!$A:$M,13,FALSE)</f>
        <v>NCB PET</v>
      </c>
      <c r="D215" s="7" t="str">
        <f>VLOOKUP($I215,[232]Parameter!$A:$M,11,FALSE)</f>
        <v>PET COFF 250</v>
      </c>
      <c r="E215" s="7" t="str">
        <f>VLOOKUP($I215,[232]Parameter!$A:$N,14,FALSE)</f>
        <v>BOSS COFFEE</v>
      </c>
      <c r="F215" s="9">
        <f t="shared" si="4"/>
        <v>8867</v>
      </c>
      <c r="G215" s="10" t="s">
        <v>167</v>
      </c>
      <c r="H215" s="11">
        <v>320023343</v>
      </c>
      <c r="I215" s="11" t="s">
        <v>144</v>
      </c>
      <c r="J215" s="11">
        <v>7102</v>
      </c>
      <c r="K215" s="11" t="s">
        <v>20</v>
      </c>
      <c r="L215" s="12">
        <v>0</v>
      </c>
      <c r="M215" s="12">
        <v>8867</v>
      </c>
      <c r="N215" s="12">
        <v>0</v>
      </c>
      <c r="O215" s="12">
        <v>0</v>
      </c>
      <c r="P215" s="12">
        <v>0</v>
      </c>
      <c r="Q215" s="12">
        <v>8867</v>
      </c>
      <c r="R215" s="12">
        <v>8867</v>
      </c>
    </row>
    <row r="216" spans="1:18" x14ac:dyDescent="0.3">
      <c r="A216" s="7" t="str">
        <f>VLOOKUP(MONTH($B216),[232]Parameter!$P:$Q,2,FALSE)</f>
        <v>Mar</v>
      </c>
      <c r="B216" s="8">
        <f>VLOOKUP($G216,[232]Parameter!$V:$W,2,FALSE)</f>
        <v>46083</v>
      </c>
      <c r="C216" s="7" t="str">
        <f>VLOOKUP($I216,[232]Parameter!$A:$M,13,FALSE)</f>
        <v>CSD PET</v>
      </c>
      <c r="D216" s="7" t="str">
        <f>VLOOKUP($I216,[232]Parameter!$A:$M,11,FALSE)</f>
        <v>PET 1250</v>
      </c>
      <c r="E216" s="7" t="str">
        <f>VLOOKUP($I216,[232]Parameter!$A:$N,14,FALSE)</f>
        <v>Pepsi Cola</v>
      </c>
      <c r="F216" s="9">
        <f t="shared" si="4"/>
        <v>0</v>
      </c>
      <c r="G216" s="10" t="s">
        <v>167</v>
      </c>
      <c r="H216" s="11">
        <v>320023347</v>
      </c>
      <c r="I216" s="11" t="s">
        <v>145</v>
      </c>
      <c r="J216" s="11">
        <v>7102</v>
      </c>
      <c r="K216" s="11" t="s">
        <v>20</v>
      </c>
      <c r="L216" s="12">
        <v>0</v>
      </c>
      <c r="M216" s="12">
        <v>0</v>
      </c>
      <c r="N216" s="12">
        <v>2</v>
      </c>
      <c r="O216" s="12">
        <v>0</v>
      </c>
      <c r="P216" s="12">
        <v>0</v>
      </c>
      <c r="Q216" s="12">
        <v>0</v>
      </c>
      <c r="R216" s="12">
        <v>0</v>
      </c>
    </row>
    <row r="217" spans="1:18" x14ac:dyDescent="0.3">
      <c r="A217" s="7" t="str">
        <f>VLOOKUP(MONTH($B217),[232]Parameter!$P:$Q,2,FALSE)</f>
        <v>Mar</v>
      </c>
      <c r="B217" s="8">
        <f>VLOOKUP($G217,[232]Parameter!$V:$W,2,FALSE)</f>
        <v>46083</v>
      </c>
      <c r="C217" s="7" t="str">
        <f>VLOOKUP($I217,[232]Parameter!$A:$M,13,FALSE)</f>
        <v>CSD PET</v>
      </c>
      <c r="D217" s="7" t="str">
        <f>VLOOKUP($I217,[232]Parameter!$A:$M,11,FALSE)</f>
        <v>PET LN 250 P24</v>
      </c>
      <c r="E217" s="7" t="str">
        <f>VLOOKUP($I217,[232]Parameter!$A:$N,14,FALSE)</f>
        <v>Pepsi Cola</v>
      </c>
      <c r="F217" s="9">
        <f t="shared" si="4"/>
        <v>8282</v>
      </c>
      <c r="G217" s="10" t="s">
        <v>167</v>
      </c>
      <c r="H217" s="11">
        <v>320023350</v>
      </c>
      <c r="I217" s="11" t="s">
        <v>146</v>
      </c>
      <c r="J217" s="11">
        <v>7101</v>
      </c>
      <c r="K217" s="11" t="s">
        <v>19</v>
      </c>
      <c r="L217" s="12">
        <v>92</v>
      </c>
      <c r="M217" s="12">
        <v>0</v>
      </c>
      <c r="N217" s="12">
        <v>6</v>
      </c>
      <c r="O217" s="12">
        <v>0</v>
      </c>
      <c r="P217" s="12">
        <v>8190</v>
      </c>
      <c r="Q217" s="12">
        <v>8282</v>
      </c>
      <c r="R217" s="12">
        <v>92</v>
      </c>
    </row>
    <row r="218" spans="1:18" x14ac:dyDescent="0.3">
      <c r="A218" s="7" t="str">
        <f>VLOOKUP(MONTH($B218),[232]Parameter!$P:$Q,2,FALSE)</f>
        <v>Mar</v>
      </c>
      <c r="B218" s="8">
        <f>VLOOKUP($G218,[232]Parameter!$V:$W,2,FALSE)</f>
        <v>46083</v>
      </c>
      <c r="C218" s="7" t="str">
        <f>VLOOKUP($I218,[232]Parameter!$A:$M,13,FALSE)</f>
        <v>CSD PET</v>
      </c>
      <c r="D218" s="7" t="str">
        <f>VLOOKUP($I218,[232]Parameter!$A:$M,11,FALSE)</f>
        <v>PET LN 250 P24</v>
      </c>
      <c r="E218" s="7" t="str">
        <f>VLOOKUP($I218,[232]Parameter!$A:$N,14,FALSE)</f>
        <v>Pepsi Cola</v>
      </c>
      <c r="F218" s="9">
        <f t="shared" si="4"/>
        <v>59732</v>
      </c>
      <c r="G218" s="10" t="s">
        <v>167</v>
      </c>
      <c r="H218" s="11">
        <v>320023350</v>
      </c>
      <c r="I218" s="11" t="s">
        <v>146</v>
      </c>
      <c r="J218" s="11">
        <v>7102</v>
      </c>
      <c r="K218" s="11" t="s">
        <v>20</v>
      </c>
      <c r="L218" s="12">
        <v>59732</v>
      </c>
      <c r="M218" s="12">
        <v>0</v>
      </c>
      <c r="N218" s="12">
        <v>4</v>
      </c>
      <c r="O218" s="12">
        <v>0</v>
      </c>
      <c r="P218" s="12">
        <v>0</v>
      </c>
      <c r="Q218" s="12">
        <v>59732</v>
      </c>
      <c r="R218" s="12">
        <v>59732</v>
      </c>
    </row>
    <row r="219" spans="1:18" x14ac:dyDescent="0.3">
      <c r="A219" s="7" t="str">
        <f>VLOOKUP(MONTH($B219),[232]Parameter!$P:$Q,2,FALSE)</f>
        <v>Mar</v>
      </c>
      <c r="B219" s="8">
        <f>VLOOKUP($G219,[232]Parameter!$V:$W,2,FALSE)</f>
        <v>46083</v>
      </c>
      <c r="C219" s="7" t="str">
        <f>VLOOKUP($I219,[232]Parameter!$A:$M,13,FALSE)</f>
        <v>CSD PET</v>
      </c>
      <c r="D219" s="7" t="str">
        <f>VLOOKUP($I219,[232]Parameter!$A:$M,11,FALSE)</f>
        <v>PET AQ 350</v>
      </c>
      <c r="E219" s="7" t="str">
        <f>VLOOKUP($I219,[232]Parameter!$A:$N,14,FALSE)</f>
        <v>Lipton</v>
      </c>
      <c r="F219" s="9">
        <f t="shared" si="4"/>
        <v>6811</v>
      </c>
      <c r="G219" s="10" t="s">
        <v>167</v>
      </c>
      <c r="H219" s="11">
        <v>320023351</v>
      </c>
      <c r="I219" s="11" t="s">
        <v>147</v>
      </c>
      <c r="J219" s="11">
        <v>7101</v>
      </c>
      <c r="K219" s="11" t="s">
        <v>19</v>
      </c>
      <c r="L219" s="12">
        <v>6810</v>
      </c>
      <c r="M219" s="12">
        <v>1</v>
      </c>
      <c r="N219" s="12">
        <v>68</v>
      </c>
      <c r="O219" s="12">
        <v>0</v>
      </c>
      <c r="P219" s="12">
        <v>0</v>
      </c>
      <c r="Q219" s="12">
        <v>6811</v>
      </c>
      <c r="R219" s="12">
        <v>6811</v>
      </c>
    </row>
    <row r="220" spans="1:18" x14ac:dyDescent="0.3">
      <c r="A220" s="7" t="str">
        <f>VLOOKUP(MONTH($B220),[232]Parameter!$P:$Q,2,FALSE)</f>
        <v>Mar</v>
      </c>
      <c r="B220" s="8">
        <f>VLOOKUP($G220,[232]Parameter!$V:$W,2,FALSE)</f>
        <v>46083</v>
      </c>
      <c r="C220" s="7" t="str">
        <f>VLOOKUP($I220,[232]Parameter!$A:$M,13,FALSE)</f>
        <v>CSD PET</v>
      </c>
      <c r="D220" s="7" t="str">
        <f>VLOOKUP($I220,[232]Parameter!$A:$M,11,FALSE)</f>
        <v>PET AQ 350</v>
      </c>
      <c r="E220" s="7" t="str">
        <f>VLOOKUP($I220,[232]Parameter!$A:$N,14,FALSE)</f>
        <v>Lipton</v>
      </c>
      <c r="F220" s="9">
        <f t="shared" si="4"/>
        <v>144</v>
      </c>
      <c r="G220" s="10" t="s">
        <v>167</v>
      </c>
      <c r="H220" s="11">
        <v>320023351</v>
      </c>
      <c r="I220" s="11" t="s">
        <v>147</v>
      </c>
      <c r="J220" s="11">
        <v>7102</v>
      </c>
      <c r="K220" s="11" t="s">
        <v>20</v>
      </c>
      <c r="L220" s="12">
        <v>144</v>
      </c>
      <c r="M220" s="12">
        <v>0</v>
      </c>
      <c r="N220" s="12">
        <v>347</v>
      </c>
      <c r="O220" s="12">
        <v>0</v>
      </c>
      <c r="P220" s="12">
        <v>0</v>
      </c>
      <c r="Q220" s="12">
        <v>144</v>
      </c>
      <c r="R220" s="12">
        <v>144</v>
      </c>
    </row>
    <row r="221" spans="1:18" x14ac:dyDescent="0.3">
      <c r="A221" s="7" t="str">
        <f>VLOOKUP(MONTH($B221),[232]Parameter!$P:$Q,2,FALSE)</f>
        <v>Mar</v>
      </c>
      <c r="B221" s="8">
        <f>VLOOKUP($G221,[232]Parameter!$V:$W,2,FALSE)</f>
        <v>46083</v>
      </c>
      <c r="C221" s="7" t="str">
        <f>VLOOKUP($I221,[232]Parameter!$A:$M,13,FALSE)</f>
        <v>CSD PET</v>
      </c>
      <c r="D221" s="7" t="str">
        <f>VLOOKUP($I221,[232]Parameter!$A:$M,11,FALSE)</f>
        <v>PET LN 250 P12</v>
      </c>
      <c r="E221" s="7" t="str">
        <f>VLOOKUP($I221,[232]Parameter!$A:$N,14,FALSE)</f>
        <v>STING</v>
      </c>
      <c r="F221" s="9">
        <f t="shared" si="4"/>
        <v>28507</v>
      </c>
      <c r="G221" s="10" t="s">
        <v>167</v>
      </c>
      <c r="H221" s="11">
        <v>320023352</v>
      </c>
      <c r="I221" s="11" t="s">
        <v>148</v>
      </c>
      <c r="J221" s="11">
        <v>7101</v>
      </c>
      <c r="K221" s="11" t="s">
        <v>19</v>
      </c>
      <c r="L221" s="12">
        <v>28507</v>
      </c>
      <c r="M221" s="12">
        <v>0</v>
      </c>
      <c r="N221" s="12">
        <v>0</v>
      </c>
      <c r="O221" s="12">
        <v>0</v>
      </c>
      <c r="P221" s="12">
        <v>0</v>
      </c>
      <c r="Q221" s="12">
        <v>28507</v>
      </c>
      <c r="R221" s="12">
        <v>28507</v>
      </c>
    </row>
    <row r="222" spans="1:18" x14ac:dyDescent="0.3">
      <c r="A222" s="7" t="str">
        <f>VLOOKUP(MONTH($B222),[232]Parameter!$P:$Q,2,FALSE)</f>
        <v>Mar</v>
      </c>
      <c r="B222" s="8">
        <f>VLOOKUP($G222,[232]Parameter!$V:$W,2,FALSE)</f>
        <v>46083</v>
      </c>
      <c r="C222" s="7" t="str">
        <f>VLOOKUP($I222,[232]Parameter!$A:$M,13,FALSE)</f>
        <v>CSD PET</v>
      </c>
      <c r="D222" s="7" t="str">
        <f>VLOOKUP($I222,[232]Parameter!$A:$M,11,FALSE)</f>
        <v>PET LN 250 P12</v>
      </c>
      <c r="E222" s="7" t="str">
        <f>VLOOKUP($I222,[232]Parameter!$A:$N,14,FALSE)</f>
        <v>STING</v>
      </c>
      <c r="F222" s="9">
        <f t="shared" si="4"/>
        <v>11114</v>
      </c>
      <c r="G222" s="10" t="s">
        <v>167</v>
      </c>
      <c r="H222" s="11">
        <v>320023353</v>
      </c>
      <c r="I222" s="11" t="s">
        <v>149</v>
      </c>
      <c r="J222" s="11">
        <v>7101</v>
      </c>
      <c r="K222" s="11" t="s">
        <v>19</v>
      </c>
      <c r="L222" s="12">
        <v>11114</v>
      </c>
      <c r="M222" s="12">
        <v>0</v>
      </c>
      <c r="N222" s="12">
        <v>0</v>
      </c>
      <c r="O222" s="12">
        <v>0</v>
      </c>
      <c r="P222" s="12">
        <v>0</v>
      </c>
      <c r="Q222" s="12">
        <v>11114</v>
      </c>
      <c r="R222" s="12">
        <v>11114</v>
      </c>
    </row>
    <row r="223" spans="1:18" x14ac:dyDescent="0.3">
      <c r="A223" s="7" t="str">
        <f>VLOOKUP(MONTH($B223),[232]Parameter!$P:$Q,2,FALSE)</f>
        <v>Mar</v>
      </c>
      <c r="B223" s="8">
        <f>VLOOKUP($G223,[232]Parameter!$V:$W,2,FALSE)</f>
        <v>46083</v>
      </c>
      <c r="C223" s="7" t="str">
        <f>VLOOKUP($I223,[232]Parameter!$A:$M,13,FALSE)</f>
        <v>CSD PET</v>
      </c>
      <c r="D223" s="7" t="str">
        <f>VLOOKUP($I223,[232]Parameter!$A:$M,11,FALSE)</f>
        <v>PET 1250</v>
      </c>
      <c r="E223" s="7" t="str">
        <f>VLOOKUP($I223,[232]Parameter!$A:$N,14,FALSE)</f>
        <v>Pepsi Cola</v>
      </c>
      <c r="F223" s="9">
        <f t="shared" si="4"/>
        <v>144</v>
      </c>
      <c r="G223" s="10" t="s">
        <v>167</v>
      </c>
      <c r="H223" s="11">
        <v>320023355</v>
      </c>
      <c r="I223" s="11" t="s">
        <v>150</v>
      </c>
      <c r="J223" s="11">
        <v>7101</v>
      </c>
      <c r="K223" s="11" t="s">
        <v>19</v>
      </c>
      <c r="L223" s="12">
        <v>144</v>
      </c>
      <c r="M223" s="12">
        <v>0</v>
      </c>
      <c r="N223" s="12">
        <v>0</v>
      </c>
      <c r="O223" s="12">
        <v>0</v>
      </c>
      <c r="P223" s="12">
        <v>0</v>
      </c>
      <c r="Q223" s="12">
        <v>144</v>
      </c>
      <c r="R223" s="12">
        <v>144</v>
      </c>
    </row>
    <row r="224" spans="1:18" x14ac:dyDescent="0.3">
      <c r="A224" s="7" t="str">
        <f>VLOOKUP(MONTH($B224),[232]Parameter!$P:$Q,2,FALSE)</f>
        <v>Mar</v>
      </c>
      <c r="B224" s="8">
        <f>VLOOKUP($G224,[232]Parameter!$V:$W,2,FALSE)</f>
        <v>46083</v>
      </c>
      <c r="C224" s="7" t="str">
        <f>VLOOKUP($I224,[232]Parameter!$A:$M,13,FALSE)</f>
        <v>CSD PET</v>
      </c>
      <c r="D224" s="7" t="str">
        <f>VLOOKUP($I224,[232]Parameter!$A:$M,11,FALSE)</f>
        <v>PET 1250</v>
      </c>
      <c r="E224" s="7" t="str">
        <f>VLOOKUP($I224,[232]Parameter!$A:$N,14,FALSE)</f>
        <v>Pepsi Cola</v>
      </c>
      <c r="F224" s="9">
        <f t="shared" si="4"/>
        <v>13383</v>
      </c>
      <c r="G224" s="10" t="s">
        <v>167</v>
      </c>
      <c r="H224" s="11">
        <v>320023355</v>
      </c>
      <c r="I224" s="11" t="s">
        <v>150</v>
      </c>
      <c r="J224" s="11">
        <v>7102</v>
      </c>
      <c r="K224" s="11" t="s">
        <v>20</v>
      </c>
      <c r="L224" s="12">
        <v>13383</v>
      </c>
      <c r="M224" s="12">
        <v>0</v>
      </c>
      <c r="N224" s="12">
        <v>0</v>
      </c>
      <c r="O224" s="12">
        <v>0</v>
      </c>
      <c r="P224" s="12">
        <v>0</v>
      </c>
      <c r="Q224" s="12">
        <v>13383</v>
      </c>
      <c r="R224" s="12">
        <v>13383</v>
      </c>
    </row>
    <row r="225" spans="1:18" x14ac:dyDescent="0.3">
      <c r="A225" s="7" t="str">
        <f>VLOOKUP(MONTH($B225),[232]Parameter!$P:$Q,2,FALSE)</f>
        <v>Mar</v>
      </c>
      <c r="B225" s="8">
        <f>VLOOKUP($G225,[232]Parameter!$V:$W,2,FALSE)</f>
        <v>46083</v>
      </c>
      <c r="C225" s="7" t="str">
        <f>VLOOKUP($I225,[232]Parameter!$A:$M,13,FALSE)</f>
        <v>CSD PET</v>
      </c>
      <c r="D225" s="7" t="str">
        <f>VLOOKUP($I225,[232]Parameter!$A:$M,11,FALSE)</f>
        <v>PET 1250</v>
      </c>
      <c r="E225" s="7" t="str">
        <f>VLOOKUP($I225,[232]Parameter!$A:$N,14,FALSE)</f>
        <v>Pepsi Cola</v>
      </c>
      <c r="F225" s="9">
        <f t="shared" si="4"/>
        <v>891</v>
      </c>
      <c r="G225" s="10" t="s">
        <v>167</v>
      </c>
      <c r="H225" s="11">
        <v>320023358</v>
      </c>
      <c r="I225" s="11" t="s">
        <v>151</v>
      </c>
      <c r="J225" s="11">
        <v>7101</v>
      </c>
      <c r="K225" s="11" t="s">
        <v>19</v>
      </c>
      <c r="L225" s="12">
        <v>890</v>
      </c>
      <c r="M225" s="12">
        <v>1</v>
      </c>
      <c r="N225" s="12">
        <v>20</v>
      </c>
      <c r="O225" s="12">
        <v>0</v>
      </c>
      <c r="P225" s="12">
        <v>0</v>
      </c>
      <c r="Q225" s="12">
        <v>891</v>
      </c>
      <c r="R225" s="12">
        <v>891</v>
      </c>
    </row>
    <row r="226" spans="1:18" x14ac:dyDescent="0.3">
      <c r="A226" s="7" t="str">
        <f>VLOOKUP(MONTH($B226),[232]Parameter!$P:$Q,2,FALSE)</f>
        <v>Mar</v>
      </c>
      <c r="B226" s="8">
        <f>VLOOKUP($G226,[232]Parameter!$V:$W,2,FALSE)</f>
        <v>46083</v>
      </c>
      <c r="C226" s="7" t="str">
        <f>VLOOKUP($I226,[232]Parameter!$A:$M,13,FALSE)</f>
        <v>CSD PET</v>
      </c>
      <c r="D226" s="7" t="str">
        <f>VLOOKUP($I226,[232]Parameter!$A:$M,11,FALSE)</f>
        <v>PET 1250</v>
      </c>
      <c r="E226" s="7" t="str">
        <f>VLOOKUP($I226,[232]Parameter!$A:$N,14,FALSE)</f>
        <v>Pepsi Cola</v>
      </c>
      <c r="F226" s="9">
        <f t="shared" si="4"/>
        <v>1386</v>
      </c>
      <c r="G226" s="10" t="s">
        <v>167</v>
      </c>
      <c r="H226" s="11">
        <v>320023358</v>
      </c>
      <c r="I226" s="11" t="s">
        <v>151</v>
      </c>
      <c r="J226" s="11">
        <v>7102</v>
      </c>
      <c r="K226" s="11" t="s">
        <v>20</v>
      </c>
      <c r="L226" s="12">
        <v>1386</v>
      </c>
      <c r="M226" s="12">
        <v>0</v>
      </c>
      <c r="N226" s="12">
        <v>8</v>
      </c>
      <c r="O226" s="12">
        <v>0</v>
      </c>
      <c r="P226" s="12">
        <v>0</v>
      </c>
      <c r="Q226" s="12">
        <v>1386</v>
      </c>
      <c r="R226" s="12">
        <v>1386</v>
      </c>
    </row>
    <row r="227" spans="1:18" x14ac:dyDescent="0.3">
      <c r="A227" s="7" t="str">
        <f>VLOOKUP(MONTH($B227),[232]Parameter!$P:$Q,2,FALSE)</f>
        <v>Mar</v>
      </c>
      <c r="B227" s="8">
        <f>VLOOKUP($G227,[232]Parameter!$V:$W,2,FALSE)</f>
        <v>46083</v>
      </c>
      <c r="C227" s="7" t="str">
        <f>VLOOKUP($I227,[232]Parameter!$A:$M,13,FALSE)</f>
        <v>CSD PMX</v>
      </c>
      <c r="D227" s="7" t="str">
        <f>VLOOKUP($I227,[232]Parameter!$A:$M,11,FALSE)</f>
        <v>BIB 5L</v>
      </c>
      <c r="E227" s="7" t="str">
        <f>VLOOKUP($I227,[232]Parameter!$A:$N,14,FALSE)</f>
        <v>PEPSI NO SUGAR</v>
      </c>
      <c r="F227" s="9">
        <f t="shared" si="4"/>
        <v>1212</v>
      </c>
      <c r="G227" s="10" t="s">
        <v>167</v>
      </c>
      <c r="H227" s="11">
        <v>320023363</v>
      </c>
      <c r="I227" s="11" t="s">
        <v>152</v>
      </c>
      <c r="J227" s="11">
        <v>7101</v>
      </c>
      <c r="K227" s="11" t="s">
        <v>19</v>
      </c>
      <c r="L227" s="12">
        <v>1212</v>
      </c>
      <c r="M227" s="12">
        <v>0</v>
      </c>
      <c r="N227" s="12">
        <v>0</v>
      </c>
      <c r="O227" s="12">
        <v>0</v>
      </c>
      <c r="P227" s="12">
        <v>0</v>
      </c>
      <c r="Q227" s="12">
        <v>1212</v>
      </c>
      <c r="R227" s="12">
        <v>1212</v>
      </c>
    </row>
    <row r="228" spans="1:18" x14ac:dyDescent="0.3">
      <c r="A228" s="7" t="str">
        <f>VLOOKUP(MONTH($B228),[232]Parameter!$P:$Q,2,FALSE)</f>
        <v>Mar</v>
      </c>
      <c r="B228" s="8">
        <f>VLOOKUP($G228,[232]Parameter!$V:$W,2,FALSE)</f>
        <v>46083</v>
      </c>
      <c r="C228" s="7" t="str">
        <f>VLOOKUP($I228,[232]Parameter!$A:$M,13,FALSE)</f>
        <v>CSD PET</v>
      </c>
      <c r="D228" s="7" t="str">
        <f>VLOOKUP($I228,[232]Parameter!$A:$M,11,FALSE)</f>
        <v>PET 640</v>
      </c>
      <c r="E228" s="7" t="str">
        <f>VLOOKUP($I228,[232]Parameter!$A:$N,14,FALSE)</f>
        <v>Pepsi Cola</v>
      </c>
      <c r="F228" s="9">
        <f t="shared" si="4"/>
        <v>1</v>
      </c>
      <c r="G228" s="10" t="s">
        <v>167</v>
      </c>
      <c r="H228" s="11">
        <v>320023364</v>
      </c>
      <c r="I228" s="11" t="s">
        <v>153</v>
      </c>
      <c r="J228" s="11">
        <v>7101</v>
      </c>
      <c r="K228" s="11" t="s">
        <v>19</v>
      </c>
      <c r="L228" s="12">
        <v>0</v>
      </c>
      <c r="M228" s="12">
        <v>1</v>
      </c>
      <c r="N228" s="12">
        <v>6</v>
      </c>
      <c r="O228" s="12">
        <v>0</v>
      </c>
      <c r="P228" s="12">
        <v>0</v>
      </c>
      <c r="Q228" s="12">
        <v>1</v>
      </c>
      <c r="R228" s="12">
        <v>1</v>
      </c>
    </row>
    <row r="229" spans="1:18" x14ac:dyDescent="0.3">
      <c r="A229" s="7" t="str">
        <f>VLOOKUP(MONTH($B229),[232]Parameter!$P:$Q,2,FALSE)</f>
        <v>Mar</v>
      </c>
      <c r="B229" s="8">
        <f>VLOOKUP($G229,[232]Parameter!$V:$W,2,FALSE)</f>
        <v>46083</v>
      </c>
      <c r="C229" s="7" t="str">
        <f>VLOOKUP($I229,[232]Parameter!$A:$M,13,FALSE)</f>
        <v>CSD PET</v>
      </c>
      <c r="D229" s="7" t="str">
        <f>VLOOKUP($I229,[232]Parameter!$A:$M,11,FALSE)</f>
        <v>PET 640</v>
      </c>
      <c r="E229" s="7" t="str">
        <f>VLOOKUP($I229,[232]Parameter!$A:$N,14,FALSE)</f>
        <v>Pepsi Cola</v>
      </c>
      <c r="F229" s="9">
        <f t="shared" si="4"/>
        <v>103056</v>
      </c>
      <c r="G229" s="10" t="s">
        <v>167</v>
      </c>
      <c r="H229" s="11">
        <v>320023364</v>
      </c>
      <c r="I229" s="11" t="s">
        <v>153</v>
      </c>
      <c r="J229" s="11">
        <v>7102</v>
      </c>
      <c r="K229" s="11" t="s">
        <v>20</v>
      </c>
      <c r="L229" s="12">
        <v>99316</v>
      </c>
      <c r="M229" s="12">
        <v>3740</v>
      </c>
      <c r="N229" s="12">
        <v>16</v>
      </c>
      <c r="O229" s="12">
        <v>0</v>
      </c>
      <c r="P229" s="12">
        <v>0</v>
      </c>
      <c r="Q229" s="12">
        <v>103056</v>
      </c>
      <c r="R229" s="12">
        <v>103056</v>
      </c>
    </row>
    <row r="230" spans="1:18" x14ac:dyDescent="0.3">
      <c r="A230" s="7" t="str">
        <f>VLOOKUP(MONTH($B230),[232]Parameter!$P:$Q,2,FALSE)</f>
        <v>Mar</v>
      </c>
      <c r="B230" s="8">
        <f>VLOOKUP($G230,[232]Parameter!$V:$W,2,FALSE)</f>
        <v>46083</v>
      </c>
      <c r="C230" s="7" t="str">
        <f>VLOOKUP($I230,[232]Parameter!$A:$M,13,FALSE)</f>
        <v>CSD PMX</v>
      </c>
      <c r="D230" s="7" t="str">
        <f>VLOOKUP($I230,[232]Parameter!$A:$M,11,FALSE)</f>
        <v>BIB 10L</v>
      </c>
      <c r="E230" s="7" t="str">
        <f>VLOOKUP($I230,[232]Parameter!$A:$N,14,FALSE)</f>
        <v>Pepsi Cola</v>
      </c>
      <c r="F230" s="9">
        <f t="shared" si="4"/>
        <v>0</v>
      </c>
      <c r="G230" s="10" t="s">
        <v>167</v>
      </c>
      <c r="H230" s="11">
        <v>320023365</v>
      </c>
      <c r="I230" s="11" t="s">
        <v>154</v>
      </c>
      <c r="J230" s="11">
        <v>7101</v>
      </c>
      <c r="K230" s="11" t="s">
        <v>19</v>
      </c>
      <c r="L230" s="12">
        <v>0</v>
      </c>
      <c r="M230" s="12">
        <v>0</v>
      </c>
      <c r="N230" s="12">
        <v>91</v>
      </c>
      <c r="O230" s="12">
        <v>0</v>
      </c>
      <c r="P230" s="12">
        <v>0</v>
      </c>
      <c r="Q230" s="12">
        <v>0</v>
      </c>
      <c r="R230" s="12">
        <v>0</v>
      </c>
    </row>
    <row r="231" spans="1:18" x14ac:dyDescent="0.3">
      <c r="A231" s="7" t="str">
        <f>VLOOKUP(MONTH($B231),[232]Parameter!$P:$Q,2,FALSE)</f>
        <v>Mar</v>
      </c>
      <c r="B231" s="8">
        <f>VLOOKUP($G231,[232]Parameter!$V:$W,2,FALSE)</f>
        <v>46083</v>
      </c>
      <c r="C231" s="7" t="str">
        <f>VLOOKUP($I231,[232]Parameter!$A:$M,13,FALSE)</f>
        <v>CSD PMX</v>
      </c>
      <c r="D231" s="7" t="str">
        <f>VLOOKUP($I231,[232]Parameter!$A:$M,11,FALSE)</f>
        <v>BIB 10L</v>
      </c>
      <c r="E231" s="7" t="str">
        <f>VLOOKUP($I231,[232]Parameter!$A:$N,14,FALSE)</f>
        <v>Pepsi Cola</v>
      </c>
      <c r="F231" s="9">
        <f t="shared" si="4"/>
        <v>910</v>
      </c>
      <c r="G231" s="10" t="s">
        <v>167</v>
      </c>
      <c r="H231" s="11">
        <v>320023365</v>
      </c>
      <c r="I231" s="11" t="s">
        <v>154</v>
      </c>
      <c r="J231" s="11">
        <v>7102</v>
      </c>
      <c r="K231" s="11" t="s">
        <v>20</v>
      </c>
      <c r="L231" s="12">
        <v>910</v>
      </c>
      <c r="M231" s="12">
        <v>0</v>
      </c>
      <c r="N231" s="12">
        <v>0</v>
      </c>
      <c r="O231" s="12">
        <v>0</v>
      </c>
      <c r="P231" s="12">
        <v>0</v>
      </c>
      <c r="Q231" s="12">
        <v>910</v>
      </c>
      <c r="R231" s="12">
        <v>910</v>
      </c>
    </row>
    <row r="232" spans="1:18" x14ac:dyDescent="0.3">
      <c r="A232" s="7" t="str">
        <f>VLOOKUP(MONTH($B232),[232]Parameter!$P:$Q,2,FALSE)</f>
        <v>Mar</v>
      </c>
      <c r="B232" s="8">
        <f>VLOOKUP($G232,[232]Parameter!$V:$W,2,FALSE)</f>
        <v>46083</v>
      </c>
      <c r="C232" s="7" t="str">
        <f>VLOOKUP($I232,[232]Parameter!$A:$M,13,FALSE)</f>
        <v>NCB PET</v>
      </c>
      <c r="D232" s="7" t="str">
        <f>VLOOKUP($I232,[232]Parameter!$A:$M,11,FALSE)</f>
        <v>PET TEA+ 375</v>
      </c>
      <c r="E232" s="7" t="str">
        <f>VLOOKUP($I232,[232]Parameter!$A:$N,14,FALSE)</f>
        <v>TEA PLUS</v>
      </c>
      <c r="F232" s="9">
        <f t="shared" si="4"/>
        <v>73</v>
      </c>
      <c r="G232" s="10" t="s">
        <v>167</v>
      </c>
      <c r="H232" s="11">
        <v>320023368</v>
      </c>
      <c r="I232" s="11" t="s">
        <v>155</v>
      </c>
      <c r="J232" s="11">
        <v>7101</v>
      </c>
      <c r="K232" s="11" t="s">
        <v>19</v>
      </c>
      <c r="L232" s="12">
        <v>73</v>
      </c>
      <c r="M232" s="12">
        <v>0</v>
      </c>
      <c r="N232" s="12">
        <v>0</v>
      </c>
      <c r="O232" s="12">
        <v>0</v>
      </c>
      <c r="P232" s="12">
        <v>0</v>
      </c>
      <c r="Q232" s="12">
        <v>73</v>
      </c>
      <c r="R232" s="12">
        <v>73</v>
      </c>
    </row>
    <row r="233" spans="1:18" x14ac:dyDescent="0.3">
      <c r="A233" s="7" t="str">
        <f>VLOOKUP(MONTH($B233),[232]Parameter!$P:$Q,2,FALSE)</f>
        <v>Mar</v>
      </c>
      <c r="B233" s="8">
        <f>VLOOKUP($G233,[232]Parameter!$V:$W,2,FALSE)</f>
        <v>46083</v>
      </c>
      <c r="C233" s="7" t="str">
        <f>VLOOKUP($I233,[232]Parameter!$A:$M,13,FALSE)</f>
        <v>NCB PET</v>
      </c>
      <c r="D233" s="7" t="str">
        <f>VLOOKUP($I233,[232]Parameter!$A:$M,11,FALSE)</f>
        <v>PET TEA+ 375</v>
      </c>
      <c r="E233" s="7" t="str">
        <f>VLOOKUP($I233,[232]Parameter!$A:$N,14,FALSE)</f>
        <v>TEA PLUS</v>
      </c>
      <c r="F233" s="9">
        <f t="shared" si="4"/>
        <v>72</v>
      </c>
      <c r="G233" s="10" t="s">
        <v>167</v>
      </c>
      <c r="H233" s="11">
        <v>320023368</v>
      </c>
      <c r="I233" s="11" t="s">
        <v>155</v>
      </c>
      <c r="J233" s="11">
        <v>7102</v>
      </c>
      <c r="K233" s="11" t="s">
        <v>20</v>
      </c>
      <c r="L233" s="12">
        <v>72</v>
      </c>
      <c r="M233" s="12">
        <v>0</v>
      </c>
      <c r="N233" s="12">
        <v>0</v>
      </c>
      <c r="O233" s="12">
        <v>0</v>
      </c>
      <c r="P233" s="12">
        <v>0</v>
      </c>
      <c r="Q233" s="12">
        <v>72</v>
      </c>
      <c r="R233" s="12">
        <v>72</v>
      </c>
    </row>
    <row r="234" spans="1:18" x14ac:dyDescent="0.3">
      <c r="A234" s="7" t="str">
        <f>VLOOKUP(MONTH($B234),[232]Parameter!$P:$Q,2,FALSE)</f>
        <v>Mar</v>
      </c>
      <c r="B234" s="8">
        <f>VLOOKUP($G234,[232]Parameter!$V:$W,2,FALSE)</f>
        <v>46083</v>
      </c>
      <c r="C234" s="7" t="str">
        <f>VLOOKUP($I234,[232]Parameter!$A:$M,13,FALSE)</f>
        <v>NCB PET</v>
      </c>
      <c r="D234" s="7" t="str">
        <f>VLOOKUP($I234,[232]Parameter!$A:$M,11,FALSE)</f>
        <v>PET TEA+ 375</v>
      </c>
      <c r="E234" s="7" t="str">
        <f>VLOOKUP($I234,[232]Parameter!$A:$N,14,FALSE)</f>
        <v>TEA PLUS</v>
      </c>
      <c r="F234" s="9">
        <f t="shared" si="4"/>
        <v>6</v>
      </c>
      <c r="G234" s="10" t="s">
        <v>167</v>
      </c>
      <c r="H234" s="11">
        <v>320023369</v>
      </c>
      <c r="I234" s="11" t="s">
        <v>156</v>
      </c>
      <c r="J234" s="11">
        <v>7102</v>
      </c>
      <c r="K234" s="11" t="s">
        <v>20</v>
      </c>
      <c r="L234" s="12">
        <v>6</v>
      </c>
      <c r="M234" s="12">
        <v>0</v>
      </c>
      <c r="N234" s="12">
        <v>1</v>
      </c>
      <c r="O234" s="12">
        <v>0</v>
      </c>
      <c r="P234" s="12">
        <v>0</v>
      </c>
      <c r="Q234" s="12">
        <v>6</v>
      </c>
      <c r="R234" s="12">
        <v>6</v>
      </c>
    </row>
    <row r="235" spans="1:18" x14ac:dyDescent="0.3">
      <c r="A235" s="7" t="str">
        <f>VLOOKUP(MONTH($B235),[232]Parameter!$P:$Q,2,FALSE)</f>
        <v>Mar</v>
      </c>
      <c r="B235" s="8">
        <f>VLOOKUP($G235,[232]Parameter!$V:$W,2,FALSE)</f>
        <v>46083</v>
      </c>
      <c r="C235" s="7" t="str">
        <f>VLOOKUP($I235,[232]Parameter!$A:$M,13,FALSE)</f>
        <v>CSD PET</v>
      </c>
      <c r="D235" s="7" t="str">
        <f>VLOOKUP($I235,[232]Parameter!$A:$M,11,FALSE)</f>
        <v>PET 300 EMN P24</v>
      </c>
      <c r="E235" s="7" t="str">
        <f>VLOOKUP($I235,[232]Parameter!$A:$N,14,FALSE)</f>
        <v>Pepsi Cola</v>
      </c>
      <c r="F235" s="9">
        <f t="shared" si="4"/>
        <v>0</v>
      </c>
      <c r="G235" s="10" t="s">
        <v>167</v>
      </c>
      <c r="H235" s="11">
        <v>320023372</v>
      </c>
      <c r="I235" s="11" t="s">
        <v>157</v>
      </c>
      <c r="J235" s="11">
        <v>7101</v>
      </c>
      <c r="K235" s="11" t="s">
        <v>19</v>
      </c>
      <c r="L235" s="12">
        <v>0</v>
      </c>
      <c r="M235" s="12">
        <v>0</v>
      </c>
      <c r="N235" s="12">
        <v>2</v>
      </c>
      <c r="O235" s="12">
        <v>0</v>
      </c>
      <c r="P235" s="12">
        <v>0</v>
      </c>
      <c r="Q235" s="12">
        <v>0</v>
      </c>
      <c r="R235" s="12">
        <v>0</v>
      </c>
    </row>
    <row r="236" spans="1:18" x14ac:dyDescent="0.3">
      <c r="A236" s="7" t="str">
        <f>VLOOKUP(MONTH($B236),[232]Parameter!$P:$Q,2,FALSE)</f>
        <v>Mar</v>
      </c>
      <c r="B236" s="8">
        <f>VLOOKUP($G236,[232]Parameter!$V:$W,2,FALSE)</f>
        <v>46083</v>
      </c>
      <c r="C236" s="7" t="str">
        <f>VLOOKUP($I236,[232]Parameter!$A:$M,13,FALSE)</f>
        <v>CSD PET</v>
      </c>
      <c r="D236" s="7" t="str">
        <f>VLOOKUP($I236,[232]Parameter!$A:$M,11,FALSE)</f>
        <v>PET 300 EMN P24</v>
      </c>
      <c r="E236" s="7" t="str">
        <f>VLOOKUP($I236,[232]Parameter!$A:$N,14,FALSE)</f>
        <v>Pepsi Cola</v>
      </c>
      <c r="F236" s="9">
        <f t="shared" si="4"/>
        <v>0</v>
      </c>
      <c r="G236" s="10" t="s">
        <v>167</v>
      </c>
      <c r="H236" s="11">
        <v>320023372</v>
      </c>
      <c r="I236" s="11" t="s">
        <v>157</v>
      </c>
      <c r="J236" s="11">
        <v>7102</v>
      </c>
      <c r="K236" s="11" t="s">
        <v>20</v>
      </c>
      <c r="L236" s="12">
        <v>0</v>
      </c>
      <c r="M236" s="12">
        <v>0</v>
      </c>
      <c r="N236" s="12">
        <v>1</v>
      </c>
      <c r="O236" s="12">
        <v>0</v>
      </c>
      <c r="P236" s="12">
        <v>0</v>
      </c>
      <c r="Q236" s="12">
        <v>0</v>
      </c>
      <c r="R236" s="12">
        <v>0</v>
      </c>
    </row>
    <row r="237" spans="1:18" x14ac:dyDescent="0.3">
      <c r="A237" s="7" t="str">
        <f>VLOOKUP(MONTH($B237),[232]Parameter!$P:$Q,2,FALSE)</f>
        <v>Mar</v>
      </c>
      <c r="B237" s="8">
        <f>VLOOKUP($G237,[232]Parameter!$V:$W,2,FALSE)</f>
        <v>46083</v>
      </c>
      <c r="C237" s="7" t="str">
        <f>VLOOKUP($I237,[232]Parameter!$A:$M,13,FALSE)</f>
        <v>CSD PET</v>
      </c>
      <c r="D237" s="7" t="str">
        <f>VLOOKUP($I237,[232]Parameter!$A:$M,11,FALSE)</f>
        <v>PET 350 P12</v>
      </c>
      <c r="E237" s="7" t="str">
        <f>VLOOKUP($I237,[232]Parameter!$A:$N,14,FALSE)</f>
        <v>PEPSI NO SUGAR</v>
      </c>
      <c r="F237" s="9">
        <f t="shared" si="4"/>
        <v>180</v>
      </c>
      <c r="G237" s="10" t="s">
        <v>167</v>
      </c>
      <c r="H237" s="11">
        <v>320023373</v>
      </c>
      <c r="I237" s="11" t="s">
        <v>158</v>
      </c>
      <c r="J237" s="11">
        <v>7101</v>
      </c>
      <c r="K237" s="11" t="s">
        <v>19</v>
      </c>
      <c r="L237" s="12">
        <v>180</v>
      </c>
      <c r="M237" s="12">
        <v>0</v>
      </c>
      <c r="N237" s="12">
        <v>0</v>
      </c>
      <c r="O237" s="12">
        <v>0</v>
      </c>
      <c r="P237" s="12">
        <v>0</v>
      </c>
      <c r="Q237" s="12">
        <v>180</v>
      </c>
      <c r="R237" s="12">
        <v>180</v>
      </c>
    </row>
    <row r="238" spans="1:18" x14ac:dyDescent="0.3">
      <c r="A238" s="7" t="str">
        <f>VLOOKUP(MONTH($B238),[232]Parameter!$P:$Q,2,FALSE)</f>
        <v>Mar</v>
      </c>
      <c r="B238" s="8">
        <f>VLOOKUP($G238,[232]Parameter!$V:$W,2,FALSE)</f>
        <v>46083</v>
      </c>
      <c r="C238" s="7" t="str">
        <f>VLOOKUP($I238,[232]Parameter!$A:$M,13,FALSE)</f>
        <v>CSD PET</v>
      </c>
      <c r="D238" s="7" t="str">
        <f>VLOOKUP($I238,[232]Parameter!$A:$M,11,FALSE)</f>
        <v>PET 350 P12</v>
      </c>
      <c r="E238" s="7" t="str">
        <f>VLOOKUP($I238,[232]Parameter!$A:$N,14,FALSE)</f>
        <v>PEPSI NO SUGAR</v>
      </c>
      <c r="F238" s="9">
        <f t="shared" si="4"/>
        <v>236</v>
      </c>
      <c r="G238" s="10" t="s">
        <v>167</v>
      </c>
      <c r="H238" s="11">
        <v>320023373</v>
      </c>
      <c r="I238" s="11" t="s">
        <v>158</v>
      </c>
      <c r="J238" s="11">
        <v>7102</v>
      </c>
      <c r="K238" s="11" t="s">
        <v>20</v>
      </c>
      <c r="L238" s="12">
        <v>236</v>
      </c>
      <c r="M238" s="12">
        <v>0</v>
      </c>
      <c r="N238" s="12">
        <v>1</v>
      </c>
      <c r="O238" s="12">
        <v>0</v>
      </c>
      <c r="P238" s="12">
        <v>0</v>
      </c>
      <c r="Q238" s="12">
        <v>236</v>
      </c>
      <c r="R238" s="12">
        <v>236</v>
      </c>
    </row>
    <row r="239" spans="1:18" x14ac:dyDescent="0.3">
      <c r="A239" s="7" t="str">
        <f>VLOOKUP(MONTH($B239),[232]Parameter!$P:$Q,2,FALSE)</f>
        <v>Mar</v>
      </c>
      <c r="B239" s="8">
        <f>VLOOKUP($G239,[232]Parameter!$V:$W,2,FALSE)</f>
        <v>46083</v>
      </c>
      <c r="C239" s="7" t="str">
        <f>VLOOKUP($I239,[232]Parameter!$A:$M,13,FALSE)</f>
        <v>CSD PET</v>
      </c>
      <c r="D239" s="7" t="str">
        <f>VLOOKUP($I239,[232]Parameter!$A:$M,11,FALSE)</f>
        <v>PET AQ 450</v>
      </c>
      <c r="E239" s="7" t="str">
        <f>VLOOKUP($I239,[232]Parameter!$A:$N,14,FALSE)</f>
        <v>7-Up</v>
      </c>
      <c r="F239" s="9">
        <f t="shared" si="4"/>
        <v>9162</v>
      </c>
      <c r="G239" s="10" t="s">
        <v>167</v>
      </c>
      <c r="H239" s="11">
        <v>320023374</v>
      </c>
      <c r="I239" s="11" t="s">
        <v>159</v>
      </c>
      <c r="J239" s="11">
        <v>7101</v>
      </c>
      <c r="K239" s="11" t="s">
        <v>19</v>
      </c>
      <c r="L239" s="12">
        <v>9162</v>
      </c>
      <c r="M239" s="12">
        <v>0</v>
      </c>
      <c r="N239" s="12">
        <v>0</v>
      </c>
      <c r="O239" s="12">
        <v>0</v>
      </c>
      <c r="P239" s="12">
        <v>0</v>
      </c>
      <c r="Q239" s="12">
        <v>9162</v>
      </c>
      <c r="R239" s="12">
        <v>9162</v>
      </c>
    </row>
    <row r="240" spans="1:18" x14ac:dyDescent="0.3">
      <c r="A240" s="7" t="str">
        <f>VLOOKUP(MONTH($B240),[232]Parameter!$P:$Q,2,FALSE)</f>
        <v>Mar</v>
      </c>
      <c r="B240" s="8">
        <f>VLOOKUP($G240,[232]Parameter!$V:$W,2,FALSE)</f>
        <v>46083</v>
      </c>
      <c r="C240" s="7" t="str">
        <f>VLOOKUP($I240,[232]Parameter!$A:$M,13,FALSE)</f>
        <v>CSD CAN</v>
      </c>
      <c r="D240" s="7" t="str">
        <f>VLOOKUP($I240,[232]Parameter!$A:$M,11,FALSE)</f>
        <v>CAN 330</v>
      </c>
      <c r="E240" s="7" t="str">
        <f>VLOOKUP($I240,[232]Parameter!$A:$N,14,FALSE)</f>
        <v>PEPSI NO SUGAR</v>
      </c>
      <c r="F240" s="9">
        <f t="shared" si="4"/>
        <v>38274</v>
      </c>
      <c r="G240" s="10" t="s">
        <v>167</v>
      </c>
      <c r="H240" s="11">
        <v>320023375</v>
      </c>
      <c r="I240" s="11" t="s">
        <v>160</v>
      </c>
      <c r="J240" s="11">
        <v>7101</v>
      </c>
      <c r="K240" s="11" t="s">
        <v>19</v>
      </c>
      <c r="L240" s="12">
        <v>38274</v>
      </c>
      <c r="M240" s="12">
        <v>0</v>
      </c>
      <c r="N240" s="12">
        <v>0</v>
      </c>
      <c r="O240" s="12">
        <v>0</v>
      </c>
      <c r="P240" s="12">
        <v>0</v>
      </c>
      <c r="Q240" s="12">
        <v>38274</v>
      </c>
      <c r="R240" s="12">
        <v>38274</v>
      </c>
    </row>
    <row r="241" spans="1:18" x14ac:dyDescent="0.3">
      <c r="A241" s="7" t="str">
        <f>VLOOKUP(MONTH($B241),[232]Parameter!$P:$Q,2,FALSE)</f>
        <v>Mar</v>
      </c>
      <c r="B241" s="8">
        <f>VLOOKUP($G241,[232]Parameter!$V:$W,2,FALSE)</f>
        <v>46083</v>
      </c>
      <c r="C241" s="7" t="str">
        <f>VLOOKUP($I241,[232]Parameter!$A:$M,13,FALSE)</f>
        <v>CSD CAN</v>
      </c>
      <c r="D241" s="7" t="str">
        <f>VLOOKUP($I241,[232]Parameter!$A:$M,11,FALSE)</f>
        <v>CAN 330</v>
      </c>
      <c r="E241" s="7" t="str">
        <f>VLOOKUP($I241,[232]Parameter!$A:$N,14,FALSE)</f>
        <v>PEPSI NO SUGAR</v>
      </c>
      <c r="F241" s="9">
        <f t="shared" si="4"/>
        <v>1361</v>
      </c>
      <c r="G241" s="10" t="s">
        <v>167</v>
      </c>
      <c r="H241" s="11">
        <v>320023375</v>
      </c>
      <c r="I241" s="11" t="s">
        <v>160</v>
      </c>
      <c r="J241" s="11">
        <v>7102</v>
      </c>
      <c r="K241" s="11" t="s">
        <v>20</v>
      </c>
      <c r="L241" s="12">
        <v>1361</v>
      </c>
      <c r="M241" s="12">
        <v>0</v>
      </c>
      <c r="N241" s="12">
        <v>0</v>
      </c>
      <c r="O241" s="12">
        <v>0</v>
      </c>
      <c r="P241" s="12">
        <v>0</v>
      </c>
      <c r="Q241" s="12">
        <v>1361</v>
      </c>
      <c r="R241" s="12">
        <v>1361</v>
      </c>
    </row>
    <row r="242" spans="1:18" x14ac:dyDescent="0.3">
      <c r="A242" s="7" t="str">
        <f>VLOOKUP(MONTH($B242),[232]Parameter!$P:$Q,2,FALSE)</f>
        <v>Mar</v>
      </c>
      <c r="B242" s="8">
        <f>VLOOKUP($G242,[232]Parameter!$V:$W,2,FALSE)</f>
        <v>46083</v>
      </c>
      <c r="C242" s="7" t="str">
        <f>VLOOKUP($I242,[232]Parameter!$A:$M,13,FALSE)</f>
        <v>CSD PET</v>
      </c>
      <c r="D242" s="7" t="str">
        <f>VLOOKUP($I242,[232]Parameter!$A:$M,11,FALSE)</f>
        <v>PET 1750</v>
      </c>
      <c r="E242" s="7" t="str">
        <f>VLOOKUP($I242,[232]Parameter!$A:$N,14,FALSE)</f>
        <v>Pepsi Cola</v>
      </c>
      <c r="F242" s="9">
        <f t="shared" si="4"/>
        <v>89960</v>
      </c>
      <c r="G242" s="10" t="s">
        <v>167</v>
      </c>
      <c r="H242" s="11">
        <v>320023380</v>
      </c>
      <c r="I242" s="11" t="s">
        <v>161</v>
      </c>
      <c r="J242" s="11">
        <v>7101</v>
      </c>
      <c r="K242" s="11" t="s">
        <v>19</v>
      </c>
      <c r="L242" s="12">
        <v>89919</v>
      </c>
      <c r="M242" s="12">
        <v>41</v>
      </c>
      <c r="N242" s="12">
        <v>0</v>
      </c>
      <c r="O242" s="12">
        <v>0</v>
      </c>
      <c r="P242" s="12">
        <v>0</v>
      </c>
      <c r="Q242" s="12">
        <v>89960</v>
      </c>
      <c r="R242" s="12">
        <v>89960</v>
      </c>
    </row>
    <row r="243" spans="1:18" x14ac:dyDescent="0.3">
      <c r="A243" s="7" t="str">
        <f>VLOOKUP(MONTH($B243),[232]Parameter!$P:$Q,2,FALSE)</f>
        <v>Mar</v>
      </c>
      <c r="B243" s="8">
        <f>VLOOKUP($G243,[232]Parameter!$V:$W,2,FALSE)</f>
        <v>46083</v>
      </c>
      <c r="C243" s="7" t="str">
        <f>VLOOKUP($I243,[232]Parameter!$A:$M,13,FALSE)</f>
        <v>CSD PET</v>
      </c>
      <c r="D243" s="7" t="str">
        <f>VLOOKUP($I243,[232]Parameter!$A:$M,11,FALSE)</f>
        <v>PET 1750</v>
      </c>
      <c r="E243" s="7" t="str">
        <f>VLOOKUP($I243,[232]Parameter!$A:$N,14,FALSE)</f>
        <v>Pepsi Cola</v>
      </c>
      <c r="F243" s="9">
        <f t="shared" si="4"/>
        <v>8720</v>
      </c>
      <c r="G243" s="10" t="s">
        <v>167</v>
      </c>
      <c r="H243" s="11">
        <v>320023380</v>
      </c>
      <c r="I243" s="11" t="s">
        <v>161</v>
      </c>
      <c r="J243" s="11">
        <v>7102</v>
      </c>
      <c r="K243" s="11" t="s">
        <v>20</v>
      </c>
      <c r="L243" s="12">
        <v>5480</v>
      </c>
      <c r="M243" s="12">
        <v>0</v>
      </c>
      <c r="N243" s="12">
        <v>0</v>
      </c>
      <c r="O243" s="12">
        <v>0</v>
      </c>
      <c r="P243" s="12">
        <v>3240</v>
      </c>
      <c r="Q243" s="12">
        <v>8720</v>
      </c>
      <c r="R243" s="12">
        <v>5480</v>
      </c>
    </row>
    <row r="244" spans="1:18" x14ac:dyDescent="0.3">
      <c r="A244" s="7" t="str">
        <f>VLOOKUP(MONTH($B244),[232]Parameter!$P:$Q,2,FALSE)</f>
        <v>Mar</v>
      </c>
      <c r="B244" s="8">
        <f>VLOOKUP($G244,[232]Parameter!$V:$W,2,FALSE)</f>
        <v>46083</v>
      </c>
      <c r="C244" s="7" t="str">
        <f>VLOOKUP($I244,[232]Parameter!$A:$M,13,FALSE)</f>
        <v>NCB PET</v>
      </c>
      <c r="D244" s="7" t="str">
        <f>VLOOKUP($I244,[232]Parameter!$A:$M,11,FALSE)</f>
        <v>PET HY 570</v>
      </c>
      <c r="E244" s="7" t="str">
        <f>VLOOKUP($I244,[232]Parameter!$A:$N,14,FALSE)</f>
        <v>SUNTORY HY_YUZU</v>
      </c>
      <c r="F244" s="9">
        <f t="shared" si="4"/>
        <v>24788</v>
      </c>
      <c r="G244" s="10" t="s">
        <v>167</v>
      </c>
      <c r="H244" s="11">
        <v>320023382</v>
      </c>
      <c r="I244" s="11" t="s">
        <v>162</v>
      </c>
      <c r="J244" s="11">
        <v>7101</v>
      </c>
      <c r="K244" s="11" t="s">
        <v>19</v>
      </c>
      <c r="L244" s="12">
        <v>21980</v>
      </c>
      <c r="M244" s="12">
        <v>0</v>
      </c>
      <c r="N244" s="12">
        <v>0</v>
      </c>
      <c r="O244" s="12">
        <v>0</v>
      </c>
      <c r="P244" s="12">
        <v>2808</v>
      </c>
      <c r="Q244" s="12">
        <v>24788</v>
      </c>
      <c r="R244" s="12">
        <v>21980</v>
      </c>
    </row>
    <row r="245" spans="1:18" x14ac:dyDescent="0.3">
      <c r="A245" s="7" t="str">
        <f>VLOOKUP(MONTH($B245),[232]Parameter!$P:$Q,2,FALSE)</f>
        <v>Mar</v>
      </c>
      <c r="B245" s="8">
        <f>VLOOKUP($G245,[232]Parameter!$V:$W,2,FALSE)</f>
        <v>46083</v>
      </c>
      <c r="C245" s="7" t="str">
        <f>VLOOKUP($I245,[232]Parameter!$A:$M,13,FALSE)</f>
        <v>NCB PET</v>
      </c>
      <c r="D245" s="7" t="str">
        <f>VLOOKUP($I245,[232]Parameter!$A:$M,11,FALSE)</f>
        <v>PET HY 570</v>
      </c>
      <c r="E245" s="7" t="str">
        <f>VLOOKUP($I245,[232]Parameter!$A:$N,14,FALSE)</f>
        <v>SUNTORY HY_YUZU</v>
      </c>
      <c r="F245" s="9">
        <f t="shared" si="4"/>
        <v>673</v>
      </c>
      <c r="G245" s="10" t="s">
        <v>167</v>
      </c>
      <c r="H245" s="11">
        <v>320023382</v>
      </c>
      <c r="I245" s="11" t="s">
        <v>162</v>
      </c>
      <c r="J245" s="11">
        <v>7102</v>
      </c>
      <c r="K245" s="11" t="s">
        <v>20</v>
      </c>
      <c r="L245" s="12">
        <v>673</v>
      </c>
      <c r="M245" s="12">
        <v>0</v>
      </c>
      <c r="N245" s="12">
        <v>0</v>
      </c>
      <c r="O245" s="12">
        <v>0</v>
      </c>
      <c r="P245" s="12">
        <v>0</v>
      </c>
      <c r="Q245" s="12">
        <v>673</v>
      </c>
      <c r="R245" s="12">
        <v>673</v>
      </c>
    </row>
    <row r="246" spans="1:18" x14ac:dyDescent="0.3">
      <c r="A246" s="7" t="str">
        <f>VLOOKUP(MONTH($B246),[232]Parameter!$P:$Q,2,FALSE)</f>
        <v>Mar</v>
      </c>
      <c r="B246" s="8">
        <f>VLOOKUP($G246,[232]Parameter!$V:$W,2,FALSE)</f>
        <v>46083</v>
      </c>
      <c r="C246" s="7" t="str">
        <f>VLOOKUP($I246,[232]Parameter!$A:$M,13,FALSE)</f>
        <v>NCB PET</v>
      </c>
      <c r="D246" s="7" t="str">
        <f>VLOOKUP($I246,[232]Parameter!$A:$M,11,FALSE)</f>
        <v>PET TEA+ 375</v>
      </c>
      <c r="E246" s="7" t="str">
        <f>VLOOKUP($I246,[232]Parameter!$A:$N,14,FALSE)</f>
        <v>TEA PLUS</v>
      </c>
      <c r="F246" s="9">
        <f t="shared" si="4"/>
        <v>12194</v>
      </c>
      <c r="G246" s="10" t="s">
        <v>167</v>
      </c>
      <c r="H246" s="11">
        <v>320023390</v>
      </c>
      <c r="I246" s="11" t="s">
        <v>163</v>
      </c>
      <c r="J246" s="11">
        <v>7105</v>
      </c>
      <c r="K246" s="11" t="s">
        <v>60</v>
      </c>
      <c r="L246" s="12">
        <v>12194</v>
      </c>
      <c r="M246" s="12">
        <v>0</v>
      </c>
      <c r="N246" s="12">
        <v>0</v>
      </c>
      <c r="O246" s="12">
        <v>0</v>
      </c>
      <c r="P246" s="12">
        <v>0</v>
      </c>
      <c r="Q246" s="12">
        <v>12194</v>
      </c>
      <c r="R246" s="12">
        <v>12194</v>
      </c>
    </row>
    <row r="247" spans="1:18" x14ac:dyDescent="0.3">
      <c r="A247" s="7" t="str">
        <f>VLOOKUP(MONTH($B247),[232]Parameter!$P:$Q,2,FALSE)</f>
        <v>Mar</v>
      </c>
      <c r="B247" s="8">
        <f>VLOOKUP($G247,[232]Parameter!$V:$W,2,FALSE)</f>
        <v>46083</v>
      </c>
      <c r="C247" s="7" t="str">
        <f>VLOOKUP($I247,[232]Parameter!$A:$M,13,FALSE)</f>
        <v>CSD PET</v>
      </c>
      <c r="D247" s="7" t="str">
        <f>VLOOKUP($I247,[232]Parameter!$A:$M,11,FALSE)</f>
        <v>PET 1500</v>
      </c>
      <c r="E247" s="7" t="str">
        <f>VLOOKUP($I247,[232]Parameter!$A:$N,14,FALSE)</f>
        <v>7-Up</v>
      </c>
      <c r="F247" s="9">
        <f t="shared" si="4"/>
        <v>3012</v>
      </c>
      <c r="G247" s="10" t="s">
        <v>167</v>
      </c>
      <c r="H247" s="11">
        <v>320023393</v>
      </c>
      <c r="I247" s="11" t="s">
        <v>164</v>
      </c>
      <c r="J247" s="11">
        <v>7101</v>
      </c>
      <c r="K247" s="11" t="s">
        <v>19</v>
      </c>
      <c r="L247" s="12">
        <v>3012</v>
      </c>
      <c r="M247" s="12">
        <v>0</v>
      </c>
      <c r="N247" s="12">
        <v>0</v>
      </c>
      <c r="O247" s="12">
        <v>0</v>
      </c>
      <c r="P247" s="12">
        <v>0</v>
      </c>
      <c r="Q247" s="12">
        <v>3012</v>
      </c>
      <c r="R247" s="12">
        <v>3012</v>
      </c>
    </row>
    <row r="248" spans="1:18" x14ac:dyDescent="0.3">
      <c r="A248" s="7" t="str">
        <f>VLOOKUP(MONTH($B248),[232]Parameter!$P:$Q,2,FALSE)</f>
        <v>Mar</v>
      </c>
      <c r="B248" s="8">
        <f>VLOOKUP($G248,[232]Parameter!$V:$W,2,FALSE)</f>
        <v>46083</v>
      </c>
      <c r="C248" s="7" t="str">
        <f>VLOOKUP($I248,[232]Parameter!$A:$M,13,FALSE)</f>
        <v>CSD PET</v>
      </c>
      <c r="D248" s="7" t="str">
        <f>VLOOKUP($I248,[232]Parameter!$A:$M,11,FALSE)</f>
        <v>PET 300 EMN P24</v>
      </c>
      <c r="E248" s="7" t="str">
        <f>VLOOKUP($I248,[232]Parameter!$A:$N,14,FALSE)</f>
        <v>Pepsi Cola</v>
      </c>
      <c r="F248" s="9">
        <f t="shared" si="4"/>
        <v>17955</v>
      </c>
      <c r="G248" s="10" t="s">
        <v>167</v>
      </c>
      <c r="H248" s="11">
        <v>320023400</v>
      </c>
      <c r="I248" s="11" t="s">
        <v>165</v>
      </c>
      <c r="J248" s="11">
        <v>7101</v>
      </c>
      <c r="K248" s="11" t="s">
        <v>19</v>
      </c>
      <c r="L248" s="12">
        <v>17955</v>
      </c>
      <c r="M248" s="12">
        <v>0</v>
      </c>
      <c r="N248" s="12">
        <v>0</v>
      </c>
      <c r="O248" s="12">
        <v>0</v>
      </c>
      <c r="P248" s="12">
        <v>0</v>
      </c>
      <c r="Q248" s="12">
        <v>17955</v>
      </c>
      <c r="R248" s="12">
        <v>17955</v>
      </c>
    </row>
    <row r="249" spans="1:18" x14ac:dyDescent="0.3">
      <c r="A249" s="7" t="str">
        <f>VLOOKUP(MONTH($B249),[232]Parameter!$P:$Q,2,FALSE)</f>
        <v>Mar</v>
      </c>
      <c r="B249" s="8">
        <f>VLOOKUP($G249,[232]Parameter!$V:$W,2,FALSE)</f>
        <v>46083</v>
      </c>
      <c r="C249" s="7" t="str">
        <f>VLOOKUP($I249,[232]Parameter!$A:$M,13,FALSE)</f>
        <v>CSD PET</v>
      </c>
      <c r="D249" s="7" t="str">
        <f>VLOOKUP($I249,[232]Parameter!$A:$M,11,FALSE)</f>
        <v>PET 300 EMN P24</v>
      </c>
      <c r="E249" s="7" t="str">
        <f>VLOOKUP($I249,[232]Parameter!$A:$N,14,FALSE)</f>
        <v>Pepsi Cola</v>
      </c>
      <c r="F249" s="9">
        <f t="shared" si="4"/>
        <v>0</v>
      </c>
      <c r="G249" s="10" t="s">
        <v>167</v>
      </c>
      <c r="H249" s="11">
        <v>320023400</v>
      </c>
      <c r="I249" s="11" t="s">
        <v>165</v>
      </c>
      <c r="J249" s="11">
        <v>7102</v>
      </c>
      <c r="K249" s="11" t="s">
        <v>20</v>
      </c>
      <c r="L249" s="12">
        <v>0</v>
      </c>
      <c r="M249" s="12">
        <v>0</v>
      </c>
      <c r="N249" s="12">
        <v>1</v>
      </c>
      <c r="O249" s="12">
        <v>0</v>
      </c>
      <c r="P249" s="12">
        <v>0</v>
      </c>
      <c r="Q249" s="12">
        <v>0</v>
      </c>
      <c r="R249" s="12">
        <v>0</v>
      </c>
    </row>
    <row r="250" spans="1:18" x14ac:dyDescent="0.3">
      <c r="A250" s="7" t="str">
        <f>VLOOKUP(MONTH($B250),[232]Parameter!$P:$Q,2,FALSE)</f>
        <v>Mar</v>
      </c>
      <c r="B250" s="8">
        <f>VLOOKUP($G250,[232]Parameter!$V:$W,2,FALSE)</f>
        <v>46083</v>
      </c>
      <c r="C250" s="7" t="str">
        <f>VLOOKUP($I250,[232]Parameter!$A:$M,13,FALSE)</f>
        <v>NCB PET</v>
      </c>
      <c r="D250" s="7" t="str">
        <f>VLOOKUP($I250,[232]Parameter!$A:$M,11,FALSE)</f>
        <v>PET COFF 250</v>
      </c>
      <c r="E250" s="7" t="str">
        <f>VLOOKUP($I250,[232]Parameter!$A:$N,14,FALSE)</f>
        <v>BOSS COFFEE</v>
      </c>
      <c r="F250" s="9">
        <f t="shared" si="4"/>
        <v>454</v>
      </c>
      <c r="G250" s="10" t="s">
        <v>167</v>
      </c>
      <c r="H250" s="11">
        <v>320023406</v>
      </c>
      <c r="I250" s="11" t="s">
        <v>166</v>
      </c>
      <c r="J250" s="11">
        <v>7102</v>
      </c>
      <c r="K250" s="11" t="s">
        <v>20</v>
      </c>
      <c r="L250" s="12">
        <v>31</v>
      </c>
      <c r="M250" s="12">
        <v>423</v>
      </c>
      <c r="N250" s="12">
        <v>0</v>
      </c>
      <c r="O250" s="12">
        <v>0</v>
      </c>
      <c r="P250" s="12">
        <v>0</v>
      </c>
      <c r="Q250" s="12">
        <v>454</v>
      </c>
      <c r="R250" s="12">
        <v>454</v>
      </c>
    </row>
    <row r="251" spans="1:18" x14ac:dyDescent="0.3">
      <c r="A251" s="7"/>
      <c r="B251" s="8"/>
      <c r="C251" s="7"/>
      <c r="D251" s="7"/>
      <c r="E251" s="7"/>
      <c r="F251" s="9"/>
      <c r="G251" s="10"/>
    </row>
    <row r="252" spans="1:18" x14ac:dyDescent="0.3">
      <c r="A252" s="7"/>
      <c r="B252" s="8"/>
      <c r="C252" s="7"/>
      <c r="D252" s="7"/>
      <c r="E252" s="7"/>
      <c r="F252" s="9"/>
      <c r="G252" s="10"/>
    </row>
    <row r="253" spans="1:18" x14ac:dyDescent="0.3">
      <c r="A253" s="7"/>
      <c r="B253" s="8"/>
      <c r="C253" s="7"/>
      <c r="D253" s="7"/>
      <c r="E253" s="7"/>
      <c r="F253" s="9"/>
      <c r="G253" s="10"/>
    </row>
    <row r="254" spans="1:18" x14ac:dyDescent="0.3">
      <c r="A254" s="7"/>
      <c r="B254" s="8"/>
      <c r="C254" s="7"/>
      <c r="D254" s="7"/>
      <c r="E254" s="7"/>
      <c r="F254" s="9"/>
      <c r="G254" s="10"/>
    </row>
    <row r="255" spans="1:18" x14ac:dyDescent="0.3">
      <c r="A255" s="7"/>
      <c r="B255" s="8"/>
      <c r="C255" s="7"/>
      <c r="D255" s="7"/>
      <c r="E255" s="7"/>
      <c r="F255" s="9"/>
      <c r="G255" s="10"/>
    </row>
    <row r="256" spans="1:18" x14ac:dyDescent="0.3">
      <c r="A256" s="7"/>
      <c r="B256" s="8"/>
      <c r="C256" s="7"/>
      <c r="D256" s="7"/>
      <c r="E256" s="7"/>
      <c r="F256" s="9"/>
      <c r="G256" s="10"/>
    </row>
    <row r="257" spans="1:7" x14ac:dyDescent="0.3">
      <c r="A257" s="7"/>
      <c r="B257" s="8"/>
      <c r="C257" s="7"/>
      <c r="D257" s="7"/>
      <c r="E257" s="7"/>
      <c r="F257" s="9"/>
      <c r="G257" s="10"/>
    </row>
    <row r="258" spans="1:7" x14ac:dyDescent="0.3">
      <c r="A258" s="7"/>
      <c r="B258" s="8"/>
      <c r="C258" s="7"/>
      <c r="D258" s="7"/>
      <c r="E258" s="7"/>
      <c r="F258" s="9"/>
      <c r="G258" s="10"/>
    </row>
    <row r="259" spans="1:7" x14ac:dyDescent="0.3">
      <c r="A259" s="7"/>
      <c r="B259" s="8"/>
      <c r="C259" s="7"/>
      <c r="D259" s="7"/>
      <c r="E259" s="7"/>
      <c r="F259" s="9"/>
      <c r="G259" s="10"/>
    </row>
    <row r="260" spans="1:7" x14ac:dyDescent="0.3">
      <c r="A260" s="7"/>
      <c r="B260" s="8"/>
      <c r="C260" s="7"/>
      <c r="D260" s="7"/>
      <c r="E260" s="7"/>
      <c r="F260" s="9"/>
      <c r="G260" s="10"/>
    </row>
    <row r="261" spans="1:7" x14ac:dyDescent="0.3">
      <c r="A261" s="7"/>
      <c r="B261" s="8"/>
      <c r="C261" s="7"/>
      <c r="D261" s="7"/>
      <c r="E261" s="7"/>
      <c r="F261" s="9"/>
      <c r="G261" s="10"/>
    </row>
    <row r="262" spans="1:7" x14ac:dyDescent="0.3">
      <c r="A262" s="7"/>
      <c r="B262" s="8"/>
      <c r="C262" s="7"/>
      <c r="D262" s="7"/>
      <c r="E262" s="7"/>
      <c r="F262" s="9"/>
      <c r="G262" s="10"/>
    </row>
    <row r="263" spans="1:7" x14ac:dyDescent="0.3">
      <c r="A263" s="7"/>
      <c r="B263" s="8"/>
      <c r="C263" s="7"/>
      <c r="D263" s="7"/>
      <c r="E263" s="7"/>
      <c r="F263" s="9"/>
      <c r="G263" s="10"/>
    </row>
    <row r="264" spans="1:7" x14ac:dyDescent="0.3">
      <c r="A264" s="7"/>
      <c r="B264" s="8"/>
      <c r="C264" s="7"/>
      <c r="D264" s="7"/>
      <c r="E264" s="7"/>
      <c r="F264" s="9"/>
      <c r="G264" s="10"/>
    </row>
    <row r="265" spans="1:7" x14ac:dyDescent="0.3">
      <c r="A265" s="7"/>
      <c r="B265" s="8"/>
      <c r="C265" s="7"/>
      <c r="D265" s="7"/>
      <c r="E265" s="7"/>
      <c r="F265" s="9"/>
      <c r="G265" s="10"/>
    </row>
    <row r="266" spans="1:7" x14ac:dyDescent="0.3">
      <c r="A266" s="7"/>
      <c r="B266" s="8"/>
      <c r="C266" s="7"/>
      <c r="D266" s="7"/>
      <c r="E266" s="7"/>
      <c r="F266" s="9"/>
      <c r="G266" s="10"/>
    </row>
    <row r="267" spans="1:7" x14ac:dyDescent="0.3">
      <c r="A267" s="7"/>
      <c r="B267" s="8"/>
      <c r="C267" s="7"/>
      <c r="D267" s="7"/>
      <c r="E267" s="7"/>
      <c r="F267" s="9"/>
      <c r="G267" s="10"/>
    </row>
    <row r="268" spans="1:7" x14ac:dyDescent="0.3">
      <c r="A268" s="7"/>
      <c r="B268" s="8"/>
      <c r="C268" s="7"/>
      <c r="D268" s="7"/>
      <c r="E268" s="7"/>
      <c r="F268" s="9"/>
      <c r="G268" s="10"/>
    </row>
    <row r="269" spans="1:7" x14ac:dyDescent="0.3">
      <c r="A269" s="7"/>
      <c r="B269" s="8"/>
      <c r="C269" s="7"/>
      <c r="D269" s="7"/>
      <c r="E269" s="7"/>
      <c r="F269" s="9"/>
      <c r="G269" s="10"/>
    </row>
    <row r="270" spans="1:7" x14ac:dyDescent="0.3">
      <c r="A270" s="7"/>
      <c r="B270" s="8"/>
      <c r="C270" s="7"/>
      <c r="D270" s="7"/>
      <c r="E270" s="7"/>
      <c r="F270" s="9"/>
      <c r="G270" s="10"/>
    </row>
    <row r="271" spans="1:7" x14ac:dyDescent="0.3">
      <c r="A271" s="7"/>
      <c r="B271" s="8"/>
      <c r="C271" s="7"/>
      <c r="D271" s="7"/>
      <c r="E271" s="7"/>
      <c r="F271" s="9"/>
      <c r="G271" s="10"/>
    </row>
    <row r="272" spans="1:7" x14ac:dyDescent="0.3">
      <c r="A272" s="7"/>
      <c r="B272" s="8"/>
      <c r="C272" s="7"/>
      <c r="D272" s="7"/>
      <c r="E272" s="7"/>
      <c r="F272" s="9"/>
      <c r="G272" s="10"/>
    </row>
    <row r="273" spans="1:7" x14ac:dyDescent="0.3">
      <c r="A273" s="7"/>
      <c r="B273" s="8"/>
      <c r="C273" s="7"/>
      <c r="D273" s="7"/>
      <c r="E273" s="7"/>
      <c r="F273" s="9"/>
      <c r="G273" s="10"/>
    </row>
    <row r="274" spans="1:7" x14ac:dyDescent="0.3">
      <c r="A274" s="7"/>
      <c r="B274" s="8"/>
      <c r="C274" s="7"/>
      <c r="D274" s="7"/>
      <c r="E274" s="7"/>
      <c r="F274" s="9"/>
      <c r="G274" s="10"/>
    </row>
    <row r="275" spans="1:7" x14ac:dyDescent="0.3">
      <c r="A275" s="7"/>
      <c r="B275" s="8"/>
      <c r="C275" s="7"/>
      <c r="D275" s="7"/>
      <c r="E275" s="7"/>
      <c r="F275" s="9"/>
      <c r="G275" s="10"/>
    </row>
    <row r="276" spans="1:7" x14ac:dyDescent="0.3">
      <c r="A276" s="7"/>
      <c r="B276" s="8"/>
      <c r="C276" s="7"/>
      <c r="D276" s="7"/>
      <c r="E276" s="7"/>
      <c r="F276" s="9"/>
      <c r="G276" s="10"/>
    </row>
    <row r="277" spans="1:7" x14ac:dyDescent="0.3">
      <c r="A277" s="7"/>
      <c r="B277" s="8"/>
      <c r="C277" s="7"/>
      <c r="D277" s="7"/>
      <c r="E277" s="7"/>
      <c r="F277" s="9"/>
      <c r="G277" s="10"/>
    </row>
    <row r="278" spans="1:7" x14ac:dyDescent="0.3">
      <c r="A278" s="7"/>
      <c r="B278" s="8"/>
      <c r="C278" s="7"/>
      <c r="D278" s="7"/>
      <c r="E278" s="7"/>
      <c r="F278" s="9"/>
      <c r="G278" s="10"/>
    </row>
    <row r="279" spans="1:7" x14ac:dyDescent="0.3">
      <c r="A279" s="7"/>
      <c r="B279" s="8"/>
      <c r="C279" s="7"/>
      <c r="D279" s="7"/>
      <c r="E279" s="7"/>
      <c r="F279" s="9"/>
      <c r="G279" s="10"/>
    </row>
    <row r="280" spans="1:7" x14ac:dyDescent="0.3">
      <c r="A280" s="7"/>
      <c r="B280" s="8"/>
      <c r="C280" s="7"/>
      <c r="D280" s="7"/>
      <c r="E280" s="7"/>
      <c r="F280" s="9"/>
      <c r="G280" s="10"/>
    </row>
    <row r="281" spans="1:7" x14ac:dyDescent="0.3">
      <c r="A281" s="7"/>
      <c r="B281" s="8"/>
      <c r="C281" s="7"/>
      <c r="D281" s="7"/>
      <c r="E281" s="7"/>
      <c r="F281" s="9"/>
      <c r="G281" s="10"/>
    </row>
    <row r="282" spans="1:7" x14ac:dyDescent="0.3">
      <c r="A282" s="7"/>
      <c r="B282" s="8"/>
      <c r="C282" s="7"/>
      <c r="D282" s="7"/>
      <c r="E282" s="7"/>
      <c r="F282" s="9"/>
      <c r="G282" s="10"/>
    </row>
    <row r="283" spans="1:7" x14ac:dyDescent="0.3">
      <c r="A283" s="7"/>
      <c r="B283" s="8"/>
      <c r="C283" s="7"/>
      <c r="D283" s="7"/>
      <c r="E283" s="7"/>
      <c r="F283" s="9"/>
      <c r="G283" s="10"/>
    </row>
    <row r="284" spans="1:7" x14ac:dyDescent="0.3">
      <c r="A284" s="7"/>
      <c r="B284" s="8"/>
      <c r="C284" s="7"/>
      <c r="D284" s="7"/>
      <c r="E284" s="7"/>
      <c r="F284" s="9"/>
      <c r="G284" s="10"/>
    </row>
    <row r="285" spans="1:7" x14ac:dyDescent="0.3">
      <c r="A285" s="7"/>
      <c r="B285" s="8"/>
      <c r="C285" s="7"/>
      <c r="D285" s="7"/>
      <c r="E285" s="7"/>
      <c r="F285" s="9"/>
      <c r="G285" s="10"/>
    </row>
    <row r="286" spans="1:7" x14ac:dyDescent="0.3">
      <c r="A286" s="7"/>
      <c r="B286" s="8"/>
      <c r="C286" s="7"/>
      <c r="D286" s="7"/>
      <c r="E286" s="7"/>
      <c r="F286" s="9"/>
      <c r="G286" s="10"/>
    </row>
    <row r="287" spans="1:7" x14ac:dyDescent="0.3">
      <c r="A287" s="7"/>
      <c r="B287" s="8"/>
      <c r="C287" s="7"/>
      <c r="D287" s="7"/>
      <c r="E287" s="7"/>
      <c r="F287" s="9"/>
      <c r="G287" s="10"/>
    </row>
    <row r="288" spans="1:7" x14ac:dyDescent="0.3">
      <c r="A288" s="7"/>
      <c r="B288" s="8"/>
      <c r="C288" s="7"/>
      <c r="D288" s="7"/>
      <c r="E288" s="7"/>
      <c r="F288" s="9"/>
      <c r="G288" s="10"/>
    </row>
    <row r="289" spans="1:7" x14ac:dyDescent="0.3">
      <c r="A289" s="7"/>
      <c r="B289" s="8"/>
      <c r="C289" s="7"/>
      <c r="D289" s="7"/>
      <c r="E289" s="7"/>
      <c r="F289" s="9"/>
      <c r="G289" s="10"/>
    </row>
    <row r="290" spans="1:7" x14ac:dyDescent="0.3">
      <c r="A290" s="7"/>
      <c r="B290" s="8"/>
      <c r="C290" s="7"/>
      <c r="D290" s="7"/>
      <c r="E290" s="7"/>
      <c r="F290" s="9"/>
      <c r="G290" s="10"/>
    </row>
    <row r="291" spans="1:7" x14ac:dyDescent="0.3">
      <c r="A291" s="7"/>
      <c r="B291" s="8"/>
      <c r="C291" s="7"/>
      <c r="D291" s="7"/>
      <c r="E291" s="7"/>
      <c r="F291" s="9"/>
      <c r="G291" s="10"/>
    </row>
    <row r="292" spans="1:7" x14ac:dyDescent="0.3">
      <c r="A292" s="7"/>
      <c r="B292" s="8"/>
      <c r="C292" s="7"/>
      <c r="D292" s="7"/>
      <c r="E292" s="7"/>
      <c r="F292" s="9"/>
      <c r="G292" s="10"/>
    </row>
    <row r="293" spans="1:7" x14ac:dyDescent="0.3">
      <c r="A293" s="7"/>
      <c r="B293" s="8"/>
      <c r="C293" s="7"/>
      <c r="D293" s="7"/>
      <c r="E293" s="7"/>
      <c r="F293" s="9"/>
      <c r="G293" s="10"/>
    </row>
    <row r="294" spans="1:7" x14ac:dyDescent="0.3">
      <c r="A294" s="7"/>
      <c r="B294" s="8"/>
      <c r="C294" s="7"/>
      <c r="D294" s="7"/>
      <c r="E294" s="7"/>
      <c r="F294" s="9"/>
      <c r="G294" s="10"/>
    </row>
    <row r="295" spans="1:7" x14ac:dyDescent="0.3">
      <c r="A295" s="7"/>
      <c r="B295" s="8"/>
      <c r="C295" s="7"/>
      <c r="D295" s="7"/>
      <c r="E295" s="7"/>
      <c r="F295" s="9"/>
      <c r="G295" s="10"/>
    </row>
    <row r="296" spans="1:7" x14ac:dyDescent="0.3">
      <c r="A296" s="7"/>
      <c r="B296" s="8"/>
      <c r="C296" s="7"/>
      <c r="D296" s="7"/>
      <c r="E296" s="7"/>
      <c r="F296" s="9"/>
      <c r="G296" s="10"/>
    </row>
    <row r="297" spans="1:7" x14ac:dyDescent="0.3">
      <c r="A297" s="7"/>
      <c r="B297" s="8"/>
      <c r="C297" s="7"/>
      <c r="D297" s="7"/>
      <c r="E297" s="7"/>
      <c r="F297" s="9"/>
      <c r="G297" s="10"/>
    </row>
    <row r="298" spans="1:7" x14ac:dyDescent="0.3">
      <c r="A298" s="7"/>
      <c r="B298" s="8"/>
      <c r="C298" s="7"/>
      <c r="D298" s="7"/>
      <c r="E298" s="7"/>
      <c r="F298" s="9"/>
      <c r="G298" s="10"/>
    </row>
    <row r="299" spans="1:7" x14ac:dyDescent="0.3">
      <c r="A299" s="7"/>
      <c r="B299" s="8"/>
      <c r="C299" s="7"/>
      <c r="D299" s="7"/>
      <c r="E299" s="7"/>
      <c r="F299" s="9"/>
      <c r="G299" s="10"/>
    </row>
    <row r="300" spans="1:7" x14ac:dyDescent="0.3">
      <c r="A300" s="7"/>
      <c r="B300" s="8"/>
      <c r="C300" s="7"/>
      <c r="D300" s="7"/>
      <c r="E300" s="7"/>
      <c r="F300" s="9"/>
      <c r="G300" s="10"/>
    </row>
    <row r="301" spans="1:7" x14ac:dyDescent="0.3">
      <c r="A301" s="7"/>
      <c r="B301" s="8"/>
      <c r="C301" s="7"/>
      <c r="D301" s="7"/>
      <c r="E301" s="7"/>
      <c r="F301" s="9"/>
      <c r="G301" s="10"/>
    </row>
    <row r="302" spans="1:7" x14ac:dyDescent="0.3">
      <c r="A302" s="7"/>
      <c r="B302" s="8"/>
      <c r="C302" s="7"/>
      <c r="D302" s="7"/>
      <c r="E302" s="7"/>
      <c r="F302" s="9"/>
      <c r="G302" s="10"/>
    </row>
    <row r="303" spans="1:7" x14ac:dyDescent="0.3">
      <c r="A303" s="7"/>
      <c r="B303" s="8"/>
      <c r="C303" s="7"/>
      <c r="D303" s="7"/>
      <c r="E303" s="7"/>
      <c r="F303" s="9"/>
      <c r="G303" s="10"/>
    </row>
    <row r="304" spans="1:7" x14ac:dyDescent="0.3">
      <c r="A304" s="7"/>
      <c r="B304" s="8"/>
      <c r="C304" s="7"/>
      <c r="D304" s="7"/>
      <c r="E304" s="7"/>
      <c r="F304" s="9"/>
      <c r="G304" s="10"/>
    </row>
    <row r="305" spans="1:7" x14ac:dyDescent="0.3">
      <c r="A305" s="7"/>
      <c r="B305" s="8"/>
      <c r="C305" s="7"/>
      <c r="D305" s="7"/>
      <c r="E305" s="7"/>
      <c r="F305" s="9"/>
      <c r="G305" s="10"/>
    </row>
    <row r="306" spans="1:7" x14ac:dyDescent="0.3">
      <c r="A306" s="7"/>
      <c r="B306" s="8"/>
      <c r="C306" s="7"/>
      <c r="D306" s="7"/>
      <c r="E306" s="7"/>
      <c r="F306" s="9"/>
      <c r="G306" s="10"/>
    </row>
    <row r="307" spans="1:7" x14ac:dyDescent="0.3">
      <c r="A307" s="7"/>
      <c r="B307" s="8"/>
      <c r="C307" s="7"/>
      <c r="D307" s="7"/>
      <c r="E307" s="7"/>
      <c r="F307" s="9"/>
      <c r="G307" s="10"/>
    </row>
    <row r="308" spans="1:7" x14ac:dyDescent="0.3">
      <c r="A308" s="7"/>
      <c r="B308" s="8"/>
      <c r="C308" s="7"/>
      <c r="D308" s="7"/>
      <c r="E308" s="7"/>
      <c r="F308" s="9"/>
      <c r="G308" s="10"/>
    </row>
    <row r="309" spans="1:7" x14ac:dyDescent="0.3">
      <c r="A309" s="7"/>
      <c r="B309" s="8"/>
      <c r="C309" s="7"/>
      <c r="D309" s="7"/>
      <c r="E309" s="7"/>
      <c r="F309" s="9"/>
      <c r="G309" s="10"/>
    </row>
    <row r="310" spans="1:7" x14ac:dyDescent="0.3">
      <c r="A310" s="7"/>
      <c r="B310" s="8"/>
      <c r="C310" s="7"/>
      <c r="D310" s="7"/>
      <c r="E310" s="7"/>
      <c r="F310" s="9"/>
      <c r="G310" s="10"/>
    </row>
    <row r="311" spans="1:7" x14ac:dyDescent="0.3">
      <c r="A311" s="7"/>
      <c r="B311" s="8"/>
      <c r="C311" s="7"/>
      <c r="D311" s="7"/>
      <c r="E311" s="7"/>
      <c r="F311" s="9"/>
      <c r="G311" s="10"/>
    </row>
    <row r="312" spans="1:7" x14ac:dyDescent="0.3">
      <c r="A312" s="7"/>
      <c r="B312" s="8"/>
      <c r="C312" s="7"/>
      <c r="D312" s="7"/>
      <c r="E312" s="7"/>
      <c r="F312" s="9"/>
      <c r="G312" s="10"/>
    </row>
    <row r="313" spans="1:7" x14ac:dyDescent="0.3">
      <c r="A313" s="7"/>
      <c r="B313" s="8"/>
      <c r="C313" s="7"/>
      <c r="D313" s="7"/>
      <c r="E313" s="7"/>
      <c r="F313" s="9"/>
      <c r="G313" s="10"/>
    </row>
    <row r="314" spans="1:7" x14ac:dyDescent="0.3">
      <c r="A314" s="7"/>
      <c r="B314" s="8"/>
      <c r="C314" s="7"/>
      <c r="D314" s="7"/>
      <c r="E314" s="7"/>
      <c r="F314" s="9"/>
      <c r="G314" s="10"/>
    </row>
    <row r="315" spans="1:7" x14ac:dyDescent="0.3">
      <c r="A315" s="7"/>
      <c r="B315" s="8"/>
      <c r="C315" s="7"/>
      <c r="D315" s="7"/>
      <c r="E315" s="7"/>
      <c r="F315" s="9"/>
      <c r="G315" s="10"/>
    </row>
    <row r="316" spans="1:7" x14ac:dyDescent="0.3">
      <c r="A316" s="7"/>
      <c r="B316" s="8"/>
      <c r="C316" s="7"/>
      <c r="D316" s="7"/>
      <c r="E316" s="7"/>
      <c r="F316" s="9"/>
      <c r="G316" s="10"/>
    </row>
    <row r="317" spans="1:7" x14ac:dyDescent="0.3">
      <c r="A317" s="7"/>
      <c r="B317" s="8"/>
      <c r="C317" s="7"/>
      <c r="D317" s="7"/>
      <c r="E317" s="7"/>
      <c r="F317" s="9"/>
      <c r="G317" s="10"/>
    </row>
    <row r="318" spans="1:7" x14ac:dyDescent="0.3">
      <c r="A318" s="7"/>
      <c r="B318" s="8"/>
      <c r="C318" s="7"/>
      <c r="D318" s="7"/>
      <c r="E318" s="7"/>
      <c r="F318" s="9"/>
      <c r="G318" s="10"/>
    </row>
    <row r="319" spans="1:7" x14ac:dyDescent="0.3">
      <c r="A319" s="7"/>
      <c r="B319" s="8"/>
      <c r="C319" s="7"/>
      <c r="D319" s="7"/>
      <c r="E319" s="7"/>
      <c r="F319" s="9"/>
      <c r="G319" s="10"/>
    </row>
    <row r="320" spans="1:7" x14ac:dyDescent="0.3">
      <c r="A320" s="7"/>
      <c r="B320" s="8"/>
      <c r="C320" s="7"/>
      <c r="D320" s="7"/>
      <c r="E320" s="7"/>
      <c r="F320" s="9"/>
      <c r="G320" s="10"/>
    </row>
    <row r="321" spans="1:7" x14ac:dyDescent="0.3">
      <c r="A321" s="7"/>
      <c r="B321" s="8"/>
      <c r="C321" s="7"/>
      <c r="D321" s="7"/>
      <c r="E321" s="7"/>
      <c r="F321" s="9"/>
      <c r="G321" s="10"/>
    </row>
    <row r="322" spans="1:7" x14ac:dyDescent="0.3">
      <c r="A322" s="7"/>
      <c r="B322" s="8"/>
      <c r="C322" s="7"/>
      <c r="D322" s="7"/>
      <c r="E322" s="7"/>
      <c r="F322" s="9"/>
      <c r="G322" s="10"/>
    </row>
    <row r="323" spans="1:7" x14ac:dyDescent="0.3">
      <c r="A323" s="7"/>
      <c r="B323" s="8"/>
      <c r="C323" s="7"/>
      <c r="D323" s="7"/>
      <c r="E323" s="7"/>
      <c r="F323" s="9"/>
      <c r="G323" s="10"/>
    </row>
    <row r="324" spans="1:7" x14ac:dyDescent="0.3">
      <c r="A324" s="7"/>
      <c r="B324" s="8"/>
      <c r="C324" s="7"/>
      <c r="D324" s="7"/>
      <c r="E324" s="7"/>
      <c r="F324" s="9"/>
      <c r="G324" s="10"/>
    </row>
    <row r="325" spans="1:7" x14ac:dyDescent="0.3">
      <c r="A325" s="7"/>
      <c r="B325" s="8"/>
      <c r="C325" s="7"/>
      <c r="D325" s="7"/>
      <c r="E325" s="7"/>
      <c r="F325" s="9"/>
      <c r="G325" s="10"/>
    </row>
    <row r="326" spans="1:7" x14ac:dyDescent="0.3">
      <c r="A326" s="7"/>
      <c r="B326" s="8"/>
      <c r="C326" s="7"/>
      <c r="D326" s="7"/>
      <c r="E326" s="7"/>
      <c r="F326" s="9"/>
      <c r="G326" s="10"/>
    </row>
    <row r="327" spans="1:7" x14ac:dyDescent="0.3">
      <c r="A327" s="7"/>
      <c r="B327" s="8"/>
      <c r="C327" s="7"/>
      <c r="D327" s="7"/>
      <c r="E327" s="7"/>
      <c r="F327" s="9"/>
      <c r="G327" s="10"/>
    </row>
    <row r="328" spans="1:7" x14ac:dyDescent="0.3">
      <c r="A328" s="7"/>
      <c r="B328" s="8"/>
      <c r="C328" s="7"/>
      <c r="D328" s="7"/>
      <c r="E328" s="7"/>
      <c r="F328" s="9"/>
      <c r="G328" s="10"/>
    </row>
    <row r="329" spans="1:7" x14ac:dyDescent="0.3">
      <c r="A329" s="7"/>
      <c r="B329" s="8"/>
      <c r="C329" s="7"/>
      <c r="D329" s="7"/>
      <c r="E329" s="7"/>
      <c r="F329" s="9"/>
      <c r="G329" s="10"/>
    </row>
    <row r="330" spans="1:7" x14ac:dyDescent="0.3">
      <c r="A330" s="7"/>
      <c r="B330" s="8"/>
      <c r="C330" s="7"/>
      <c r="D330" s="7"/>
      <c r="E330" s="7"/>
      <c r="F330" s="9"/>
      <c r="G330" s="10"/>
    </row>
    <row r="331" spans="1:7" x14ac:dyDescent="0.3">
      <c r="A331" s="7"/>
      <c r="B331" s="8"/>
      <c r="C331" s="7"/>
      <c r="D331" s="7"/>
      <c r="E331" s="7"/>
      <c r="F331" s="9"/>
      <c r="G331" s="10"/>
    </row>
    <row r="332" spans="1:7" x14ac:dyDescent="0.3">
      <c r="A332" s="7"/>
      <c r="B332" s="8"/>
      <c r="C332" s="7"/>
      <c r="D332" s="7"/>
      <c r="E332" s="7"/>
      <c r="F332" s="9"/>
      <c r="G332" s="10"/>
    </row>
    <row r="333" spans="1:7" x14ac:dyDescent="0.3">
      <c r="A333" s="7"/>
      <c r="B333" s="8"/>
      <c r="C333" s="7"/>
      <c r="D333" s="7"/>
      <c r="E333" s="7"/>
      <c r="F333" s="9"/>
      <c r="G333" s="10"/>
    </row>
    <row r="334" spans="1:7" x14ac:dyDescent="0.3">
      <c r="A334" s="7"/>
      <c r="B334" s="8"/>
      <c r="C334" s="7"/>
      <c r="D334" s="7"/>
      <c r="E334" s="7"/>
      <c r="F334" s="9"/>
      <c r="G334" s="10"/>
    </row>
    <row r="335" spans="1:7" x14ac:dyDescent="0.3">
      <c r="A335" s="7"/>
      <c r="B335" s="8"/>
      <c r="C335" s="7"/>
      <c r="D335" s="7"/>
      <c r="E335" s="7"/>
      <c r="F335" s="9"/>
      <c r="G335" s="10"/>
    </row>
    <row r="336" spans="1:7" x14ac:dyDescent="0.3">
      <c r="A336" s="7"/>
      <c r="B336" s="8"/>
      <c r="C336" s="7"/>
      <c r="D336" s="7"/>
      <c r="E336" s="7"/>
      <c r="F336" s="9"/>
      <c r="G336" s="10"/>
    </row>
    <row r="337" spans="1:7" x14ac:dyDescent="0.3">
      <c r="A337" s="7"/>
      <c r="B337" s="8"/>
      <c r="C337" s="7"/>
      <c r="D337" s="7"/>
      <c r="E337" s="7"/>
      <c r="F337" s="9"/>
      <c r="G337" s="10"/>
    </row>
    <row r="338" spans="1:7" x14ac:dyDescent="0.3">
      <c r="A338" s="7"/>
      <c r="B338" s="8"/>
      <c r="C338" s="7"/>
      <c r="D338" s="7"/>
      <c r="E338" s="7"/>
      <c r="F338" s="9"/>
      <c r="G338" s="10"/>
    </row>
    <row r="339" spans="1:7" x14ac:dyDescent="0.3">
      <c r="A339" s="7"/>
      <c r="B339" s="8"/>
      <c r="C339" s="7"/>
      <c r="D339" s="7"/>
      <c r="E339" s="7"/>
      <c r="F339" s="9"/>
      <c r="G339" s="10"/>
    </row>
    <row r="340" spans="1:7" x14ac:dyDescent="0.3">
      <c r="A340" s="7"/>
      <c r="B340" s="8"/>
      <c r="C340" s="7"/>
      <c r="D340" s="7"/>
      <c r="E340" s="7"/>
      <c r="F340" s="9"/>
      <c r="G340" s="10"/>
    </row>
    <row r="341" spans="1:7" x14ac:dyDescent="0.3">
      <c r="A341" s="7"/>
      <c r="B341" s="8"/>
      <c r="C341" s="7"/>
      <c r="D341" s="7"/>
      <c r="E341" s="7"/>
      <c r="F341" s="9"/>
      <c r="G341" s="10"/>
    </row>
    <row r="342" spans="1:7" x14ac:dyDescent="0.3">
      <c r="A342" s="7"/>
      <c r="B342" s="8"/>
      <c r="C342" s="7"/>
      <c r="D342" s="7"/>
      <c r="E342" s="7"/>
      <c r="F342" s="9"/>
      <c r="G342" s="10"/>
    </row>
    <row r="343" spans="1:7" x14ac:dyDescent="0.3">
      <c r="A343" s="7"/>
      <c r="B343" s="8"/>
      <c r="C343" s="7"/>
      <c r="D343" s="7"/>
      <c r="E343" s="7"/>
      <c r="F343" s="9"/>
      <c r="G343" s="10"/>
    </row>
    <row r="344" spans="1:7" x14ac:dyDescent="0.3">
      <c r="A344" s="7"/>
      <c r="B344" s="8"/>
      <c r="C344" s="7"/>
      <c r="D344" s="7"/>
      <c r="E344" s="7"/>
      <c r="F344" s="9"/>
      <c r="G344" s="10"/>
    </row>
    <row r="345" spans="1:7" x14ac:dyDescent="0.3">
      <c r="A345" s="7"/>
      <c r="B345" s="8"/>
      <c r="C345" s="7"/>
      <c r="D345" s="7"/>
      <c r="E345" s="7"/>
      <c r="F345" s="9"/>
      <c r="G345" s="10"/>
    </row>
    <row r="346" spans="1:7" x14ac:dyDescent="0.3">
      <c r="A346" s="7"/>
      <c r="B346" s="8"/>
      <c r="C346" s="7"/>
      <c r="D346" s="7"/>
      <c r="E346" s="7"/>
      <c r="F346" s="9"/>
      <c r="G346" s="10"/>
    </row>
    <row r="347" spans="1:7" x14ac:dyDescent="0.3">
      <c r="A347" s="7"/>
      <c r="B347" s="8"/>
      <c r="C347" s="7"/>
      <c r="D347" s="7"/>
      <c r="E347" s="7"/>
      <c r="F347" s="9"/>
      <c r="G347" s="10"/>
    </row>
    <row r="348" spans="1:7" x14ac:dyDescent="0.3">
      <c r="A348" s="7"/>
      <c r="B348" s="8"/>
      <c r="C348" s="7"/>
      <c r="D348" s="7"/>
      <c r="E348" s="7"/>
      <c r="F348" s="9"/>
      <c r="G348" s="10"/>
    </row>
    <row r="349" spans="1:7" x14ac:dyDescent="0.3">
      <c r="A349" s="7"/>
      <c r="B349" s="8"/>
      <c r="C349" s="7"/>
      <c r="D349" s="7"/>
      <c r="E349" s="7"/>
      <c r="F349" s="9"/>
      <c r="G349" s="10"/>
    </row>
    <row r="350" spans="1:7" x14ac:dyDescent="0.3">
      <c r="A350" s="7"/>
      <c r="B350" s="8"/>
      <c r="C350" s="7"/>
      <c r="D350" s="7"/>
      <c r="E350" s="7"/>
      <c r="F350" s="9"/>
      <c r="G350" s="10"/>
    </row>
    <row r="351" spans="1:7" x14ac:dyDescent="0.3">
      <c r="A351" s="7"/>
      <c r="B351" s="8"/>
      <c r="C351" s="7"/>
      <c r="D351" s="7"/>
      <c r="E351" s="7"/>
      <c r="F351" s="9"/>
      <c r="G351" s="10"/>
    </row>
    <row r="352" spans="1:7" x14ac:dyDescent="0.3">
      <c r="A352" s="7"/>
      <c r="B352" s="8"/>
      <c r="C352" s="7"/>
      <c r="D352" s="7"/>
      <c r="E352" s="7"/>
      <c r="F352" s="9"/>
      <c r="G352" s="10"/>
    </row>
    <row r="353" spans="1:7" x14ac:dyDescent="0.3">
      <c r="A353" s="7"/>
      <c r="B353" s="8"/>
      <c r="C353" s="7"/>
      <c r="D353" s="7"/>
      <c r="E353" s="7"/>
      <c r="F353" s="9"/>
      <c r="G353" s="10"/>
    </row>
    <row r="354" spans="1:7" x14ac:dyDescent="0.3">
      <c r="A354" s="7"/>
      <c r="B354" s="8"/>
      <c r="C354" s="7"/>
      <c r="D354" s="7"/>
      <c r="E354" s="7"/>
      <c r="F354" s="9"/>
      <c r="G354" s="10"/>
    </row>
    <row r="355" spans="1:7" x14ac:dyDescent="0.3">
      <c r="A355" s="7"/>
      <c r="B355" s="8"/>
      <c r="C355" s="7"/>
      <c r="D355" s="7"/>
      <c r="E355" s="7"/>
      <c r="F355" s="9"/>
      <c r="G355" s="10"/>
    </row>
    <row r="356" spans="1:7" x14ac:dyDescent="0.3">
      <c r="A356" s="7"/>
      <c r="B356" s="8"/>
      <c r="C356" s="7"/>
      <c r="D356" s="7"/>
      <c r="E356" s="7"/>
      <c r="F356" s="9"/>
      <c r="G356" s="10"/>
    </row>
    <row r="357" spans="1:7" x14ac:dyDescent="0.3">
      <c r="A357" s="7"/>
      <c r="B357" s="8"/>
      <c r="C357" s="7"/>
      <c r="D357" s="7"/>
      <c r="E357" s="7"/>
      <c r="F357" s="9"/>
      <c r="G357" s="10"/>
    </row>
    <row r="358" spans="1:7" x14ac:dyDescent="0.3">
      <c r="A358" s="7"/>
      <c r="B358" s="8"/>
      <c r="C358" s="7"/>
      <c r="D358" s="7"/>
      <c r="E358" s="7"/>
      <c r="F358" s="9"/>
      <c r="G358" s="10"/>
    </row>
    <row r="359" spans="1:7" x14ac:dyDescent="0.3">
      <c r="A359" s="7"/>
      <c r="B359" s="8"/>
      <c r="C359" s="7"/>
      <c r="D359" s="7"/>
      <c r="E359" s="7"/>
      <c r="F359" s="9"/>
      <c r="G359" s="10"/>
    </row>
    <row r="360" spans="1:7" x14ac:dyDescent="0.3">
      <c r="A360" s="7"/>
      <c r="B360" s="8"/>
      <c r="C360" s="7"/>
      <c r="D360" s="7"/>
      <c r="E360" s="7"/>
      <c r="F360" s="9"/>
      <c r="G360" s="10"/>
    </row>
    <row r="361" spans="1:7" x14ac:dyDescent="0.3">
      <c r="A361" s="7"/>
      <c r="B361" s="8"/>
      <c r="C361" s="7"/>
      <c r="D361" s="7"/>
      <c r="E361" s="7"/>
      <c r="F361" s="9"/>
      <c r="G361" s="10"/>
    </row>
    <row r="362" spans="1:7" x14ac:dyDescent="0.3">
      <c r="A362" s="7"/>
      <c r="B362" s="8"/>
      <c r="C362" s="7"/>
      <c r="D362" s="7"/>
      <c r="E362" s="7"/>
      <c r="F362" s="9"/>
      <c r="G362" s="10"/>
    </row>
    <row r="363" spans="1:7" x14ac:dyDescent="0.3">
      <c r="A363" s="7"/>
      <c r="B363" s="8"/>
      <c r="C363" s="7"/>
      <c r="D363" s="7"/>
      <c r="E363" s="7"/>
      <c r="F363" s="9"/>
      <c r="G363" s="10"/>
    </row>
    <row r="364" spans="1:7" x14ac:dyDescent="0.3">
      <c r="A364" s="7"/>
      <c r="B364" s="8"/>
      <c r="C364" s="7"/>
      <c r="D364" s="7"/>
      <c r="E364" s="7"/>
      <c r="F364" s="9"/>
      <c r="G364" s="10"/>
    </row>
    <row r="365" spans="1:7" x14ac:dyDescent="0.3">
      <c r="A365" s="7"/>
      <c r="B365" s="8"/>
      <c r="C365" s="7"/>
      <c r="D365" s="7"/>
      <c r="E365" s="7"/>
      <c r="F365" s="9"/>
      <c r="G365" s="10"/>
    </row>
    <row r="366" spans="1:7" x14ac:dyDescent="0.3">
      <c r="A366" s="7"/>
      <c r="B366" s="8"/>
      <c r="C366" s="7"/>
      <c r="D366" s="7"/>
      <c r="E366" s="7"/>
      <c r="F366" s="9"/>
      <c r="G366" s="10"/>
    </row>
    <row r="367" spans="1:7" x14ac:dyDescent="0.3">
      <c r="A367" s="7"/>
      <c r="B367" s="8"/>
      <c r="C367" s="7"/>
      <c r="D367" s="7"/>
      <c r="E367" s="7"/>
      <c r="F367" s="9"/>
      <c r="G367" s="10"/>
    </row>
    <row r="368" spans="1:7" x14ac:dyDescent="0.3">
      <c r="A368" s="7"/>
      <c r="B368" s="8"/>
      <c r="C368" s="7"/>
      <c r="D368" s="7"/>
      <c r="E368" s="7"/>
      <c r="F368" s="9"/>
      <c r="G368" s="10"/>
    </row>
    <row r="369" spans="1:7" x14ac:dyDescent="0.3">
      <c r="A369" s="7"/>
      <c r="B369" s="8"/>
      <c r="C369" s="7"/>
      <c r="D369" s="7"/>
      <c r="E369" s="7"/>
      <c r="F369" s="9"/>
      <c r="G369" s="10"/>
    </row>
    <row r="370" spans="1:7" x14ac:dyDescent="0.3">
      <c r="A370" s="7"/>
      <c r="B370" s="8"/>
      <c r="C370" s="7"/>
      <c r="D370" s="7"/>
      <c r="E370" s="7"/>
      <c r="F370" s="9"/>
      <c r="G370" s="10"/>
    </row>
    <row r="371" spans="1:7" x14ac:dyDescent="0.3">
      <c r="A371" s="7"/>
      <c r="B371" s="8"/>
      <c r="C371" s="7"/>
      <c r="D371" s="7"/>
      <c r="E371" s="7"/>
      <c r="F371" s="9"/>
      <c r="G371" s="10"/>
    </row>
    <row r="372" spans="1:7" x14ac:dyDescent="0.3">
      <c r="A372" s="7"/>
      <c r="B372" s="8"/>
      <c r="C372" s="7"/>
      <c r="D372" s="7"/>
      <c r="E372" s="7"/>
      <c r="F372" s="9"/>
      <c r="G372" s="10"/>
    </row>
    <row r="373" spans="1:7" x14ac:dyDescent="0.3">
      <c r="A373" s="7"/>
      <c r="B373" s="8"/>
      <c r="C373" s="7"/>
      <c r="D373" s="7"/>
      <c r="E373" s="7"/>
      <c r="F373" s="9"/>
      <c r="G373" s="10"/>
    </row>
    <row r="374" spans="1:7" x14ac:dyDescent="0.3">
      <c r="A374" s="7"/>
      <c r="B374" s="8"/>
      <c r="C374" s="7"/>
      <c r="D374" s="7"/>
      <c r="E374" s="7"/>
      <c r="F374" s="9"/>
      <c r="G374" s="10"/>
    </row>
    <row r="375" spans="1:7" x14ac:dyDescent="0.3">
      <c r="A375" s="7"/>
      <c r="B375" s="8"/>
      <c r="C375" s="7"/>
      <c r="D375" s="7"/>
      <c r="E375" s="7"/>
      <c r="F375" s="9"/>
      <c r="G375" s="10"/>
    </row>
    <row r="376" spans="1:7" x14ac:dyDescent="0.3">
      <c r="A376" s="7"/>
      <c r="B376" s="8"/>
      <c r="C376" s="7"/>
      <c r="D376" s="7"/>
      <c r="E376" s="7"/>
      <c r="F376" s="9"/>
      <c r="G376" s="10"/>
    </row>
    <row r="377" spans="1:7" x14ac:dyDescent="0.3">
      <c r="A377" s="7"/>
      <c r="B377" s="8"/>
      <c r="C377" s="7"/>
      <c r="D377" s="7"/>
      <c r="E377" s="7"/>
      <c r="F377" s="9"/>
      <c r="G377" s="10"/>
    </row>
    <row r="378" spans="1:7" x14ac:dyDescent="0.3">
      <c r="A378" s="7"/>
      <c r="B378" s="8"/>
      <c r="C378" s="7"/>
      <c r="D378" s="7"/>
      <c r="E378" s="7"/>
      <c r="F378" s="9"/>
      <c r="G378" s="10"/>
    </row>
    <row r="379" spans="1:7" x14ac:dyDescent="0.3">
      <c r="A379" s="7"/>
      <c r="B379" s="8"/>
      <c r="C379" s="7"/>
      <c r="D379" s="7"/>
      <c r="E379" s="7"/>
      <c r="F379" s="9"/>
      <c r="G379" s="10"/>
    </row>
    <row r="380" spans="1:7" x14ac:dyDescent="0.3">
      <c r="A380" s="7"/>
      <c r="B380" s="8"/>
      <c r="C380" s="7"/>
      <c r="D380" s="7"/>
      <c r="E380" s="7"/>
      <c r="F380" s="9"/>
      <c r="G380" s="10"/>
    </row>
    <row r="381" spans="1:7" x14ac:dyDescent="0.3">
      <c r="A381" s="7"/>
      <c r="B381" s="8"/>
      <c r="C381" s="7"/>
      <c r="D381" s="7"/>
      <c r="E381" s="7"/>
      <c r="F381" s="9"/>
      <c r="G381" s="10"/>
    </row>
    <row r="382" spans="1:7" x14ac:dyDescent="0.3">
      <c r="A382" s="7"/>
      <c r="B382" s="8"/>
      <c r="C382" s="7"/>
      <c r="D382" s="7"/>
      <c r="E382" s="7"/>
      <c r="F382" s="9"/>
      <c r="G382" s="10"/>
    </row>
    <row r="383" spans="1:7" x14ac:dyDescent="0.3">
      <c r="A383" s="7"/>
      <c r="B383" s="8"/>
      <c r="C383" s="7"/>
      <c r="D383" s="7"/>
      <c r="E383" s="7"/>
      <c r="F383" s="9"/>
      <c r="G383" s="10"/>
    </row>
    <row r="384" spans="1:7" x14ac:dyDescent="0.3">
      <c r="A384" s="7"/>
      <c r="B384" s="8"/>
      <c r="C384" s="7"/>
      <c r="D384" s="7"/>
      <c r="E384" s="7"/>
      <c r="F384" s="9"/>
      <c r="G384" s="10"/>
    </row>
    <row r="385" spans="1:7" x14ac:dyDescent="0.3">
      <c r="A385" s="7"/>
      <c r="B385" s="8"/>
      <c r="C385" s="7"/>
      <c r="D385" s="7"/>
      <c r="E385" s="7"/>
      <c r="F385" s="9"/>
      <c r="G385" s="10"/>
    </row>
    <row r="386" spans="1:7" x14ac:dyDescent="0.3">
      <c r="A386" s="7"/>
      <c r="B386" s="8"/>
      <c r="C386" s="7"/>
      <c r="D386" s="7"/>
      <c r="E386" s="7"/>
      <c r="F386" s="9"/>
      <c r="G386" s="10"/>
    </row>
    <row r="387" spans="1:7" x14ac:dyDescent="0.3">
      <c r="A387" s="7"/>
      <c r="B387" s="8"/>
      <c r="C387" s="7"/>
      <c r="D387" s="7"/>
      <c r="E387" s="7"/>
      <c r="F387" s="9"/>
      <c r="G387" s="10"/>
    </row>
    <row r="388" spans="1:7" x14ac:dyDescent="0.3">
      <c r="A388" s="7"/>
      <c r="B388" s="8"/>
      <c r="C388" s="7"/>
      <c r="D388" s="7"/>
      <c r="E388" s="7"/>
      <c r="F388" s="9"/>
      <c r="G388" s="10"/>
    </row>
    <row r="389" spans="1:7" x14ac:dyDescent="0.3">
      <c r="A389" s="7"/>
      <c r="B389" s="8"/>
      <c r="C389" s="7"/>
      <c r="D389" s="7"/>
      <c r="E389" s="7"/>
      <c r="F389" s="9"/>
      <c r="G389" s="10"/>
    </row>
    <row r="390" spans="1:7" x14ac:dyDescent="0.3">
      <c r="A390" s="7"/>
      <c r="B390" s="8"/>
      <c r="C390" s="7"/>
      <c r="D390" s="7"/>
      <c r="E390" s="7"/>
      <c r="F390" s="9"/>
      <c r="G390" s="10"/>
    </row>
    <row r="391" spans="1:7" x14ac:dyDescent="0.3">
      <c r="A391" s="7"/>
      <c r="B391" s="8"/>
      <c r="C391" s="7"/>
      <c r="D391" s="7"/>
      <c r="E391" s="7"/>
      <c r="F391" s="9"/>
      <c r="G391" s="10"/>
    </row>
    <row r="392" spans="1:7" x14ac:dyDescent="0.3">
      <c r="A392" s="7"/>
      <c r="B392" s="8"/>
      <c r="C392" s="7"/>
      <c r="D392" s="7"/>
      <c r="E392" s="7"/>
      <c r="F392" s="9"/>
      <c r="G392" s="10"/>
    </row>
    <row r="393" spans="1:7" x14ac:dyDescent="0.3">
      <c r="A393" s="7"/>
      <c r="B393" s="8"/>
      <c r="C393" s="7"/>
      <c r="D393" s="7"/>
      <c r="E393" s="7"/>
      <c r="F393" s="9"/>
      <c r="G393" s="10"/>
    </row>
    <row r="394" spans="1:7" x14ac:dyDescent="0.3">
      <c r="A394" s="7"/>
      <c r="B394" s="8"/>
      <c r="C394" s="7"/>
      <c r="D394" s="7"/>
      <c r="E394" s="7"/>
      <c r="F394" s="9"/>
      <c r="G394" s="10"/>
    </row>
    <row r="395" spans="1:7" x14ac:dyDescent="0.3">
      <c r="A395" s="7"/>
      <c r="B395" s="8"/>
      <c r="C395" s="7"/>
      <c r="D395" s="7"/>
      <c r="E395" s="7"/>
      <c r="F395" s="9"/>
      <c r="G395" s="10"/>
    </row>
    <row r="396" spans="1:7" x14ac:dyDescent="0.3">
      <c r="A396" s="7"/>
      <c r="B396" s="8"/>
      <c r="C396" s="7"/>
      <c r="D396" s="7"/>
      <c r="E396" s="7"/>
      <c r="F396" s="9"/>
      <c r="G396" s="10"/>
    </row>
    <row r="397" spans="1:7" x14ac:dyDescent="0.3">
      <c r="A397" s="7"/>
      <c r="B397" s="8"/>
      <c r="C397" s="7"/>
      <c r="D397" s="7"/>
      <c r="E397" s="7"/>
      <c r="F397" s="9"/>
      <c r="G397" s="10"/>
    </row>
    <row r="398" spans="1:7" x14ac:dyDescent="0.3">
      <c r="A398" s="7"/>
      <c r="B398" s="8"/>
      <c r="C398" s="7"/>
      <c r="D398" s="7"/>
      <c r="E398" s="7"/>
      <c r="F398" s="9"/>
      <c r="G398" s="10"/>
    </row>
    <row r="399" spans="1:7" x14ac:dyDescent="0.3">
      <c r="A399" s="7"/>
      <c r="B399" s="8"/>
      <c r="C399" s="7"/>
      <c r="D399" s="7"/>
      <c r="E399" s="7"/>
      <c r="F399" s="9"/>
      <c r="G399" s="10"/>
    </row>
    <row r="400" spans="1:7" x14ac:dyDescent="0.3">
      <c r="A400" s="7"/>
      <c r="B400" s="8"/>
      <c r="C400" s="7"/>
      <c r="D400" s="7"/>
      <c r="E400" s="7"/>
      <c r="F400" s="9"/>
      <c r="G400" s="10"/>
    </row>
    <row r="401" spans="1:7" x14ac:dyDescent="0.3">
      <c r="A401" s="7"/>
      <c r="B401" s="8"/>
      <c r="C401" s="7"/>
      <c r="D401" s="7"/>
      <c r="E401" s="7"/>
      <c r="F401" s="9"/>
      <c r="G401" s="10"/>
    </row>
    <row r="402" spans="1:7" x14ac:dyDescent="0.3">
      <c r="A402" s="7"/>
      <c r="B402" s="8"/>
      <c r="C402" s="7"/>
      <c r="D402" s="7"/>
      <c r="E402" s="7"/>
      <c r="F402" s="9"/>
      <c r="G402" s="10"/>
    </row>
    <row r="403" spans="1:7" x14ac:dyDescent="0.3">
      <c r="A403" s="7"/>
      <c r="B403" s="8"/>
      <c r="C403" s="7"/>
      <c r="D403" s="7"/>
      <c r="E403" s="7"/>
      <c r="F403" s="9"/>
      <c r="G403" s="10"/>
    </row>
    <row r="404" spans="1:7" x14ac:dyDescent="0.3">
      <c r="A404" s="7"/>
      <c r="B404" s="8"/>
      <c r="C404" s="7"/>
      <c r="D404" s="7"/>
      <c r="E404" s="7"/>
      <c r="F404" s="9"/>
      <c r="G404" s="10"/>
    </row>
    <row r="405" spans="1:7" x14ac:dyDescent="0.3">
      <c r="A405" s="7"/>
      <c r="B405" s="8"/>
      <c r="C405" s="7"/>
      <c r="D405" s="7"/>
      <c r="E405" s="7"/>
      <c r="F405" s="9"/>
      <c r="G405" s="10"/>
    </row>
    <row r="406" spans="1:7" x14ac:dyDescent="0.3">
      <c r="A406" s="7"/>
      <c r="B406" s="8"/>
      <c r="C406" s="7"/>
      <c r="D406" s="7"/>
      <c r="E406" s="7"/>
      <c r="F406" s="9"/>
      <c r="G406" s="10"/>
    </row>
    <row r="407" spans="1:7" x14ac:dyDescent="0.3">
      <c r="A407" s="7"/>
      <c r="B407" s="8"/>
      <c r="C407" s="7"/>
      <c r="D407" s="7"/>
      <c r="E407" s="7"/>
      <c r="F407" s="9"/>
      <c r="G407" s="10"/>
    </row>
    <row r="408" spans="1:7" x14ac:dyDescent="0.3">
      <c r="A408" s="7"/>
      <c r="B408" s="8"/>
      <c r="C408" s="7"/>
      <c r="D408" s="7"/>
      <c r="E408" s="7"/>
      <c r="F408" s="9"/>
      <c r="G408" s="10"/>
    </row>
    <row r="409" spans="1:7" x14ac:dyDescent="0.3">
      <c r="A409" s="7"/>
      <c r="B409" s="8"/>
      <c r="C409" s="7"/>
      <c r="D409" s="7"/>
      <c r="E409" s="7"/>
      <c r="F409" s="9"/>
      <c r="G409" s="10"/>
    </row>
    <row r="410" spans="1:7" x14ac:dyDescent="0.3">
      <c r="A410" s="7"/>
      <c r="B410" s="8"/>
      <c r="C410" s="7"/>
      <c r="D410" s="7"/>
      <c r="E410" s="7"/>
      <c r="F410" s="9"/>
      <c r="G410" s="10"/>
    </row>
    <row r="411" spans="1:7" x14ac:dyDescent="0.3">
      <c r="A411" s="7"/>
      <c r="B411" s="8"/>
      <c r="C411" s="7"/>
      <c r="D411" s="7"/>
      <c r="E411" s="7"/>
      <c r="F411" s="9"/>
      <c r="G411" s="10"/>
    </row>
    <row r="412" spans="1:7" x14ac:dyDescent="0.3">
      <c r="A412" s="7"/>
      <c r="B412" s="8"/>
      <c r="C412" s="7"/>
      <c r="D412" s="7"/>
      <c r="E412" s="7"/>
      <c r="F412" s="9"/>
      <c r="G412" s="10"/>
    </row>
    <row r="413" spans="1:7" x14ac:dyDescent="0.3">
      <c r="A413" s="7"/>
      <c r="B413" s="8"/>
      <c r="C413" s="7"/>
      <c r="D413" s="7"/>
      <c r="E413" s="7"/>
      <c r="F413" s="9"/>
      <c r="G413" s="10"/>
    </row>
    <row r="414" spans="1:7" x14ac:dyDescent="0.3">
      <c r="A414" s="7"/>
      <c r="B414" s="8"/>
      <c r="C414" s="7"/>
      <c r="D414" s="7"/>
      <c r="E414" s="7"/>
      <c r="F414" s="9"/>
      <c r="G414" s="10"/>
    </row>
    <row r="415" spans="1:7" x14ac:dyDescent="0.3">
      <c r="A415" s="7"/>
      <c r="B415" s="8"/>
      <c r="C415" s="7"/>
      <c r="D415" s="7"/>
      <c r="E415" s="7"/>
      <c r="F415" s="9"/>
      <c r="G415" s="10"/>
    </row>
    <row r="416" spans="1:7" x14ac:dyDescent="0.3">
      <c r="A416" s="7"/>
      <c r="B416" s="8"/>
      <c r="C416" s="7"/>
      <c r="D416" s="7"/>
      <c r="E416" s="7"/>
      <c r="F416" s="9"/>
      <c r="G416" s="10"/>
    </row>
    <row r="417" spans="1:7" x14ac:dyDescent="0.3">
      <c r="A417" s="7"/>
      <c r="B417" s="8"/>
      <c r="C417" s="7"/>
      <c r="D417" s="7"/>
      <c r="E417" s="7"/>
      <c r="F417" s="9"/>
      <c r="G417" s="10"/>
    </row>
    <row r="418" spans="1:7" x14ac:dyDescent="0.3">
      <c r="A418" s="7"/>
      <c r="B418" s="8"/>
      <c r="C418" s="7"/>
      <c r="D418" s="7"/>
      <c r="E418" s="7"/>
      <c r="F418" s="9"/>
      <c r="G418" s="10"/>
    </row>
    <row r="419" spans="1:7" x14ac:dyDescent="0.3">
      <c r="A419" s="7"/>
      <c r="B419" s="8"/>
      <c r="C419" s="7"/>
      <c r="D419" s="7"/>
      <c r="E419" s="7"/>
      <c r="F419" s="9"/>
      <c r="G419" s="10"/>
    </row>
    <row r="420" spans="1:7" x14ac:dyDescent="0.3">
      <c r="A420" s="7"/>
      <c r="B420" s="8"/>
      <c r="C420" s="7"/>
      <c r="D420" s="7"/>
      <c r="E420" s="7"/>
      <c r="F420" s="9"/>
      <c r="G420" s="10"/>
    </row>
    <row r="421" spans="1:7" x14ac:dyDescent="0.3">
      <c r="A421" s="7"/>
      <c r="B421" s="8"/>
      <c r="C421" s="7"/>
      <c r="D421" s="7"/>
      <c r="E421" s="7"/>
      <c r="F421" s="9"/>
      <c r="G421" s="10"/>
    </row>
    <row r="422" spans="1:7" x14ac:dyDescent="0.3">
      <c r="A422" s="7"/>
      <c r="B422" s="8"/>
      <c r="C422" s="7"/>
      <c r="D422" s="7"/>
      <c r="E422" s="7"/>
      <c r="F422" s="9"/>
      <c r="G422" s="10"/>
    </row>
    <row r="423" spans="1:7" x14ac:dyDescent="0.3">
      <c r="A423" s="7"/>
      <c r="B423" s="8"/>
      <c r="C423" s="7"/>
      <c r="D423" s="7"/>
      <c r="E423" s="7"/>
      <c r="F423" s="9"/>
      <c r="G423" s="10"/>
    </row>
    <row r="424" spans="1:7" x14ac:dyDescent="0.3">
      <c r="A424" s="7"/>
      <c r="B424" s="8"/>
      <c r="C424" s="7"/>
      <c r="D424" s="7"/>
      <c r="E424" s="7"/>
      <c r="F424" s="9"/>
      <c r="G424" s="10"/>
    </row>
    <row r="425" spans="1:7" x14ac:dyDescent="0.3">
      <c r="A425" s="7"/>
      <c r="B425" s="8"/>
      <c r="C425" s="7"/>
      <c r="D425" s="7"/>
      <c r="E425" s="7"/>
      <c r="F425" s="9"/>
      <c r="G425" s="10"/>
    </row>
    <row r="426" spans="1:7" x14ac:dyDescent="0.3">
      <c r="A426" s="7"/>
      <c r="B426" s="8"/>
      <c r="C426" s="7"/>
      <c r="D426" s="7"/>
      <c r="E426" s="7"/>
      <c r="F426" s="9"/>
      <c r="G426" s="10"/>
    </row>
    <row r="427" spans="1:7" x14ac:dyDescent="0.3">
      <c r="A427" s="7"/>
      <c r="B427" s="8"/>
      <c r="C427" s="7"/>
      <c r="D427" s="7"/>
      <c r="E427" s="7"/>
      <c r="F427" s="9"/>
      <c r="G427" s="10"/>
    </row>
    <row r="428" spans="1:7" x14ac:dyDescent="0.3">
      <c r="A428" s="7"/>
      <c r="B428" s="8"/>
      <c r="C428" s="7"/>
      <c r="D428" s="7"/>
      <c r="E428" s="7"/>
      <c r="F428" s="9"/>
      <c r="G428" s="10"/>
    </row>
    <row r="429" spans="1:7" x14ac:dyDescent="0.3">
      <c r="A429" s="7"/>
      <c r="B429" s="8"/>
      <c r="C429" s="7"/>
      <c r="D429" s="7"/>
      <c r="E429" s="7"/>
      <c r="F429" s="9"/>
      <c r="G429" s="10"/>
    </row>
    <row r="430" spans="1:7" x14ac:dyDescent="0.3">
      <c r="A430" s="7"/>
      <c r="B430" s="8"/>
      <c r="C430" s="7"/>
      <c r="D430" s="7"/>
      <c r="E430" s="7"/>
      <c r="F430" s="9"/>
      <c r="G430" s="10"/>
    </row>
    <row r="431" spans="1:7" x14ac:dyDescent="0.3">
      <c r="A431" s="7"/>
      <c r="B431" s="8"/>
      <c r="C431" s="7"/>
      <c r="D431" s="7"/>
      <c r="E431" s="7"/>
      <c r="F431" s="9"/>
      <c r="G431" s="10"/>
    </row>
    <row r="432" spans="1:7" x14ac:dyDescent="0.3">
      <c r="A432" s="7"/>
      <c r="B432" s="8"/>
      <c r="C432" s="7"/>
      <c r="D432" s="7"/>
      <c r="E432" s="7"/>
      <c r="F432" s="9"/>
      <c r="G432" s="10"/>
    </row>
    <row r="433" spans="1:7" x14ac:dyDescent="0.3">
      <c r="A433" s="7"/>
      <c r="B433" s="8"/>
      <c r="C433" s="7"/>
      <c r="D433" s="7"/>
      <c r="E433" s="7"/>
      <c r="F433" s="9"/>
      <c r="G433" s="10"/>
    </row>
    <row r="434" spans="1:7" x14ac:dyDescent="0.3">
      <c r="A434" s="7"/>
      <c r="B434" s="8"/>
      <c r="C434" s="7"/>
      <c r="D434" s="7"/>
      <c r="E434" s="7"/>
      <c r="F434" s="9"/>
      <c r="G434" s="10"/>
    </row>
    <row r="435" spans="1:7" x14ac:dyDescent="0.3">
      <c r="A435" s="7"/>
      <c r="B435" s="8"/>
      <c r="C435" s="7"/>
      <c r="D435" s="7"/>
      <c r="E435" s="7"/>
      <c r="F435" s="9"/>
      <c r="G435" s="10"/>
    </row>
    <row r="436" spans="1:7" x14ac:dyDescent="0.3">
      <c r="A436" s="7"/>
      <c r="B436" s="8"/>
      <c r="C436" s="7"/>
      <c r="D436" s="7"/>
      <c r="E436" s="7"/>
      <c r="F436" s="9"/>
      <c r="G436" s="10"/>
    </row>
    <row r="437" spans="1:7" x14ac:dyDescent="0.3">
      <c r="A437" s="7"/>
      <c r="B437" s="8"/>
      <c r="C437" s="7"/>
      <c r="D437" s="7"/>
      <c r="E437" s="7"/>
      <c r="F437" s="9"/>
      <c r="G437" s="10"/>
    </row>
    <row r="438" spans="1:7" x14ac:dyDescent="0.3">
      <c r="A438" s="7"/>
      <c r="B438" s="8"/>
      <c r="C438" s="7"/>
      <c r="D438" s="7"/>
      <c r="E438" s="7"/>
      <c r="F438" s="9"/>
      <c r="G438" s="10"/>
    </row>
    <row r="439" spans="1:7" x14ac:dyDescent="0.3">
      <c r="A439" s="7"/>
      <c r="B439" s="8"/>
      <c r="C439" s="7"/>
      <c r="D439" s="7"/>
      <c r="E439" s="7"/>
      <c r="F439" s="9"/>
      <c r="G439" s="10"/>
    </row>
    <row r="440" spans="1:7" x14ac:dyDescent="0.3">
      <c r="A440" s="7"/>
      <c r="B440" s="8"/>
      <c r="C440" s="7"/>
      <c r="D440" s="7"/>
      <c r="E440" s="7"/>
      <c r="F440" s="9"/>
      <c r="G440" s="10"/>
    </row>
    <row r="441" spans="1:7" x14ac:dyDescent="0.3">
      <c r="A441" s="7"/>
      <c r="B441" s="8"/>
      <c r="C441" s="7"/>
      <c r="D441" s="7"/>
      <c r="E441" s="7"/>
      <c r="F441" s="9"/>
      <c r="G441" s="10"/>
    </row>
    <row r="442" spans="1:7" x14ac:dyDescent="0.3">
      <c r="A442" s="7"/>
      <c r="B442" s="8"/>
      <c r="C442" s="7"/>
      <c r="D442" s="7"/>
      <c r="E442" s="7"/>
      <c r="F442" s="9"/>
      <c r="G442" s="10"/>
    </row>
    <row r="443" spans="1:7" x14ac:dyDescent="0.3">
      <c r="A443" s="7"/>
      <c r="B443" s="8"/>
      <c r="C443" s="7"/>
      <c r="D443" s="7"/>
      <c r="E443" s="7"/>
      <c r="F443" s="9"/>
      <c r="G443" s="10"/>
    </row>
    <row r="444" spans="1:7" x14ac:dyDescent="0.3">
      <c r="A444" s="7"/>
      <c r="B444" s="8"/>
      <c r="C444" s="7"/>
      <c r="D444" s="7"/>
      <c r="E444" s="7"/>
      <c r="F444" s="9"/>
      <c r="G444" s="10"/>
    </row>
    <row r="445" spans="1:7" x14ac:dyDescent="0.3">
      <c r="A445" s="7"/>
      <c r="B445" s="8"/>
      <c r="C445" s="7"/>
      <c r="D445" s="7"/>
      <c r="E445" s="7"/>
      <c r="F445" s="9"/>
      <c r="G445" s="10"/>
    </row>
    <row r="446" spans="1:7" x14ac:dyDescent="0.3">
      <c r="A446" s="7"/>
      <c r="B446" s="8"/>
      <c r="C446" s="7"/>
      <c r="D446" s="7"/>
      <c r="E446" s="7"/>
      <c r="F446" s="9"/>
      <c r="G446" s="10"/>
    </row>
    <row r="447" spans="1:7" x14ac:dyDescent="0.3">
      <c r="A447" s="7"/>
      <c r="B447" s="8"/>
      <c r="C447" s="7"/>
      <c r="D447" s="7"/>
      <c r="E447" s="7"/>
      <c r="F447" s="9"/>
      <c r="G447" s="10"/>
    </row>
    <row r="448" spans="1:7" x14ac:dyDescent="0.3">
      <c r="A448" s="7"/>
      <c r="B448" s="8"/>
      <c r="C448" s="7"/>
      <c r="D448" s="7"/>
      <c r="E448" s="7"/>
      <c r="F448" s="9"/>
      <c r="G448" s="10"/>
    </row>
    <row r="449" spans="1:7" x14ac:dyDescent="0.3">
      <c r="A449" s="7"/>
      <c r="B449" s="8"/>
      <c r="C449" s="7"/>
      <c r="D449" s="7"/>
      <c r="E449" s="7"/>
      <c r="F449" s="9"/>
      <c r="G449" s="10"/>
    </row>
    <row r="450" spans="1:7" x14ac:dyDescent="0.3">
      <c r="A450" s="7"/>
      <c r="B450" s="8"/>
      <c r="C450" s="7"/>
      <c r="D450" s="7"/>
      <c r="E450" s="7"/>
      <c r="F450" s="9"/>
      <c r="G450" s="10"/>
    </row>
    <row r="451" spans="1:7" x14ac:dyDescent="0.3">
      <c r="A451" s="7"/>
      <c r="B451" s="8"/>
      <c r="C451" s="7"/>
      <c r="D451" s="7"/>
      <c r="E451" s="7"/>
      <c r="F451" s="9"/>
      <c r="G451" s="10"/>
    </row>
    <row r="452" spans="1:7" x14ac:dyDescent="0.3">
      <c r="A452" s="7"/>
      <c r="B452" s="8"/>
      <c r="C452" s="7"/>
      <c r="D452" s="7"/>
      <c r="E452" s="7"/>
      <c r="F452" s="9"/>
      <c r="G452" s="10"/>
    </row>
    <row r="453" spans="1:7" x14ac:dyDescent="0.3">
      <c r="A453" s="7"/>
      <c r="B453" s="8"/>
      <c r="C453" s="7"/>
      <c r="D453" s="7"/>
      <c r="E453" s="7"/>
      <c r="F453" s="9"/>
      <c r="G453" s="10"/>
    </row>
    <row r="454" spans="1:7" x14ac:dyDescent="0.3">
      <c r="A454" s="7"/>
      <c r="B454" s="8"/>
      <c r="C454" s="7"/>
      <c r="D454" s="7"/>
      <c r="E454" s="7"/>
      <c r="F454" s="9"/>
      <c r="G454" s="10"/>
    </row>
    <row r="455" spans="1:7" x14ac:dyDescent="0.3">
      <c r="A455" s="7"/>
      <c r="B455" s="8"/>
      <c r="C455" s="7"/>
      <c r="D455" s="7"/>
      <c r="E455" s="7"/>
      <c r="F455" s="9"/>
      <c r="G455" s="10"/>
    </row>
    <row r="456" spans="1:7" x14ac:dyDescent="0.3">
      <c r="A456" s="7"/>
      <c r="B456" s="8"/>
      <c r="C456" s="7"/>
      <c r="D456" s="7"/>
      <c r="E456" s="7"/>
      <c r="F456" s="9"/>
      <c r="G456" s="10"/>
    </row>
    <row r="457" spans="1:7" x14ac:dyDescent="0.3">
      <c r="A457" s="7"/>
      <c r="B457" s="8"/>
      <c r="C457" s="7"/>
      <c r="D457" s="7"/>
      <c r="E457" s="7"/>
      <c r="F457" s="9"/>
      <c r="G457" s="10"/>
    </row>
    <row r="458" spans="1:7" x14ac:dyDescent="0.3">
      <c r="A458" s="7"/>
      <c r="B458" s="8"/>
      <c r="C458" s="7"/>
      <c r="D458" s="7"/>
      <c r="E458" s="7"/>
      <c r="F458" s="9"/>
      <c r="G458" s="10"/>
    </row>
    <row r="459" spans="1:7" x14ac:dyDescent="0.3">
      <c r="A459" s="7"/>
      <c r="B459" s="8"/>
      <c r="C459" s="7"/>
      <c r="D459" s="7"/>
      <c r="E459" s="7"/>
      <c r="F459" s="9"/>
      <c r="G459" s="10"/>
    </row>
    <row r="460" spans="1:7" x14ac:dyDescent="0.3">
      <c r="A460" s="7"/>
      <c r="B460" s="8"/>
      <c r="C460" s="7"/>
      <c r="D460" s="7"/>
      <c r="E460" s="7"/>
      <c r="F460" s="9"/>
      <c r="G460" s="10"/>
    </row>
    <row r="461" spans="1:7" x14ac:dyDescent="0.3">
      <c r="A461" s="7"/>
      <c r="B461" s="8"/>
      <c r="C461" s="7"/>
      <c r="D461" s="7"/>
      <c r="E461" s="7"/>
      <c r="F461" s="9"/>
      <c r="G461" s="10"/>
    </row>
    <row r="462" spans="1:7" x14ac:dyDescent="0.3">
      <c r="A462" s="7"/>
      <c r="B462" s="8"/>
      <c r="C462" s="7"/>
      <c r="D462" s="7"/>
      <c r="E462" s="7"/>
      <c r="F462" s="9"/>
      <c r="G462" s="10"/>
    </row>
    <row r="463" spans="1:7" x14ac:dyDescent="0.3">
      <c r="A463" s="7"/>
      <c r="B463" s="8"/>
      <c r="C463" s="7"/>
      <c r="D463" s="7"/>
      <c r="E463" s="7"/>
      <c r="F463" s="9"/>
      <c r="G463" s="10"/>
    </row>
    <row r="464" spans="1:7" x14ac:dyDescent="0.3">
      <c r="A464" s="7"/>
      <c r="B464" s="8"/>
      <c r="C464" s="7"/>
      <c r="D464" s="7"/>
      <c r="E464" s="7"/>
      <c r="F464" s="9"/>
      <c r="G464" s="10"/>
    </row>
    <row r="465" spans="1:7" x14ac:dyDescent="0.3">
      <c r="A465" s="7"/>
      <c r="B465" s="8"/>
      <c r="C465" s="7"/>
      <c r="D465" s="7"/>
      <c r="E465" s="7"/>
      <c r="F465" s="9"/>
      <c r="G465" s="10"/>
    </row>
    <row r="466" spans="1:7" x14ac:dyDescent="0.3">
      <c r="A466" s="7"/>
      <c r="B466" s="8"/>
      <c r="C466" s="7"/>
      <c r="D466" s="7"/>
      <c r="E466" s="7"/>
      <c r="F466" s="9"/>
      <c r="G466" s="10"/>
    </row>
    <row r="467" spans="1:7" x14ac:dyDescent="0.3">
      <c r="A467" s="7"/>
      <c r="B467" s="8"/>
      <c r="C467" s="7"/>
      <c r="D467" s="7"/>
      <c r="E467" s="7"/>
      <c r="F467" s="9"/>
      <c r="G467" s="10"/>
    </row>
    <row r="468" spans="1:7" x14ac:dyDescent="0.3">
      <c r="A468" s="7"/>
      <c r="B468" s="8"/>
      <c r="C468" s="7"/>
      <c r="D468" s="7"/>
      <c r="E468" s="7"/>
      <c r="F468" s="9"/>
      <c r="G468" s="10"/>
    </row>
    <row r="469" spans="1:7" x14ac:dyDescent="0.3">
      <c r="A469" s="7"/>
      <c r="B469" s="8"/>
      <c r="C469" s="7"/>
      <c r="D469" s="7"/>
      <c r="E469" s="7"/>
      <c r="F469" s="9"/>
      <c r="G469" s="10"/>
    </row>
    <row r="470" spans="1:7" x14ac:dyDescent="0.3">
      <c r="A470" s="7"/>
      <c r="B470" s="8"/>
      <c r="C470" s="7"/>
      <c r="D470" s="7"/>
      <c r="E470" s="7"/>
      <c r="F470" s="9"/>
      <c r="G470" s="10"/>
    </row>
    <row r="471" spans="1:7" x14ac:dyDescent="0.3">
      <c r="A471" s="7"/>
      <c r="B471" s="8"/>
      <c r="C471" s="7"/>
      <c r="D471" s="7"/>
      <c r="E471" s="7"/>
      <c r="F471" s="9"/>
      <c r="G471" s="10"/>
    </row>
    <row r="472" spans="1:7" x14ac:dyDescent="0.3">
      <c r="A472" s="7"/>
      <c r="B472" s="8"/>
      <c r="C472" s="7"/>
      <c r="D472" s="7"/>
      <c r="E472" s="7"/>
      <c r="F472" s="9"/>
      <c r="G472" s="10"/>
    </row>
    <row r="473" spans="1:7" x14ac:dyDescent="0.3">
      <c r="A473" s="7"/>
      <c r="B473" s="8"/>
      <c r="C473" s="7"/>
      <c r="D473" s="7"/>
      <c r="E473" s="7"/>
      <c r="F473" s="9"/>
      <c r="G473" s="10"/>
    </row>
    <row r="474" spans="1:7" x14ac:dyDescent="0.3">
      <c r="A474" s="7"/>
      <c r="B474" s="8"/>
      <c r="C474" s="7"/>
      <c r="D474" s="7"/>
      <c r="E474" s="7"/>
      <c r="F474" s="9"/>
      <c r="G474" s="10"/>
    </row>
    <row r="475" spans="1:7" x14ac:dyDescent="0.3">
      <c r="A475" s="7"/>
      <c r="B475" s="8"/>
      <c r="C475" s="7"/>
      <c r="D475" s="7"/>
      <c r="E475" s="7"/>
      <c r="F475" s="9"/>
      <c r="G475" s="10"/>
    </row>
    <row r="476" spans="1:7" x14ac:dyDescent="0.3">
      <c r="A476" s="7"/>
      <c r="B476" s="8"/>
      <c r="C476" s="7"/>
      <c r="D476" s="7"/>
      <c r="E476" s="7"/>
      <c r="F476" s="9"/>
      <c r="G476" s="10"/>
    </row>
    <row r="477" spans="1:7" x14ac:dyDescent="0.3">
      <c r="A477" s="7"/>
      <c r="B477" s="8"/>
      <c r="C477" s="7"/>
      <c r="D477" s="7"/>
      <c r="E477" s="7"/>
      <c r="F477" s="9"/>
      <c r="G477" s="10"/>
    </row>
    <row r="478" spans="1:7" x14ac:dyDescent="0.3">
      <c r="A478" s="7"/>
      <c r="B478" s="8"/>
      <c r="C478" s="7"/>
      <c r="D478" s="7"/>
      <c r="E478" s="7"/>
      <c r="F478" s="9"/>
      <c r="G478" s="10"/>
    </row>
    <row r="479" spans="1:7" x14ac:dyDescent="0.3">
      <c r="A479" s="7"/>
      <c r="B479" s="8"/>
      <c r="C479" s="7"/>
      <c r="D479" s="7"/>
      <c r="E479" s="7"/>
      <c r="F479" s="9"/>
      <c r="G479" s="10"/>
    </row>
    <row r="480" spans="1:7" x14ac:dyDescent="0.3">
      <c r="A480" s="7"/>
      <c r="B480" s="8"/>
      <c r="C480" s="7"/>
      <c r="D480" s="7"/>
      <c r="E480" s="7"/>
      <c r="F480" s="9"/>
      <c r="G480" s="10"/>
    </row>
    <row r="481" spans="1:7" x14ac:dyDescent="0.3">
      <c r="A481" s="7"/>
      <c r="B481" s="8"/>
      <c r="C481" s="7"/>
      <c r="D481" s="7"/>
      <c r="E481" s="7"/>
      <c r="F481" s="9"/>
      <c r="G481" s="10"/>
    </row>
    <row r="482" spans="1:7" x14ac:dyDescent="0.3">
      <c r="A482" s="7"/>
      <c r="B482" s="8"/>
      <c r="C482" s="7"/>
      <c r="D482" s="7"/>
      <c r="E482" s="7"/>
      <c r="F482" s="9"/>
      <c r="G482" s="10"/>
    </row>
    <row r="483" spans="1:7" x14ac:dyDescent="0.3">
      <c r="A483" s="7"/>
      <c r="B483" s="8"/>
      <c r="C483" s="7"/>
      <c r="D483" s="7"/>
      <c r="E483" s="7"/>
      <c r="F483" s="9"/>
      <c r="G483" s="10"/>
    </row>
    <row r="484" spans="1:7" x14ac:dyDescent="0.3">
      <c r="A484" s="7"/>
      <c r="B484" s="8"/>
      <c r="C484" s="7"/>
      <c r="D484" s="7"/>
      <c r="E484" s="7"/>
      <c r="F484" s="9"/>
      <c r="G484" s="10"/>
    </row>
    <row r="485" spans="1:7" x14ac:dyDescent="0.3">
      <c r="A485" s="7"/>
      <c r="B485" s="8"/>
      <c r="C485" s="7"/>
      <c r="D485" s="7"/>
      <c r="E485" s="7"/>
      <c r="F485" s="9"/>
      <c r="G485" s="10"/>
    </row>
    <row r="486" spans="1:7" x14ac:dyDescent="0.3">
      <c r="A486" s="7"/>
      <c r="B486" s="8"/>
      <c r="C486" s="7"/>
      <c r="D486" s="7"/>
      <c r="E486" s="7"/>
      <c r="F486" s="9"/>
      <c r="G486" s="10"/>
    </row>
    <row r="487" spans="1:7" x14ac:dyDescent="0.3">
      <c r="A487" s="7"/>
      <c r="B487" s="8"/>
      <c r="C487" s="7"/>
      <c r="D487" s="7"/>
      <c r="E487" s="7"/>
      <c r="F487" s="9"/>
      <c r="G487" s="10"/>
    </row>
    <row r="488" spans="1:7" x14ac:dyDescent="0.3">
      <c r="A488" s="7"/>
      <c r="B488" s="8"/>
      <c r="C488" s="7"/>
      <c r="D488" s="7"/>
      <c r="E488" s="7"/>
      <c r="F488" s="9"/>
      <c r="G488" s="10"/>
    </row>
    <row r="489" spans="1:7" x14ac:dyDescent="0.3">
      <c r="A489" s="7"/>
      <c r="B489" s="8"/>
      <c r="C489" s="7"/>
      <c r="D489" s="7"/>
      <c r="E489" s="7"/>
      <c r="F489" s="9"/>
      <c r="G489" s="10"/>
    </row>
    <row r="490" spans="1:7" x14ac:dyDescent="0.3">
      <c r="A490" s="7"/>
      <c r="B490" s="8"/>
      <c r="C490" s="7"/>
      <c r="D490" s="7"/>
      <c r="E490" s="7"/>
      <c r="F490" s="9"/>
      <c r="G490" s="10"/>
    </row>
    <row r="491" spans="1:7" x14ac:dyDescent="0.3">
      <c r="A491" s="7"/>
      <c r="B491" s="8"/>
      <c r="C491" s="7"/>
      <c r="D491" s="7"/>
      <c r="E491" s="7"/>
      <c r="F491" s="9"/>
      <c r="G491" s="10"/>
    </row>
    <row r="492" spans="1:7" x14ac:dyDescent="0.3">
      <c r="A492" s="7"/>
      <c r="B492" s="8"/>
      <c r="C492" s="7"/>
      <c r="D492" s="7"/>
      <c r="E492" s="7"/>
      <c r="F492" s="9"/>
      <c r="G492" s="10"/>
    </row>
    <row r="493" spans="1:7" x14ac:dyDescent="0.3">
      <c r="A493" s="7"/>
      <c r="B493" s="8"/>
      <c r="C493" s="7"/>
      <c r="D493" s="7"/>
      <c r="E493" s="7"/>
      <c r="F493" s="9"/>
      <c r="G493" s="10"/>
    </row>
    <row r="494" spans="1:7" x14ac:dyDescent="0.3">
      <c r="A494" s="7"/>
      <c r="B494" s="8"/>
      <c r="C494" s="7"/>
      <c r="D494" s="7"/>
      <c r="E494" s="7"/>
      <c r="F494" s="9"/>
      <c r="G494" s="10"/>
    </row>
    <row r="495" spans="1:7" x14ac:dyDescent="0.3">
      <c r="A495" s="7"/>
      <c r="B495" s="8"/>
      <c r="C495" s="7"/>
      <c r="D495" s="7"/>
      <c r="E495" s="7"/>
      <c r="F495" s="9"/>
      <c r="G495" s="10"/>
    </row>
    <row r="496" spans="1:7" x14ac:dyDescent="0.3">
      <c r="A496" s="7"/>
      <c r="B496" s="8"/>
      <c r="C496" s="7"/>
      <c r="D496" s="7"/>
      <c r="E496" s="7"/>
      <c r="F496" s="9"/>
      <c r="G496" s="10"/>
    </row>
    <row r="497" spans="1:7" x14ac:dyDescent="0.3">
      <c r="A497" s="7"/>
      <c r="B497" s="8"/>
      <c r="C497" s="7"/>
      <c r="D497" s="7"/>
      <c r="E497" s="7"/>
      <c r="F497" s="9"/>
      <c r="G497" s="10"/>
    </row>
    <row r="498" spans="1:7" x14ac:dyDescent="0.3">
      <c r="A498" s="7"/>
      <c r="B498" s="8"/>
      <c r="C498" s="7"/>
      <c r="D498" s="7"/>
      <c r="E498" s="7"/>
      <c r="F498" s="9"/>
      <c r="G498" s="10"/>
    </row>
    <row r="499" spans="1:7" x14ac:dyDescent="0.3">
      <c r="A499" s="7"/>
      <c r="B499" s="8"/>
      <c r="C499" s="7"/>
      <c r="D499" s="7"/>
      <c r="E499" s="7"/>
      <c r="F499" s="9"/>
      <c r="G499" s="10"/>
    </row>
    <row r="500" spans="1:7" x14ac:dyDescent="0.3">
      <c r="A500" s="7"/>
      <c r="B500" s="8"/>
      <c r="C500" s="7"/>
      <c r="D500" s="7"/>
      <c r="E500" s="7"/>
      <c r="F500" s="9"/>
      <c r="G500" s="10"/>
    </row>
    <row r="501" spans="1:7" x14ac:dyDescent="0.3">
      <c r="A501" s="7"/>
      <c r="B501" s="8"/>
      <c r="C501" s="7"/>
      <c r="D501" s="7"/>
      <c r="E501" s="7"/>
      <c r="F501" s="9"/>
      <c r="G501" s="10"/>
    </row>
    <row r="502" spans="1:7" x14ac:dyDescent="0.3">
      <c r="A502" s="7"/>
      <c r="B502" s="8"/>
      <c r="C502" s="7"/>
      <c r="D502" s="7"/>
      <c r="E502" s="7"/>
      <c r="F502" s="9"/>
      <c r="G502" s="10"/>
    </row>
    <row r="503" spans="1:7" x14ac:dyDescent="0.3">
      <c r="A503" s="7"/>
      <c r="B503" s="8"/>
      <c r="C503" s="7"/>
      <c r="D503" s="7"/>
      <c r="E503" s="7"/>
      <c r="F503" s="9"/>
      <c r="G503" s="10"/>
    </row>
    <row r="504" spans="1:7" x14ac:dyDescent="0.3">
      <c r="A504" s="7"/>
      <c r="B504" s="8"/>
      <c r="C504" s="7"/>
      <c r="D504" s="7"/>
      <c r="E504" s="7"/>
      <c r="F504" s="9"/>
      <c r="G504" s="10"/>
    </row>
    <row r="505" spans="1:7" x14ac:dyDescent="0.3">
      <c r="A505" s="7"/>
      <c r="B505" s="8"/>
      <c r="C505" s="7"/>
      <c r="D505" s="7"/>
      <c r="E505" s="7"/>
      <c r="F505" s="9"/>
      <c r="G505" s="10"/>
    </row>
    <row r="506" spans="1:7" x14ac:dyDescent="0.3">
      <c r="A506" s="7"/>
      <c r="B506" s="8"/>
      <c r="C506" s="7"/>
      <c r="D506" s="7"/>
      <c r="E506" s="7"/>
      <c r="F506" s="9"/>
      <c r="G506" s="10"/>
    </row>
    <row r="507" spans="1:7" x14ac:dyDescent="0.3">
      <c r="A507" s="7"/>
      <c r="B507" s="8"/>
      <c r="C507" s="7"/>
      <c r="D507" s="7"/>
      <c r="E507" s="7"/>
      <c r="F507" s="9"/>
      <c r="G507" s="10"/>
    </row>
    <row r="508" spans="1:7" x14ac:dyDescent="0.3">
      <c r="A508" s="7"/>
      <c r="B508" s="8"/>
      <c r="C508" s="7"/>
      <c r="D508" s="7"/>
      <c r="E508" s="7"/>
      <c r="F508" s="9"/>
      <c r="G508" s="10"/>
    </row>
    <row r="509" spans="1:7" x14ac:dyDescent="0.3">
      <c r="A509" s="7"/>
      <c r="B509" s="8"/>
      <c r="C509" s="7"/>
      <c r="D509" s="7"/>
      <c r="E509" s="7"/>
      <c r="F509" s="9"/>
      <c r="G509" s="10"/>
    </row>
    <row r="510" spans="1:7" x14ac:dyDescent="0.3">
      <c r="A510" s="7"/>
      <c r="B510" s="8"/>
      <c r="C510" s="7"/>
      <c r="D510" s="7"/>
      <c r="E510" s="7"/>
      <c r="F510" s="9"/>
      <c r="G510" s="10"/>
    </row>
    <row r="511" spans="1:7" x14ac:dyDescent="0.3">
      <c r="A511" s="7"/>
      <c r="B511" s="8"/>
      <c r="C511" s="7"/>
      <c r="D511" s="7"/>
      <c r="E511" s="7"/>
      <c r="F511" s="9"/>
      <c r="G511" s="10"/>
    </row>
    <row r="512" spans="1:7" x14ac:dyDescent="0.3">
      <c r="A512" s="7"/>
      <c r="B512" s="8"/>
      <c r="C512" s="7"/>
      <c r="D512" s="7"/>
      <c r="E512" s="7"/>
      <c r="F512" s="9"/>
      <c r="G512" s="10"/>
    </row>
    <row r="513" spans="1:7" x14ac:dyDescent="0.3">
      <c r="A513" s="7"/>
      <c r="B513" s="8"/>
      <c r="C513" s="7"/>
      <c r="D513" s="7"/>
      <c r="E513" s="7"/>
      <c r="F513" s="9"/>
      <c r="G513" s="10"/>
    </row>
    <row r="514" spans="1:7" x14ac:dyDescent="0.3">
      <c r="A514" s="7"/>
      <c r="B514" s="8"/>
      <c r="C514" s="7"/>
      <c r="D514" s="7"/>
      <c r="E514" s="7"/>
      <c r="F514" s="9"/>
      <c r="G514" s="10"/>
    </row>
    <row r="515" spans="1:7" x14ac:dyDescent="0.3">
      <c r="A515" s="7"/>
      <c r="B515" s="8"/>
      <c r="C515" s="7"/>
      <c r="D515" s="7"/>
      <c r="E515" s="7"/>
      <c r="F515" s="9"/>
      <c r="G515" s="10"/>
    </row>
    <row r="516" spans="1:7" x14ac:dyDescent="0.3">
      <c r="A516" s="7"/>
      <c r="B516" s="8"/>
      <c r="C516" s="7"/>
      <c r="D516" s="7"/>
      <c r="E516" s="7"/>
      <c r="F516" s="9"/>
      <c r="G516" s="10"/>
    </row>
    <row r="517" spans="1:7" x14ac:dyDescent="0.3">
      <c r="A517" s="7"/>
      <c r="B517" s="8"/>
      <c r="C517" s="7"/>
      <c r="D517" s="7"/>
      <c r="E517" s="7"/>
      <c r="F517" s="9"/>
      <c r="G517" s="10"/>
    </row>
    <row r="518" spans="1:7" x14ac:dyDescent="0.3">
      <c r="A518" s="7"/>
      <c r="B518" s="8"/>
      <c r="C518" s="7"/>
      <c r="D518" s="7"/>
      <c r="E518" s="7"/>
      <c r="F518" s="9"/>
      <c r="G518" s="10"/>
    </row>
    <row r="519" spans="1:7" x14ac:dyDescent="0.3">
      <c r="A519" s="7"/>
      <c r="B519" s="8"/>
      <c r="C519" s="7"/>
      <c r="D519" s="7"/>
      <c r="E519" s="7"/>
      <c r="F519" s="9"/>
      <c r="G519" s="10"/>
    </row>
    <row r="520" spans="1:7" x14ac:dyDescent="0.3">
      <c r="A520" s="7"/>
      <c r="B520" s="8"/>
      <c r="C520" s="7"/>
      <c r="D520" s="7"/>
      <c r="E520" s="7"/>
      <c r="F520" s="9"/>
      <c r="G520" s="10"/>
    </row>
    <row r="521" spans="1:7" x14ac:dyDescent="0.3">
      <c r="A521" s="7"/>
      <c r="B521" s="8"/>
      <c r="C521" s="7"/>
      <c r="D521" s="7"/>
      <c r="E521" s="7"/>
      <c r="F521" s="9"/>
      <c r="G521" s="10"/>
    </row>
    <row r="522" spans="1:7" x14ac:dyDescent="0.3">
      <c r="A522" s="7"/>
      <c r="B522" s="8"/>
      <c r="C522" s="7"/>
      <c r="D522" s="7"/>
      <c r="E522" s="7"/>
      <c r="F522" s="9"/>
      <c r="G522" s="10"/>
    </row>
    <row r="523" spans="1:7" x14ac:dyDescent="0.3">
      <c r="A523" s="7"/>
      <c r="B523" s="8"/>
      <c r="C523" s="7"/>
      <c r="D523" s="7"/>
      <c r="E523" s="7"/>
      <c r="F523" s="9"/>
      <c r="G523" s="10"/>
    </row>
    <row r="524" spans="1:7" x14ac:dyDescent="0.3">
      <c r="A524" s="7"/>
      <c r="B524" s="8"/>
      <c r="C524" s="7"/>
      <c r="D524" s="7"/>
      <c r="E524" s="7"/>
      <c r="F524" s="9"/>
      <c r="G524" s="10"/>
    </row>
    <row r="525" spans="1:7" x14ac:dyDescent="0.3">
      <c r="A525" s="7"/>
      <c r="B525" s="8"/>
      <c r="C525" s="7"/>
      <c r="D525" s="7"/>
      <c r="E525" s="7"/>
      <c r="F525" s="9"/>
      <c r="G525" s="10"/>
    </row>
    <row r="526" spans="1:7" x14ac:dyDescent="0.3">
      <c r="G526" s="10"/>
    </row>
    <row r="527" spans="1:7" x14ac:dyDescent="0.3">
      <c r="G527" s="10"/>
    </row>
    <row r="528" spans="1:7" x14ac:dyDescent="0.3">
      <c r="G528" s="10"/>
    </row>
    <row r="529" spans="7:7" x14ac:dyDescent="0.3">
      <c r="G529" s="10"/>
    </row>
    <row r="530" spans="7:7" x14ac:dyDescent="0.3">
      <c r="G530" s="10"/>
    </row>
    <row r="531" spans="7:7" x14ac:dyDescent="0.3">
      <c r="G531" s="10"/>
    </row>
    <row r="532" spans="7:7" x14ac:dyDescent="0.3">
      <c r="G532" s="10"/>
    </row>
    <row r="533" spans="7:7" x14ac:dyDescent="0.3">
      <c r="G533" s="10"/>
    </row>
    <row r="534" spans="7:7" x14ac:dyDescent="0.3">
      <c r="G534" s="10"/>
    </row>
    <row r="535" spans="7:7" x14ac:dyDescent="0.3">
      <c r="G535" s="10"/>
    </row>
    <row r="536" spans="7:7" x14ac:dyDescent="0.3">
      <c r="G536" s="10"/>
    </row>
    <row r="537" spans="7:7" x14ac:dyDescent="0.3">
      <c r="G537" s="10"/>
    </row>
    <row r="538" spans="7:7" x14ac:dyDescent="0.3">
      <c r="G538" s="10"/>
    </row>
    <row r="539" spans="7:7" x14ac:dyDescent="0.3">
      <c r="G539" s="10"/>
    </row>
    <row r="540" spans="7:7" x14ac:dyDescent="0.3">
      <c r="G540" s="10"/>
    </row>
    <row r="541" spans="7:7" x14ac:dyDescent="0.3">
      <c r="G541" s="10"/>
    </row>
    <row r="542" spans="7:7" x14ac:dyDescent="0.3">
      <c r="G542" s="10"/>
    </row>
    <row r="543" spans="7:7" x14ac:dyDescent="0.3">
      <c r="G543" s="10"/>
    </row>
    <row r="544" spans="7:7" x14ac:dyDescent="0.3">
      <c r="G544" s="10"/>
    </row>
    <row r="545" spans="7:7" x14ac:dyDescent="0.3">
      <c r="G545" s="10"/>
    </row>
    <row r="546" spans="7:7" x14ac:dyDescent="0.3">
      <c r="G546" s="10"/>
    </row>
    <row r="547" spans="7:7" x14ac:dyDescent="0.3">
      <c r="G547" s="10"/>
    </row>
    <row r="548" spans="7:7" x14ac:dyDescent="0.3">
      <c r="G548" s="10"/>
    </row>
    <row r="549" spans="7:7" x14ac:dyDescent="0.3">
      <c r="G549" s="10"/>
    </row>
    <row r="550" spans="7:7" x14ac:dyDescent="0.3">
      <c r="G550" s="10"/>
    </row>
    <row r="551" spans="7:7" x14ac:dyDescent="0.3">
      <c r="G551" s="10"/>
    </row>
    <row r="552" spans="7:7" x14ac:dyDescent="0.3">
      <c r="G552" s="10"/>
    </row>
    <row r="553" spans="7:7" x14ac:dyDescent="0.3">
      <c r="G553" s="10"/>
    </row>
    <row r="554" spans="7:7" x14ac:dyDescent="0.3">
      <c r="G554" s="10"/>
    </row>
    <row r="555" spans="7:7" x14ac:dyDescent="0.3">
      <c r="G555" s="10"/>
    </row>
    <row r="556" spans="7:7" x14ac:dyDescent="0.3">
      <c r="G556" s="10"/>
    </row>
    <row r="557" spans="7:7" x14ac:dyDescent="0.3">
      <c r="G557" s="10"/>
    </row>
    <row r="558" spans="7:7" x14ac:dyDescent="0.3">
      <c r="G558" s="10"/>
    </row>
    <row r="559" spans="7:7" x14ac:dyDescent="0.3">
      <c r="G559" s="10"/>
    </row>
    <row r="560" spans="7:7" x14ac:dyDescent="0.3">
      <c r="G560" s="10"/>
    </row>
    <row r="561" spans="7:7" x14ac:dyDescent="0.3">
      <c r="G561" s="10"/>
    </row>
    <row r="562" spans="7:7" x14ac:dyDescent="0.3">
      <c r="G562" s="10"/>
    </row>
    <row r="563" spans="7:7" x14ac:dyDescent="0.3">
      <c r="G563" s="10"/>
    </row>
    <row r="564" spans="7:7" x14ac:dyDescent="0.3">
      <c r="G564" s="10"/>
    </row>
    <row r="565" spans="7:7" x14ac:dyDescent="0.3">
      <c r="G565" s="10"/>
    </row>
    <row r="566" spans="7:7" x14ac:dyDescent="0.3">
      <c r="G566" s="10"/>
    </row>
    <row r="567" spans="7:7" x14ac:dyDescent="0.3">
      <c r="G567" s="10"/>
    </row>
    <row r="568" spans="7:7" x14ac:dyDescent="0.3">
      <c r="G568" s="10"/>
    </row>
    <row r="569" spans="7:7" x14ac:dyDescent="0.3">
      <c r="G569" s="10"/>
    </row>
    <row r="570" spans="7:7" x14ac:dyDescent="0.3">
      <c r="G570" s="10"/>
    </row>
    <row r="571" spans="7:7" x14ac:dyDescent="0.3">
      <c r="G571" s="10"/>
    </row>
    <row r="572" spans="7:7" x14ac:dyDescent="0.3">
      <c r="G572" s="10"/>
    </row>
    <row r="573" spans="7:7" x14ac:dyDescent="0.3">
      <c r="G573" s="10"/>
    </row>
    <row r="574" spans="7:7" x14ac:dyDescent="0.3">
      <c r="G574" s="10"/>
    </row>
    <row r="575" spans="7:7" x14ac:dyDescent="0.3">
      <c r="G575" s="10"/>
    </row>
    <row r="576" spans="7:7" x14ac:dyDescent="0.3">
      <c r="G576" s="10"/>
    </row>
    <row r="577" spans="7:7" x14ac:dyDescent="0.3">
      <c r="G577" s="10"/>
    </row>
    <row r="578" spans="7:7" x14ac:dyDescent="0.3">
      <c r="G578" s="10"/>
    </row>
    <row r="579" spans="7:7" x14ac:dyDescent="0.3">
      <c r="G579" s="10"/>
    </row>
    <row r="580" spans="7:7" x14ac:dyDescent="0.3">
      <c r="G580" s="10"/>
    </row>
    <row r="581" spans="7:7" x14ac:dyDescent="0.3">
      <c r="G581" s="10"/>
    </row>
    <row r="582" spans="7:7" x14ac:dyDescent="0.3">
      <c r="G582" s="10"/>
    </row>
    <row r="583" spans="7:7" x14ac:dyDescent="0.3">
      <c r="G583" s="10"/>
    </row>
    <row r="584" spans="7:7" x14ac:dyDescent="0.3">
      <c r="G584" s="10"/>
    </row>
    <row r="585" spans="7:7" x14ac:dyDescent="0.3">
      <c r="G585" s="10"/>
    </row>
    <row r="586" spans="7:7" x14ac:dyDescent="0.3">
      <c r="G586" s="10"/>
    </row>
    <row r="587" spans="7:7" x14ac:dyDescent="0.3">
      <c r="G587" s="10"/>
    </row>
    <row r="588" spans="7:7" x14ac:dyDescent="0.3">
      <c r="G588" s="10"/>
    </row>
    <row r="589" spans="7:7" x14ac:dyDescent="0.3">
      <c r="G589" s="10"/>
    </row>
    <row r="590" spans="7:7" x14ac:dyDescent="0.3">
      <c r="G590" s="10"/>
    </row>
    <row r="591" spans="7:7" x14ac:dyDescent="0.3">
      <c r="G591" s="10"/>
    </row>
    <row r="592" spans="7:7" x14ac:dyDescent="0.3">
      <c r="G592" s="10"/>
    </row>
    <row r="593" spans="7:7" x14ac:dyDescent="0.3">
      <c r="G593" s="10"/>
    </row>
    <row r="594" spans="7:7" x14ac:dyDescent="0.3">
      <c r="G594" s="10"/>
    </row>
    <row r="595" spans="7:7" x14ac:dyDescent="0.3">
      <c r="G595" s="10"/>
    </row>
    <row r="596" spans="7:7" x14ac:dyDescent="0.3">
      <c r="G596" s="10"/>
    </row>
    <row r="597" spans="7:7" x14ac:dyDescent="0.3">
      <c r="G597" s="10"/>
    </row>
    <row r="598" spans="7:7" x14ac:dyDescent="0.3">
      <c r="G598" s="10"/>
    </row>
    <row r="599" spans="7:7" x14ac:dyDescent="0.3">
      <c r="G599" s="10"/>
    </row>
    <row r="600" spans="7:7" x14ac:dyDescent="0.3">
      <c r="G600" s="10"/>
    </row>
    <row r="601" spans="7:7" x14ac:dyDescent="0.3">
      <c r="G601" s="10"/>
    </row>
    <row r="602" spans="7:7" x14ac:dyDescent="0.3">
      <c r="G602" s="10"/>
    </row>
    <row r="603" spans="7:7" x14ac:dyDescent="0.3">
      <c r="G603" s="10"/>
    </row>
    <row r="604" spans="7:7" x14ac:dyDescent="0.3">
      <c r="G604" s="10"/>
    </row>
    <row r="605" spans="7:7" x14ac:dyDescent="0.3">
      <c r="G605" s="10"/>
    </row>
    <row r="606" spans="7:7" x14ac:dyDescent="0.3">
      <c r="G606" s="10"/>
    </row>
    <row r="607" spans="7:7" x14ac:dyDescent="0.3">
      <c r="G607" s="10"/>
    </row>
    <row r="608" spans="7:7" x14ac:dyDescent="0.3">
      <c r="G608" s="10"/>
    </row>
    <row r="609" spans="7:7" x14ac:dyDescent="0.3">
      <c r="G609" s="10"/>
    </row>
    <row r="610" spans="7:7" x14ac:dyDescent="0.3">
      <c r="G610" s="10"/>
    </row>
    <row r="611" spans="7:7" x14ac:dyDescent="0.3">
      <c r="G611" s="10"/>
    </row>
    <row r="612" spans="7:7" x14ac:dyDescent="0.3">
      <c r="G612" s="10"/>
    </row>
    <row r="613" spans="7:7" x14ac:dyDescent="0.3">
      <c r="G613" s="10"/>
    </row>
    <row r="614" spans="7:7" x14ac:dyDescent="0.3">
      <c r="G614" s="10"/>
    </row>
    <row r="615" spans="7:7" x14ac:dyDescent="0.3">
      <c r="G615" s="10"/>
    </row>
    <row r="616" spans="7:7" x14ac:dyDescent="0.3">
      <c r="G616" s="10"/>
    </row>
    <row r="617" spans="7:7" x14ac:dyDescent="0.3">
      <c r="G617" s="10"/>
    </row>
    <row r="618" spans="7:7" x14ac:dyDescent="0.3">
      <c r="G618" s="10"/>
    </row>
    <row r="619" spans="7:7" x14ac:dyDescent="0.3">
      <c r="G619" s="10"/>
    </row>
    <row r="620" spans="7:7" x14ac:dyDescent="0.3">
      <c r="G620" s="10"/>
    </row>
    <row r="621" spans="7:7" x14ac:dyDescent="0.3">
      <c r="G621" s="10"/>
    </row>
    <row r="622" spans="7:7" x14ac:dyDescent="0.3">
      <c r="G622" s="10"/>
    </row>
    <row r="623" spans="7:7" x14ac:dyDescent="0.3">
      <c r="G623" s="10"/>
    </row>
    <row r="624" spans="7:7" x14ac:dyDescent="0.3">
      <c r="G624" s="10"/>
    </row>
    <row r="625" spans="7:7" x14ac:dyDescent="0.3">
      <c r="G625" s="10"/>
    </row>
    <row r="626" spans="7:7" x14ac:dyDescent="0.3">
      <c r="G626" s="10"/>
    </row>
    <row r="627" spans="7:7" x14ac:dyDescent="0.3">
      <c r="G627" s="10"/>
    </row>
    <row r="628" spans="7:7" x14ac:dyDescent="0.3">
      <c r="G628" s="10"/>
    </row>
    <row r="629" spans="7:7" x14ac:dyDescent="0.3">
      <c r="G629" s="10"/>
    </row>
    <row r="630" spans="7:7" x14ac:dyDescent="0.3">
      <c r="G630" s="10"/>
    </row>
    <row r="631" spans="7:7" x14ac:dyDescent="0.3">
      <c r="G631" s="10"/>
    </row>
    <row r="632" spans="7:7" x14ac:dyDescent="0.3">
      <c r="G632" s="10"/>
    </row>
    <row r="633" spans="7:7" x14ac:dyDescent="0.3">
      <c r="G633" s="10"/>
    </row>
    <row r="634" spans="7:7" x14ac:dyDescent="0.3">
      <c r="G634" s="10"/>
    </row>
    <row r="635" spans="7:7" x14ac:dyDescent="0.3">
      <c r="G635" s="10"/>
    </row>
    <row r="636" spans="7:7" x14ac:dyDescent="0.3">
      <c r="G636" s="10"/>
    </row>
    <row r="637" spans="7:7" x14ac:dyDescent="0.3">
      <c r="G637" s="10"/>
    </row>
    <row r="638" spans="7:7" x14ac:dyDescent="0.3">
      <c r="G638" s="10"/>
    </row>
    <row r="639" spans="7:7" x14ac:dyDescent="0.3">
      <c r="G639" s="10"/>
    </row>
    <row r="640" spans="7:7" x14ac:dyDescent="0.3">
      <c r="G640" s="10"/>
    </row>
    <row r="641" spans="7:7" x14ac:dyDescent="0.3">
      <c r="G641" s="10"/>
    </row>
    <row r="642" spans="7:7" x14ac:dyDescent="0.3">
      <c r="G642" s="10"/>
    </row>
    <row r="643" spans="7:7" x14ac:dyDescent="0.3">
      <c r="G643" s="10"/>
    </row>
    <row r="644" spans="7:7" x14ac:dyDescent="0.3">
      <c r="G644" s="10"/>
    </row>
    <row r="645" spans="7:7" x14ac:dyDescent="0.3">
      <c r="G645" s="10"/>
    </row>
    <row r="646" spans="7:7" x14ac:dyDescent="0.3">
      <c r="G646" s="10"/>
    </row>
    <row r="647" spans="7:7" x14ac:dyDescent="0.3">
      <c r="G647" s="10"/>
    </row>
    <row r="648" spans="7:7" x14ac:dyDescent="0.3">
      <c r="G648" s="10"/>
    </row>
    <row r="649" spans="7:7" x14ac:dyDescent="0.3">
      <c r="G649" s="10"/>
    </row>
    <row r="650" spans="7:7" x14ac:dyDescent="0.3">
      <c r="G650" s="10"/>
    </row>
    <row r="651" spans="7:7" x14ac:dyDescent="0.3">
      <c r="G651" s="10"/>
    </row>
    <row r="652" spans="7:7" x14ac:dyDescent="0.3">
      <c r="G652" s="10"/>
    </row>
    <row r="653" spans="7:7" x14ac:dyDescent="0.3">
      <c r="G653" s="10"/>
    </row>
    <row r="654" spans="7:7" x14ac:dyDescent="0.3">
      <c r="G654" s="10"/>
    </row>
    <row r="655" spans="7:7" x14ac:dyDescent="0.3">
      <c r="G655" s="10"/>
    </row>
    <row r="656" spans="7:7" x14ac:dyDescent="0.3">
      <c r="G656" s="10"/>
    </row>
    <row r="657" spans="7:7" x14ac:dyDescent="0.3">
      <c r="G657" s="10"/>
    </row>
    <row r="658" spans="7:7" x14ac:dyDescent="0.3">
      <c r="G658" s="10"/>
    </row>
    <row r="659" spans="7:7" x14ac:dyDescent="0.3">
      <c r="G659" s="10"/>
    </row>
    <row r="660" spans="7:7" x14ac:dyDescent="0.3">
      <c r="G660" s="10"/>
    </row>
    <row r="661" spans="7:7" x14ac:dyDescent="0.3">
      <c r="G661" s="10"/>
    </row>
    <row r="662" spans="7:7" x14ac:dyDescent="0.3">
      <c r="G662" s="10"/>
    </row>
    <row r="663" spans="7:7" x14ac:dyDescent="0.3">
      <c r="G663" s="10"/>
    </row>
    <row r="664" spans="7:7" x14ac:dyDescent="0.3">
      <c r="G664" s="10"/>
    </row>
    <row r="665" spans="7:7" x14ac:dyDescent="0.3">
      <c r="G665" s="10"/>
    </row>
    <row r="666" spans="7:7" x14ac:dyDescent="0.3">
      <c r="G666" s="10"/>
    </row>
    <row r="667" spans="7:7" x14ac:dyDescent="0.3">
      <c r="G667" s="10"/>
    </row>
    <row r="668" spans="7:7" x14ac:dyDescent="0.3">
      <c r="G668" s="10"/>
    </row>
    <row r="669" spans="7:7" x14ac:dyDescent="0.3">
      <c r="G669" s="10"/>
    </row>
    <row r="670" spans="7:7" x14ac:dyDescent="0.3">
      <c r="G670" s="10"/>
    </row>
    <row r="671" spans="7:7" x14ac:dyDescent="0.3">
      <c r="G671" s="10"/>
    </row>
    <row r="672" spans="7:7" x14ac:dyDescent="0.3">
      <c r="G672" s="10"/>
    </row>
    <row r="673" spans="7:7" x14ac:dyDescent="0.3">
      <c r="G673" s="10"/>
    </row>
    <row r="674" spans="7:7" x14ac:dyDescent="0.3">
      <c r="G674" s="10"/>
    </row>
    <row r="675" spans="7:7" x14ac:dyDescent="0.3">
      <c r="G675" s="10"/>
    </row>
    <row r="676" spans="7:7" x14ac:dyDescent="0.3">
      <c r="G676" s="10"/>
    </row>
    <row r="677" spans="7:7" x14ac:dyDescent="0.3">
      <c r="G677" s="10"/>
    </row>
    <row r="678" spans="7:7" x14ac:dyDescent="0.3">
      <c r="G678" s="10"/>
    </row>
    <row r="679" spans="7:7" x14ac:dyDescent="0.3">
      <c r="G679" s="10"/>
    </row>
    <row r="680" spans="7:7" x14ac:dyDescent="0.3">
      <c r="G680" s="10"/>
    </row>
    <row r="681" spans="7:7" x14ac:dyDescent="0.3">
      <c r="G681" s="10"/>
    </row>
    <row r="682" spans="7:7" x14ac:dyDescent="0.3">
      <c r="G682" s="10"/>
    </row>
    <row r="683" spans="7:7" x14ac:dyDescent="0.3">
      <c r="G683" s="10"/>
    </row>
    <row r="684" spans="7:7" x14ac:dyDescent="0.3">
      <c r="G684" s="10"/>
    </row>
    <row r="685" spans="7:7" x14ac:dyDescent="0.3">
      <c r="G685" s="10"/>
    </row>
    <row r="686" spans="7:7" x14ac:dyDescent="0.3">
      <c r="G686" s="10"/>
    </row>
    <row r="687" spans="7:7" x14ac:dyDescent="0.3">
      <c r="G687" s="10"/>
    </row>
    <row r="688" spans="7:7" x14ac:dyDescent="0.3">
      <c r="G688" s="10"/>
    </row>
    <row r="689" spans="7:7" x14ac:dyDescent="0.3">
      <c r="G689" s="10"/>
    </row>
    <row r="690" spans="7:7" x14ac:dyDescent="0.3">
      <c r="G690" s="10"/>
    </row>
    <row r="691" spans="7:7" x14ac:dyDescent="0.3">
      <c r="G691" s="10"/>
    </row>
    <row r="692" spans="7:7" x14ac:dyDescent="0.3">
      <c r="G692" s="10"/>
    </row>
    <row r="693" spans="7:7" x14ac:dyDescent="0.3">
      <c r="G693" s="10"/>
    </row>
    <row r="694" spans="7:7" x14ac:dyDescent="0.3">
      <c r="G694" s="10"/>
    </row>
    <row r="695" spans="7:7" x14ac:dyDescent="0.3">
      <c r="G695" s="10"/>
    </row>
    <row r="696" spans="7:7" x14ac:dyDescent="0.3">
      <c r="G696" s="10"/>
    </row>
    <row r="697" spans="7:7" x14ac:dyDescent="0.3">
      <c r="G697" s="10"/>
    </row>
    <row r="698" spans="7:7" x14ac:dyDescent="0.3">
      <c r="G698" s="10"/>
    </row>
    <row r="699" spans="7:7" x14ac:dyDescent="0.3">
      <c r="G699" s="10"/>
    </row>
    <row r="700" spans="7:7" x14ac:dyDescent="0.3">
      <c r="G700" s="10"/>
    </row>
    <row r="701" spans="7:7" x14ac:dyDescent="0.3">
      <c r="G701" s="10"/>
    </row>
    <row r="702" spans="7:7" x14ac:dyDescent="0.3">
      <c r="G702" s="10"/>
    </row>
    <row r="703" spans="7:7" x14ac:dyDescent="0.3">
      <c r="G703" s="10"/>
    </row>
    <row r="704" spans="7:7" x14ac:dyDescent="0.3">
      <c r="G704" s="10"/>
    </row>
    <row r="705" spans="7:7" x14ac:dyDescent="0.3">
      <c r="G705" s="10"/>
    </row>
    <row r="706" spans="7:7" x14ac:dyDescent="0.3">
      <c r="G706" s="10"/>
    </row>
    <row r="707" spans="7:7" x14ac:dyDescent="0.3">
      <c r="G707" s="10"/>
    </row>
    <row r="708" spans="7:7" x14ac:dyDescent="0.3">
      <c r="G708" s="10"/>
    </row>
    <row r="709" spans="7:7" x14ac:dyDescent="0.3">
      <c r="G709" s="10"/>
    </row>
    <row r="710" spans="7:7" x14ac:dyDescent="0.3">
      <c r="G710" s="10"/>
    </row>
    <row r="711" spans="7:7" x14ac:dyDescent="0.3">
      <c r="G711" s="10"/>
    </row>
    <row r="712" spans="7:7" x14ac:dyDescent="0.3">
      <c r="G712" s="10"/>
    </row>
    <row r="713" spans="7:7" x14ac:dyDescent="0.3">
      <c r="G713" s="10"/>
    </row>
    <row r="714" spans="7:7" x14ac:dyDescent="0.3">
      <c r="G714" s="10"/>
    </row>
    <row r="715" spans="7:7" x14ac:dyDescent="0.3">
      <c r="G715" s="10"/>
    </row>
    <row r="716" spans="7:7" x14ac:dyDescent="0.3">
      <c r="G716" s="10"/>
    </row>
    <row r="717" spans="7:7" x14ac:dyDescent="0.3">
      <c r="G717" s="10"/>
    </row>
    <row r="718" spans="7:7" x14ac:dyDescent="0.3">
      <c r="G718" s="10"/>
    </row>
    <row r="719" spans="7:7" x14ac:dyDescent="0.3">
      <c r="G719" s="10"/>
    </row>
    <row r="720" spans="7:7" x14ac:dyDescent="0.3">
      <c r="G720" s="10"/>
    </row>
    <row r="721" spans="7:7" x14ac:dyDescent="0.3">
      <c r="G721" s="10"/>
    </row>
    <row r="722" spans="7:7" x14ac:dyDescent="0.3">
      <c r="G722" s="10"/>
    </row>
    <row r="723" spans="7:7" x14ac:dyDescent="0.3">
      <c r="G723" s="10"/>
    </row>
    <row r="724" spans="7:7" x14ac:dyDescent="0.3">
      <c r="G724" s="10"/>
    </row>
    <row r="725" spans="7:7" x14ac:dyDescent="0.3">
      <c r="G725" s="10"/>
    </row>
    <row r="726" spans="7:7" x14ac:dyDescent="0.3">
      <c r="G726" s="10"/>
    </row>
    <row r="727" spans="7:7" x14ac:dyDescent="0.3">
      <c r="G727" s="10"/>
    </row>
    <row r="728" spans="7:7" x14ac:dyDescent="0.3">
      <c r="G728" s="10"/>
    </row>
    <row r="729" spans="7:7" x14ac:dyDescent="0.3">
      <c r="G729" s="10"/>
    </row>
    <row r="730" spans="7:7" x14ac:dyDescent="0.3">
      <c r="G730" s="10"/>
    </row>
    <row r="731" spans="7:7" x14ac:dyDescent="0.3">
      <c r="G731" s="10"/>
    </row>
    <row r="732" spans="7:7" x14ac:dyDescent="0.3">
      <c r="G732" s="10"/>
    </row>
    <row r="733" spans="7:7" x14ac:dyDescent="0.3">
      <c r="G733" s="10"/>
    </row>
    <row r="734" spans="7:7" x14ac:dyDescent="0.3">
      <c r="G734" s="10"/>
    </row>
    <row r="735" spans="7:7" x14ac:dyDescent="0.3">
      <c r="G735" s="10"/>
    </row>
    <row r="736" spans="7:7" x14ac:dyDescent="0.3">
      <c r="G736" s="10"/>
    </row>
    <row r="737" spans="7:7" x14ac:dyDescent="0.3">
      <c r="G737" s="10"/>
    </row>
    <row r="738" spans="7:7" x14ac:dyDescent="0.3">
      <c r="G738" s="10"/>
    </row>
    <row r="739" spans="7:7" x14ac:dyDescent="0.3">
      <c r="G739" s="10"/>
    </row>
    <row r="740" spans="7:7" x14ac:dyDescent="0.3">
      <c r="G740" s="10"/>
    </row>
    <row r="741" spans="7:7" x14ac:dyDescent="0.3">
      <c r="G741" s="10"/>
    </row>
    <row r="742" spans="7:7" x14ac:dyDescent="0.3">
      <c r="G742" s="10"/>
    </row>
    <row r="743" spans="7:7" x14ac:dyDescent="0.3">
      <c r="G743" s="10"/>
    </row>
    <row r="744" spans="7:7" x14ac:dyDescent="0.3">
      <c r="G744" s="10"/>
    </row>
    <row r="745" spans="7:7" x14ac:dyDescent="0.3">
      <c r="G745" s="10"/>
    </row>
    <row r="746" spans="7:7" x14ac:dyDescent="0.3">
      <c r="G746" s="10"/>
    </row>
    <row r="747" spans="7:7" x14ac:dyDescent="0.3">
      <c r="G747" s="10"/>
    </row>
    <row r="748" spans="7:7" x14ac:dyDescent="0.3">
      <c r="G748" s="10"/>
    </row>
    <row r="749" spans="7:7" x14ac:dyDescent="0.3">
      <c r="G749" s="10"/>
    </row>
    <row r="750" spans="7:7" x14ac:dyDescent="0.3">
      <c r="G750" s="10"/>
    </row>
    <row r="751" spans="7:7" x14ac:dyDescent="0.3">
      <c r="G751" s="10"/>
    </row>
    <row r="752" spans="7:7" x14ac:dyDescent="0.3">
      <c r="G752" s="10"/>
    </row>
    <row r="753" spans="7:7" x14ac:dyDescent="0.3">
      <c r="G753" s="10"/>
    </row>
    <row r="754" spans="7:7" x14ac:dyDescent="0.3">
      <c r="G754" s="10"/>
    </row>
    <row r="755" spans="7:7" x14ac:dyDescent="0.3">
      <c r="G755" s="10"/>
    </row>
    <row r="756" spans="7:7" x14ac:dyDescent="0.3">
      <c r="G756" s="10"/>
    </row>
    <row r="757" spans="7:7" x14ac:dyDescent="0.3">
      <c r="G757" s="10"/>
    </row>
    <row r="758" spans="7:7" x14ac:dyDescent="0.3">
      <c r="G758" s="10"/>
    </row>
    <row r="759" spans="7:7" x14ac:dyDescent="0.3">
      <c r="G759" s="10"/>
    </row>
    <row r="760" spans="7:7" x14ac:dyDescent="0.3">
      <c r="G760" s="10"/>
    </row>
    <row r="761" spans="7:7" x14ac:dyDescent="0.3">
      <c r="G761" s="10"/>
    </row>
    <row r="762" spans="7:7" x14ac:dyDescent="0.3">
      <c r="G762" s="10"/>
    </row>
    <row r="763" spans="7:7" x14ac:dyDescent="0.3">
      <c r="G763" s="10"/>
    </row>
    <row r="764" spans="7:7" x14ac:dyDescent="0.3">
      <c r="G764" s="10"/>
    </row>
    <row r="765" spans="7:7" x14ac:dyDescent="0.3">
      <c r="G765" s="10"/>
    </row>
    <row r="766" spans="7:7" x14ac:dyDescent="0.3">
      <c r="G766" s="10"/>
    </row>
    <row r="767" spans="7:7" x14ac:dyDescent="0.3">
      <c r="G767" s="10"/>
    </row>
    <row r="768" spans="7:7" x14ac:dyDescent="0.3">
      <c r="G768" s="10"/>
    </row>
    <row r="769" spans="7:7" x14ac:dyDescent="0.3">
      <c r="G769" s="10"/>
    </row>
    <row r="770" spans="7:7" x14ac:dyDescent="0.3">
      <c r="G770" s="10"/>
    </row>
    <row r="771" spans="7:7" x14ac:dyDescent="0.3">
      <c r="G771" s="10"/>
    </row>
    <row r="772" spans="7:7" x14ac:dyDescent="0.3">
      <c r="G772" s="10"/>
    </row>
    <row r="773" spans="7:7" x14ac:dyDescent="0.3">
      <c r="G773" s="10"/>
    </row>
    <row r="774" spans="7:7" x14ac:dyDescent="0.3">
      <c r="G774" s="10"/>
    </row>
    <row r="775" spans="7:7" x14ac:dyDescent="0.3">
      <c r="G775" s="10"/>
    </row>
    <row r="776" spans="7:7" x14ac:dyDescent="0.3">
      <c r="G776" s="10"/>
    </row>
    <row r="777" spans="7:7" x14ac:dyDescent="0.3">
      <c r="G777" s="10"/>
    </row>
    <row r="778" spans="7:7" x14ac:dyDescent="0.3">
      <c r="G778" s="10"/>
    </row>
    <row r="779" spans="7:7" x14ac:dyDescent="0.3">
      <c r="G779" s="10"/>
    </row>
    <row r="780" spans="7:7" x14ac:dyDescent="0.3">
      <c r="G780" s="10"/>
    </row>
    <row r="781" spans="7:7" x14ac:dyDescent="0.3">
      <c r="G781" s="10"/>
    </row>
    <row r="782" spans="7:7" x14ac:dyDescent="0.3">
      <c r="G782" s="10"/>
    </row>
    <row r="783" spans="7:7" x14ac:dyDescent="0.3">
      <c r="G783" s="10"/>
    </row>
    <row r="784" spans="7:7" x14ac:dyDescent="0.3">
      <c r="G784" s="10"/>
    </row>
    <row r="785" spans="7:7" x14ac:dyDescent="0.3">
      <c r="G785" s="10"/>
    </row>
    <row r="786" spans="7:7" x14ac:dyDescent="0.3">
      <c r="G786" s="10"/>
    </row>
    <row r="787" spans="7:7" x14ac:dyDescent="0.3">
      <c r="G787" s="10"/>
    </row>
    <row r="788" spans="7:7" x14ac:dyDescent="0.3">
      <c r="G788" s="10"/>
    </row>
    <row r="789" spans="7:7" x14ac:dyDescent="0.3">
      <c r="G789" s="10"/>
    </row>
    <row r="790" spans="7:7" x14ac:dyDescent="0.3">
      <c r="G790" s="10"/>
    </row>
    <row r="791" spans="7:7" x14ac:dyDescent="0.3">
      <c r="G791" s="10"/>
    </row>
    <row r="792" spans="7:7" x14ac:dyDescent="0.3">
      <c r="G792" s="10"/>
    </row>
    <row r="793" spans="7:7" x14ac:dyDescent="0.3">
      <c r="G793" s="10"/>
    </row>
    <row r="794" spans="7:7" x14ac:dyDescent="0.3">
      <c r="G794" s="10"/>
    </row>
    <row r="795" spans="7:7" x14ac:dyDescent="0.3">
      <c r="G795" s="10"/>
    </row>
    <row r="796" spans="7:7" x14ac:dyDescent="0.3">
      <c r="G796" s="10"/>
    </row>
    <row r="797" spans="7:7" x14ac:dyDescent="0.3">
      <c r="G797" s="10"/>
    </row>
    <row r="798" spans="7:7" x14ac:dyDescent="0.3">
      <c r="G798" s="10"/>
    </row>
    <row r="799" spans="7:7" x14ac:dyDescent="0.3">
      <c r="G799" s="10"/>
    </row>
    <row r="800" spans="7:7" x14ac:dyDescent="0.3">
      <c r="G800" s="10"/>
    </row>
    <row r="801" spans="7:7" x14ac:dyDescent="0.3">
      <c r="G801" s="10"/>
    </row>
    <row r="802" spans="7:7" x14ac:dyDescent="0.3">
      <c r="G802" s="10"/>
    </row>
    <row r="803" spans="7:7" x14ac:dyDescent="0.3">
      <c r="G803" s="10"/>
    </row>
    <row r="804" spans="7:7" x14ac:dyDescent="0.3">
      <c r="G804" s="10"/>
    </row>
    <row r="805" spans="7:7" x14ac:dyDescent="0.3">
      <c r="G805" s="10"/>
    </row>
    <row r="806" spans="7:7" x14ac:dyDescent="0.3">
      <c r="G806" s="10"/>
    </row>
    <row r="807" spans="7:7" x14ac:dyDescent="0.3">
      <c r="G807" s="10"/>
    </row>
    <row r="808" spans="7:7" x14ac:dyDescent="0.3">
      <c r="G808" s="10"/>
    </row>
    <row r="809" spans="7:7" x14ac:dyDescent="0.3">
      <c r="G809" s="10"/>
    </row>
    <row r="810" spans="7:7" x14ac:dyDescent="0.3">
      <c r="G810" s="10"/>
    </row>
    <row r="811" spans="7:7" x14ac:dyDescent="0.3">
      <c r="G811" s="10"/>
    </row>
    <row r="812" spans="7:7" x14ac:dyDescent="0.3">
      <c r="G812" s="10"/>
    </row>
    <row r="813" spans="7:7" x14ac:dyDescent="0.3">
      <c r="G813" s="10"/>
    </row>
    <row r="814" spans="7:7" x14ac:dyDescent="0.3">
      <c r="G814" s="10"/>
    </row>
    <row r="815" spans="7:7" x14ac:dyDescent="0.3">
      <c r="G815" s="10"/>
    </row>
    <row r="816" spans="7:7" x14ac:dyDescent="0.3">
      <c r="G816" s="10"/>
    </row>
    <row r="817" spans="7:7" x14ac:dyDescent="0.3">
      <c r="G817" s="10"/>
    </row>
  </sheetData>
  <autoFilter ref="A1:R500" xr:uid="{00000000-0001-0000-1300-000000000000}"/>
  <pageMargins left="0.7" right="0.7" top="0.75" bottom="0.75" header="0.3" footer="0.3"/>
  <pageSetup paperSize="9" orientation="portrait" r:id="rId1"/>
  <customProperties>
    <customPr name="Ibp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Inv-SCP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Kamonnet "Ning" Simapattanapong (SPBT)</dc:creator>
  <cp:lastModifiedBy>Kamonnet "Ning" Simapattanapong (SPBT)</cp:lastModifiedBy>
  <dcterms:created xsi:type="dcterms:W3CDTF">2026-03-01T19:38:08Z</dcterms:created>
  <dcterms:modified xsi:type="dcterms:W3CDTF">2026-03-01T19:49:16Z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d591c11-d1d1-4308-8bc2-d416a08e58f2_Enabled">
    <vt:lpwstr>true</vt:lpwstr>
  </property>
  <property fmtid="{D5CDD505-2E9C-101B-9397-08002B2CF9AE}" pid="3" name="MSIP_Label_4d591c11-d1d1-4308-8bc2-d416a08e58f2_SetDate">
    <vt:lpwstr>2026-03-01T19:38:17Z</vt:lpwstr>
  </property>
  <property fmtid="{D5CDD505-2E9C-101B-9397-08002B2CF9AE}" pid="4" name="MSIP_Label_4d591c11-d1d1-4308-8bc2-d416a08e58f2_Method">
    <vt:lpwstr>Standard</vt:lpwstr>
  </property>
  <property fmtid="{D5CDD505-2E9C-101B-9397-08002B2CF9AE}" pid="5" name="MSIP_Label_4d591c11-d1d1-4308-8bc2-d416a08e58f2_Name">
    <vt:lpwstr>Internal</vt:lpwstr>
  </property>
  <property fmtid="{D5CDD505-2E9C-101B-9397-08002B2CF9AE}" pid="6" name="MSIP_Label_4d591c11-d1d1-4308-8bc2-d416a08e58f2_SiteId">
    <vt:lpwstr>18872657-15e1-4db7-a75c-77b60bc5441f</vt:lpwstr>
  </property>
  <property fmtid="{D5CDD505-2E9C-101B-9397-08002B2CF9AE}" pid="7" name="MSIP_Label_4d591c11-d1d1-4308-8bc2-d416a08e58f2_ActionId">
    <vt:lpwstr>4f83f720-1a33-4b14-a485-fcca7407ba50</vt:lpwstr>
  </property>
  <property fmtid="{D5CDD505-2E9C-101B-9397-08002B2CF9AE}" pid="8" name="MSIP_Label_4d591c11-d1d1-4308-8bc2-d416a08e58f2_ContentBits">
    <vt:lpwstr>0</vt:lpwstr>
  </property>
  <property fmtid="{D5CDD505-2E9C-101B-9397-08002B2CF9AE}" pid="9" name="MSIP_Label_4d591c11-d1d1-4308-8bc2-d416a08e58f2_Tag">
    <vt:lpwstr>10, 3, 0, 1</vt:lpwstr>
  </property>
</Properties>
</file>